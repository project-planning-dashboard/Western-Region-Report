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updateLinks="always" defaultThemeVersion="202300"/>
  <mc:AlternateContent xmlns:mc="http://schemas.openxmlformats.org/markup-compatibility/2006">
    <mc:Choice Requires="x15">
      <x15ac:absPath xmlns:x15ac="http://schemas.microsoft.com/office/spreadsheetml/2010/11/ac" url="https://alfanargroup-my.sharepoint.com/personal/ahmed_abdelzaher_alfanar_com/Documents/Western Rejion/30-Aug-26/"/>
    </mc:Choice>
  </mc:AlternateContent>
  <xr:revisionPtr revIDLastSave="13336" documentId="13_ncr:1_{4D5B1628-D174-40EC-9116-F5E03EB1F17E}" xr6:coauthVersionLast="47" xr6:coauthVersionMax="47" xr10:uidLastSave="{3B4774B5-A05D-4DD2-8166-E062E567762C}"/>
  <bookViews>
    <workbookView minimized="1" xWindow="7200" yWindow="4290" windowWidth="21600" windowHeight="11190" tabRatio="717" activeTab="1" xr2:uid="{BE95AD5B-381B-47D5-84B9-FA6B32B90E5F}"/>
  </bookViews>
  <sheets>
    <sheet name="Marketing-Related Sheet" sheetId="6" r:id="rId1"/>
    <sheet name="Detailed Update" sheetId="1" r:id="rId2"/>
    <sheet name="Updated Progress % + TCC" sheetId="4" r:id="rId3"/>
    <sheet name="Completed Milestones" sheetId="5" r:id="rId4"/>
  </sheets>
  <externalReferences>
    <externalReference r:id="rId5"/>
  </externalReferences>
  <definedNames>
    <definedName name="_xlnm._FilterDatabase" localSheetId="1" hidden="1">'Detailed Update'!$A$2:$AC$48</definedName>
    <definedName name="_xlnm._FilterDatabase" localSheetId="0" hidden="1">'Marketing-Related Sheet'!$A$1:$X$208</definedName>
    <definedName name="_xlnm._FilterDatabase" localSheetId="2" hidden="1">'Updated Progress % + TCC'!$A$1:$H$182</definedName>
    <definedName name="_xlnm.Print_Area" localSheetId="1">'Detailed Update'!$A$1:$U$211</definedName>
    <definedName name="_xlnm.Print_Area" localSheetId="2">'Updated Progress % + TCC'!$A$1:$P$182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02" i="1" l="1"/>
  <c r="S102" i="1" s="1"/>
  <c r="P60" i="1" l="1"/>
  <c r="P62" i="1"/>
  <c r="P63" i="1"/>
  <c r="P64" i="1"/>
  <c r="AA68" i="1"/>
  <c r="Z68" i="1"/>
  <c r="Y68" i="1"/>
  <c r="AA67" i="1"/>
  <c r="Z67" i="1"/>
  <c r="Y67" i="1"/>
  <c r="AA66" i="1"/>
  <c r="Z66" i="1"/>
  <c r="Y66" i="1"/>
  <c r="X66" i="1"/>
  <c r="W66" i="1"/>
  <c r="AA65" i="1"/>
  <c r="Z65" i="1"/>
  <c r="Y65" i="1"/>
  <c r="X65" i="1"/>
  <c r="W65" i="1"/>
  <c r="AA64" i="1"/>
  <c r="Z64" i="1"/>
  <c r="Y64" i="1"/>
  <c r="Y63" i="1"/>
  <c r="AA62" i="1"/>
  <c r="Z62" i="1"/>
  <c r="Y62" i="1"/>
  <c r="AA61" i="1"/>
  <c r="Z61" i="1"/>
  <c r="Y61" i="1"/>
  <c r="AA60" i="1"/>
  <c r="Z60" i="1"/>
  <c r="Y60" i="1"/>
  <c r="AA59" i="1"/>
  <c r="Z59" i="1"/>
  <c r="Y59" i="1"/>
  <c r="X59" i="1"/>
  <c r="AA58" i="1"/>
  <c r="Z58" i="1"/>
  <c r="Y58" i="1"/>
  <c r="AA57" i="1"/>
  <c r="Z57" i="1"/>
  <c r="Y57" i="1"/>
  <c r="AA56" i="1"/>
  <c r="Z56" i="1"/>
  <c r="Y56" i="1"/>
  <c r="AA55" i="1"/>
  <c r="Z55" i="1"/>
  <c r="Y55" i="1"/>
  <c r="AA54" i="1"/>
  <c r="Z54" i="1"/>
  <c r="Y54" i="1"/>
  <c r="Y53" i="1"/>
  <c r="AA52" i="1"/>
  <c r="Y52" i="1"/>
  <c r="AA51" i="1"/>
  <c r="Z51" i="1"/>
  <c r="Y51" i="1"/>
  <c r="Z52" i="1" l="1"/>
  <c r="Z53" i="1"/>
  <c r="Z63" i="1"/>
  <c r="AA63" i="1" l="1"/>
  <c r="AA53" i="1"/>
  <c r="W68" i="1" l="1"/>
  <c r="X68" i="1"/>
  <c r="W53" i="1" l="1"/>
  <c r="X53" i="1" l="1"/>
  <c r="X52" i="1"/>
  <c r="W52" i="1"/>
  <c r="W54" i="1"/>
  <c r="X54" i="1"/>
  <c r="W51" i="1"/>
  <c r="X51" i="1"/>
  <c r="W55" i="1"/>
  <c r="X55" i="1"/>
  <c r="X67" i="1"/>
  <c r="W67" i="1"/>
  <c r="X56" i="1" l="1"/>
  <c r="W59" i="1"/>
  <c r="W58" i="1"/>
  <c r="X58" i="1"/>
  <c r="W56" i="1"/>
  <c r="W57" i="1" l="1"/>
  <c r="W64" i="1" l="1"/>
  <c r="X64" i="1"/>
  <c r="X57" i="1" l="1"/>
  <c r="X62" i="1" l="1"/>
  <c r="W60" i="1"/>
  <c r="X60" i="1"/>
  <c r="X63" i="1"/>
  <c r="W62" i="1"/>
  <c r="W61" i="1"/>
  <c r="X61" i="1"/>
  <c r="W63" i="1"/>
  <c r="Q44" i="1" l="1"/>
  <c r="T44" i="1" s="1"/>
  <c r="P147" i="4"/>
  <c r="O147" i="4"/>
  <c r="N147" i="4"/>
  <c r="M147"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13" i="4"/>
  <c r="K147" i="4"/>
  <c r="J147" i="4"/>
  <c r="I147" i="4"/>
  <c r="G147" i="4"/>
  <c r="F147" i="4"/>
  <c r="E146" i="4"/>
  <c r="E147" i="4"/>
  <c r="C147" i="4"/>
  <c r="H147" i="4" l="1"/>
  <c r="F140" i="4"/>
  <c r="G140" i="4"/>
  <c r="E145" i="4"/>
  <c r="E148" i="4"/>
  <c r="E143" i="4"/>
  <c r="E144" i="4"/>
  <c r="F144" i="4"/>
  <c r="G144" i="4"/>
  <c r="I144" i="4"/>
  <c r="J144" i="4"/>
  <c r="E171" i="6" s="1"/>
  <c r="K144" i="4"/>
  <c r="M144" i="4"/>
  <c r="N144" i="4"/>
  <c r="O144" i="4"/>
  <c r="P144" i="4"/>
  <c r="F145" i="4"/>
  <c r="G145" i="4"/>
  <c r="I145" i="4"/>
  <c r="J145" i="4"/>
  <c r="E172" i="6" s="1"/>
  <c r="K145" i="4"/>
  <c r="M145" i="4"/>
  <c r="N145" i="4"/>
  <c r="O145" i="4"/>
  <c r="P145" i="4"/>
  <c r="F146" i="4"/>
  <c r="G146" i="4"/>
  <c r="I146" i="4"/>
  <c r="J146" i="4"/>
  <c r="E173" i="6" s="1"/>
  <c r="K146" i="4"/>
  <c r="M146" i="4"/>
  <c r="N146" i="4"/>
  <c r="O146" i="4"/>
  <c r="P146" i="4"/>
  <c r="F148" i="4"/>
  <c r="G148" i="4"/>
  <c r="I148" i="4"/>
  <c r="J148" i="4"/>
  <c r="E174" i="6" s="1"/>
  <c r="K148" i="4"/>
  <c r="M148" i="4"/>
  <c r="N148" i="4"/>
  <c r="O148" i="4"/>
  <c r="P148" i="4"/>
  <c r="K171" i="6"/>
  <c r="L171" i="6"/>
  <c r="M171" i="6"/>
  <c r="F171" i="6" s="1"/>
  <c r="O171" i="6"/>
  <c r="P171" i="6"/>
  <c r="R171" i="6"/>
  <c r="S171" i="6"/>
  <c r="T171" i="6"/>
  <c r="U171" i="6"/>
  <c r="V171" i="6"/>
  <c r="W171" i="6"/>
  <c r="X171" i="6"/>
  <c r="K172" i="6"/>
  <c r="L172" i="6"/>
  <c r="M172" i="6"/>
  <c r="O172" i="6"/>
  <c r="P172" i="6"/>
  <c r="R172" i="6"/>
  <c r="S172" i="6"/>
  <c r="T172" i="6"/>
  <c r="U172" i="6"/>
  <c r="V172" i="6"/>
  <c r="W172" i="6"/>
  <c r="X172" i="6"/>
  <c r="K173" i="6"/>
  <c r="L173" i="6"/>
  <c r="M173" i="6"/>
  <c r="O173" i="6"/>
  <c r="P173" i="6"/>
  <c r="R173" i="6"/>
  <c r="S173" i="6"/>
  <c r="T173" i="6"/>
  <c r="U173" i="6"/>
  <c r="V173" i="6"/>
  <c r="W173" i="6"/>
  <c r="X173" i="6"/>
  <c r="K174" i="6"/>
  <c r="L174" i="6"/>
  <c r="M174" i="6"/>
  <c r="O174" i="6"/>
  <c r="P174" i="6"/>
  <c r="R174" i="6"/>
  <c r="S174" i="6"/>
  <c r="T174" i="6"/>
  <c r="U174" i="6"/>
  <c r="V174" i="6"/>
  <c r="W174" i="6"/>
  <c r="X174" i="6"/>
  <c r="C171" i="6"/>
  <c r="D171" i="6"/>
  <c r="C172" i="6"/>
  <c r="D172" i="6"/>
  <c r="C173" i="6"/>
  <c r="D173" i="6"/>
  <c r="C174" i="6"/>
  <c r="D174" i="6"/>
  <c r="R89" i="6"/>
  <c r="S89" i="6"/>
  <c r="T89" i="6"/>
  <c r="U89" i="6"/>
  <c r="V89" i="6"/>
  <c r="W89" i="6"/>
  <c r="K89" i="6"/>
  <c r="L89" i="6"/>
  <c r="M89" i="6"/>
  <c r="F89" i="6" s="1"/>
  <c r="O89" i="6"/>
  <c r="P89" i="6"/>
  <c r="D89" i="6"/>
  <c r="C89" i="6"/>
  <c r="T19" i="1"/>
  <c r="T18" i="1"/>
  <c r="T16" i="1"/>
  <c r="T11" i="1"/>
  <c r="T10" i="1"/>
  <c r="T8" i="1"/>
  <c r="T7" i="1"/>
  <c r="Q43" i="1"/>
  <c r="T43" i="1" s="1"/>
  <c r="Q42" i="1"/>
  <c r="T42" i="1" s="1"/>
  <c r="Q41" i="1"/>
  <c r="T41" i="1" s="1"/>
  <c r="Q40" i="1"/>
  <c r="T40" i="1" s="1"/>
  <c r="Q39" i="1"/>
  <c r="T39" i="1" s="1"/>
  <c r="Q38" i="1"/>
  <c r="T38" i="1" s="1"/>
  <c r="Q37" i="1"/>
  <c r="T37" i="1" s="1"/>
  <c r="Q36" i="1"/>
  <c r="T36" i="1" s="1"/>
  <c r="Q34" i="1"/>
  <c r="T34" i="1" s="1"/>
  <c r="Q33" i="1"/>
  <c r="T33" i="1" s="1"/>
  <c r="Q32" i="1"/>
  <c r="T32" i="1" s="1"/>
  <c r="Q31" i="1"/>
  <c r="T31" i="1" s="1"/>
  <c r="Q30" i="1"/>
  <c r="T30" i="1" s="1"/>
  <c r="Q29" i="1"/>
  <c r="T29" i="1" s="1"/>
  <c r="Q28" i="1"/>
  <c r="T28" i="1" s="1"/>
  <c r="Q27" i="1"/>
  <c r="T27" i="1" s="1"/>
  <c r="Q26" i="1"/>
  <c r="T26" i="1" s="1"/>
  <c r="Q25" i="1"/>
  <c r="T25" i="1" s="1"/>
  <c r="Q24" i="1"/>
  <c r="T24" i="1" s="1"/>
  <c r="Q23" i="1"/>
  <c r="T23" i="1" s="1"/>
  <c r="Q22" i="1"/>
  <c r="T22" i="1" s="1"/>
  <c r="Q21" i="1"/>
  <c r="T21" i="1" s="1"/>
  <c r="Q20" i="1"/>
  <c r="T20" i="1" s="1"/>
  <c r="Q17" i="1"/>
  <c r="T17" i="1" s="1"/>
  <c r="Q15" i="1"/>
  <c r="T15" i="1" s="1"/>
  <c r="Q14" i="1"/>
  <c r="T14" i="1" s="1"/>
  <c r="Q13" i="1"/>
  <c r="T13" i="1" s="1"/>
  <c r="Q12" i="1"/>
  <c r="T12" i="1" s="1"/>
  <c r="Q9" i="1"/>
  <c r="T9" i="1" s="1"/>
  <c r="Q5" i="1"/>
  <c r="T5" i="1" s="1"/>
  <c r="O43" i="4"/>
  <c r="O39" i="4"/>
  <c r="O24" i="4"/>
  <c r="O23" i="4"/>
  <c r="O22" i="4"/>
  <c r="O16" i="4"/>
  <c r="O15" i="4"/>
  <c r="O14" i="4"/>
  <c r="M5" i="4"/>
  <c r="N5" i="4"/>
  <c r="O5" i="4"/>
  <c r="M6" i="4"/>
  <c r="N6" i="4"/>
  <c r="O6" i="4"/>
  <c r="M7" i="4"/>
  <c r="N7" i="4"/>
  <c r="O7" i="4"/>
  <c r="M8" i="4"/>
  <c r="N8" i="4"/>
  <c r="O8" i="4"/>
  <c r="M9" i="4"/>
  <c r="N9" i="4"/>
  <c r="O9" i="4"/>
  <c r="M10" i="4"/>
  <c r="N10" i="4"/>
  <c r="O10" i="4"/>
  <c r="M11" i="4"/>
  <c r="N11" i="4"/>
  <c r="O11" i="4"/>
  <c r="M12" i="4"/>
  <c r="N12" i="4"/>
  <c r="O12" i="4"/>
  <c r="M13" i="4"/>
  <c r="N13" i="4"/>
  <c r="O13" i="4"/>
  <c r="M14" i="4"/>
  <c r="N14" i="4"/>
  <c r="M15" i="4"/>
  <c r="N15" i="4"/>
  <c r="M16" i="4"/>
  <c r="N16" i="4"/>
  <c r="M17" i="4"/>
  <c r="N17" i="4"/>
  <c r="O17" i="4"/>
  <c r="M18" i="4"/>
  <c r="N18" i="4"/>
  <c r="O18" i="4"/>
  <c r="M19" i="4"/>
  <c r="N19" i="4"/>
  <c r="O19" i="4"/>
  <c r="M20" i="4"/>
  <c r="N20" i="4"/>
  <c r="O20" i="4"/>
  <c r="M21" i="4"/>
  <c r="N21" i="4"/>
  <c r="O21" i="4"/>
  <c r="M22" i="4"/>
  <c r="N22" i="4"/>
  <c r="M23" i="4"/>
  <c r="N23" i="4"/>
  <c r="M24" i="4"/>
  <c r="N24" i="4"/>
  <c r="M25" i="4"/>
  <c r="N25" i="4"/>
  <c r="O25" i="4"/>
  <c r="M26" i="4"/>
  <c r="N26" i="4"/>
  <c r="O26" i="4"/>
  <c r="M27" i="4"/>
  <c r="N27" i="4"/>
  <c r="O27" i="4"/>
  <c r="M28" i="4"/>
  <c r="N28" i="4"/>
  <c r="O28" i="4"/>
  <c r="M29" i="4"/>
  <c r="N29" i="4"/>
  <c r="O29" i="4"/>
  <c r="M30" i="4"/>
  <c r="N30" i="4"/>
  <c r="O30" i="4"/>
  <c r="M31" i="4"/>
  <c r="N31" i="4"/>
  <c r="O31" i="4"/>
  <c r="M32" i="4"/>
  <c r="N32" i="4"/>
  <c r="O32" i="4"/>
  <c r="M33" i="4"/>
  <c r="N33" i="4"/>
  <c r="O33" i="4"/>
  <c r="M34" i="4"/>
  <c r="N34" i="4"/>
  <c r="O34" i="4"/>
  <c r="M35" i="4"/>
  <c r="N35" i="4"/>
  <c r="O35" i="4"/>
  <c r="M36" i="4"/>
  <c r="N36" i="4"/>
  <c r="O36" i="4"/>
  <c r="M37" i="4"/>
  <c r="N37" i="4"/>
  <c r="O37" i="4"/>
  <c r="M38" i="4"/>
  <c r="N38" i="4"/>
  <c r="O38" i="4"/>
  <c r="M39" i="4"/>
  <c r="N39" i="4"/>
  <c r="M40" i="4"/>
  <c r="N40" i="4"/>
  <c r="O40" i="4"/>
  <c r="M41" i="4"/>
  <c r="N41" i="4"/>
  <c r="O41" i="4"/>
  <c r="M42" i="4"/>
  <c r="N42" i="4"/>
  <c r="O42" i="4"/>
  <c r="M43" i="4"/>
  <c r="N43" i="4"/>
  <c r="O4" i="4"/>
  <c r="N4" i="4"/>
  <c r="M4" i="4"/>
  <c r="C144" i="4"/>
  <c r="C145" i="4"/>
  <c r="C146" i="4"/>
  <c r="C148" i="4"/>
  <c r="N171" i="6" l="1"/>
  <c r="H148" i="4"/>
  <c r="N174" i="6"/>
  <c r="N173" i="6"/>
  <c r="N172" i="6"/>
  <c r="H144" i="4"/>
  <c r="H146" i="4"/>
  <c r="H145" i="4"/>
  <c r="F174" i="6"/>
  <c r="F173" i="6"/>
  <c r="F172" i="6"/>
  <c r="N89" i="6"/>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13" i="4"/>
  <c r="O123" i="4" l="1"/>
  <c r="P99" i="4" l="1"/>
  <c r="P88" i="4"/>
  <c r="P98" i="4"/>
  <c r="A5" i="4"/>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5" i="4" s="1"/>
  <c r="A46" i="4" s="1"/>
  <c r="A47" i="4" s="1"/>
  <c r="A48" i="4" s="1"/>
  <c r="A49" i="4" s="1"/>
  <c r="A50" i="4" s="1"/>
  <c r="A51" i="4" s="1"/>
  <c r="A52" i="4" s="1"/>
  <c r="A53" i="4" s="1"/>
  <c r="A54" i="4" s="1"/>
  <c r="A55" i="4" s="1"/>
  <c r="A56" i="4" s="1"/>
  <c r="A57" i="4" s="1"/>
  <c r="A58" i="4" s="1"/>
  <c r="A59" i="4" s="1"/>
  <c r="A60" i="4" s="1"/>
  <c r="A61" i="4" s="1"/>
  <c r="A62" i="4" s="1"/>
  <c r="A64" i="4" s="1"/>
  <c r="A65" i="4" s="1"/>
  <c r="A66" i="4" s="1"/>
  <c r="A67" i="4" s="1"/>
  <c r="A68" i="4" s="1"/>
  <c r="A69" i="4" s="1"/>
  <c r="A70" i="4" s="1"/>
  <c r="A71" i="4" s="1"/>
  <c r="A72" i="4" s="1"/>
  <c r="A73" i="4" s="1"/>
  <c r="A74" i="4" s="1"/>
  <c r="A75" i="4" s="1"/>
  <c r="A76" i="4" s="1"/>
  <c r="A77" i="4" s="1"/>
  <c r="A78" i="4" s="1"/>
  <c r="A79" i="4" s="1"/>
  <c r="A80" i="4" s="1"/>
  <c r="A81" i="4" s="1"/>
  <c r="A82" i="4" s="1"/>
  <c r="A83" i="4" s="1"/>
  <c r="A84" i="4" s="1"/>
  <c r="A85" i="4" s="1"/>
  <c r="A86" i="4" s="1"/>
  <c r="A87" i="4" s="1"/>
  <c r="A88" i="4" s="1"/>
  <c r="A89" i="4" s="1"/>
  <c r="A90" i="4" s="1"/>
  <c r="A91" i="4" s="1"/>
  <c r="A92" i="4" s="1"/>
  <c r="A93" i="4" s="1"/>
  <c r="A94" i="4" s="1"/>
  <c r="A95" i="4" s="1"/>
  <c r="A96" i="4" s="1"/>
  <c r="A97" i="4" s="1"/>
  <c r="A98" i="4" s="1"/>
  <c r="A99" i="4" s="1"/>
  <c r="A100" i="4" s="1"/>
  <c r="A101" i="4" s="1"/>
  <c r="A102" i="4" s="1"/>
  <c r="A103" i="4" s="1"/>
  <c r="A104" i="4" s="1"/>
  <c r="A105" i="4" s="1"/>
  <c r="A106" i="4" s="1"/>
  <c r="A107" i="4" s="1"/>
  <c r="A108" i="4" s="1"/>
  <c r="A109" i="4" s="1"/>
  <c r="A110" i="4" s="1"/>
  <c r="A111" i="4" s="1"/>
  <c r="A113" i="4" s="1"/>
  <c r="A114" i="4" s="1"/>
  <c r="A115" i="4" s="1"/>
  <c r="A116" i="4" s="1"/>
  <c r="A117" i="4" s="1"/>
  <c r="A118" i="4" s="1"/>
  <c r="A119" i="4" s="1"/>
  <c r="A120" i="4" s="1"/>
  <c r="A121" i="4" s="1"/>
  <c r="A122" i="4" s="1"/>
  <c r="A123" i="4" s="1"/>
  <c r="A124" i="4" s="1"/>
  <c r="A125" i="4" s="1"/>
  <c r="A126" i="4" s="1"/>
  <c r="A127" i="4" s="1"/>
  <c r="A128" i="4" s="1"/>
  <c r="A129" i="4" s="1"/>
  <c r="A130" i="4" s="1"/>
  <c r="A131" i="4" s="1"/>
  <c r="A132" i="4" s="1"/>
  <c r="A133" i="4" s="1"/>
  <c r="A134" i="4" s="1"/>
  <c r="A135" i="4" s="1"/>
  <c r="A136" i="4" s="1"/>
  <c r="A137" i="4" s="1"/>
  <c r="A138" i="4" s="1"/>
  <c r="A139" i="4" s="1"/>
  <c r="A140" i="4" s="1"/>
  <c r="A141" i="4" s="1"/>
  <c r="A142" i="4" s="1"/>
  <c r="A143" i="4" s="1"/>
  <c r="M62" i="4"/>
  <c r="N62" i="4"/>
  <c r="O62" i="4"/>
  <c r="E62" i="4"/>
  <c r="F62" i="4"/>
  <c r="G62" i="4"/>
  <c r="I62" i="4"/>
  <c r="J62" i="4"/>
  <c r="E89" i="6" s="1"/>
  <c r="K62" i="4"/>
  <c r="C62" i="4"/>
  <c r="X138" i="6"/>
  <c r="R138" i="6"/>
  <c r="S138" i="6"/>
  <c r="T138" i="6"/>
  <c r="U138" i="6"/>
  <c r="V138" i="6"/>
  <c r="W138" i="6"/>
  <c r="O138" i="6"/>
  <c r="P138" i="6"/>
  <c r="K138" i="6"/>
  <c r="L138" i="6"/>
  <c r="M138" i="6"/>
  <c r="C138" i="6"/>
  <c r="W208" i="6"/>
  <c r="V208" i="6"/>
  <c r="U208" i="6"/>
  <c r="W207" i="6"/>
  <c r="V207" i="6"/>
  <c r="U207" i="6"/>
  <c r="W206" i="6"/>
  <c r="V206" i="6"/>
  <c r="U206" i="6"/>
  <c r="W205" i="6"/>
  <c r="V205" i="6"/>
  <c r="U205" i="6"/>
  <c r="W204" i="6"/>
  <c r="V204" i="6"/>
  <c r="U204" i="6"/>
  <c r="W203" i="6"/>
  <c r="V203" i="6"/>
  <c r="U203" i="6"/>
  <c r="W202" i="6"/>
  <c r="V202" i="6"/>
  <c r="U202" i="6"/>
  <c r="W201" i="6"/>
  <c r="V201" i="6"/>
  <c r="U201" i="6"/>
  <c r="W200" i="6"/>
  <c r="V200" i="6"/>
  <c r="U200" i="6"/>
  <c r="W199" i="6"/>
  <c r="V199" i="6"/>
  <c r="U199" i="6"/>
  <c r="W198" i="6"/>
  <c r="V198" i="6"/>
  <c r="U198" i="6"/>
  <c r="W197" i="6"/>
  <c r="V197" i="6"/>
  <c r="U197" i="6"/>
  <c r="W196" i="6"/>
  <c r="V196" i="6"/>
  <c r="U196" i="6"/>
  <c r="W195" i="6"/>
  <c r="V195" i="6"/>
  <c r="U195" i="6"/>
  <c r="W194" i="6"/>
  <c r="V194" i="6"/>
  <c r="U194" i="6"/>
  <c r="W193" i="6"/>
  <c r="V193" i="6"/>
  <c r="U193" i="6"/>
  <c r="W192" i="6"/>
  <c r="V192" i="6"/>
  <c r="U192" i="6"/>
  <c r="W191" i="6"/>
  <c r="V191" i="6"/>
  <c r="U191" i="6"/>
  <c r="W189" i="6"/>
  <c r="V189" i="6"/>
  <c r="U189" i="6"/>
  <c r="W188" i="6"/>
  <c r="V188" i="6"/>
  <c r="U188" i="6"/>
  <c r="W187" i="6"/>
  <c r="V187" i="6"/>
  <c r="U187" i="6"/>
  <c r="W186" i="6"/>
  <c r="V186" i="6"/>
  <c r="U186" i="6"/>
  <c r="W185" i="6"/>
  <c r="V185" i="6"/>
  <c r="U185" i="6"/>
  <c r="W184" i="6"/>
  <c r="V184" i="6"/>
  <c r="U184" i="6"/>
  <c r="W183" i="6"/>
  <c r="V183" i="6"/>
  <c r="U183" i="6"/>
  <c r="W182" i="6"/>
  <c r="V182" i="6"/>
  <c r="U182" i="6"/>
  <c r="W181" i="6"/>
  <c r="V181" i="6"/>
  <c r="U181" i="6"/>
  <c r="W180" i="6"/>
  <c r="V180" i="6"/>
  <c r="U180" i="6"/>
  <c r="W179" i="6"/>
  <c r="V179" i="6"/>
  <c r="U179" i="6"/>
  <c r="W178" i="6"/>
  <c r="V178" i="6"/>
  <c r="U178" i="6"/>
  <c r="W177" i="6"/>
  <c r="V177" i="6"/>
  <c r="U177" i="6"/>
  <c r="W176" i="6"/>
  <c r="V176" i="6"/>
  <c r="U176" i="6"/>
  <c r="W170" i="6"/>
  <c r="V170" i="6"/>
  <c r="U170" i="6"/>
  <c r="W169" i="6"/>
  <c r="V169" i="6"/>
  <c r="U169" i="6"/>
  <c r="W168" i="6"/>
  <c r="V168" i="6"/>
  <c r="U168" i="6"/>
  <c r="W167" i="6"/>
  <c r="V167" i="6"/>
  <c r="U167" i="6"/>
  <c r="W166" i="6"/>
  <c r="V166" i="6"/>
  <c r="U166" i="6"/>
  <c r="W165" i="6"/>
  <c r="V165" i="6"/>
  <c r="U165" i="6"/>
  <c r="W164" i="6"/>
  <c r="V164" i="6"/>
  <c r="U164" i="6"/>
  <c r="W163" i="6"/>
  <c r="V163" i="6"/>
  <c r="U163" i="6"/>
  <c r="W162" i="6"/>
  <c r="V162" i="6"/>
  <c r="U162" i="6"/>
  <c r="W161" i="6"/>
  <c r="V161" i="6"/>
  <c r="U161" i="6"/>
  <c r="W160" i="6"/>
  <c r="V160" i="6"/>
  <c r="U160" i="6"/>
  <c r="W159" i="6"/>
  <c r="V159" i="6"/>
  <c r="U159" i="6"/>
  <c r="W158" i="6"/>
  <c r="V158" i="6"/>
  <c r="U158" i="6"/>
  <c r="W157" i="6"/>
  <c r="V157" i="6"/>
  <c r="U157" i="6"/>
  <c r="W156" i="6"/>
  <c r="V156" i="6"/>
  <c r="U156" i="6"/>
  <c r="W155" i="6"/>
  <c r="V155" i="6"/>
  <c r="U155" i="6"/>
  <c r="W154" i="6"/>
  <c r="V154" i="6"/>
  <c r="U154" i="6"/>
  <c r="W153" i="6"/>
  <c r="V153" i="6"/>
  <c r="U153" i="6"/>
  <c r="W152" i="6"/>
  <c r="V152" i="6"/>
  <c r="U152" i="6"/>
  <c r="W151" i="6"/>
  <c r="V151" i="6"/>
  <c r="U151" i="6"/>
  <c r="W150" i="6"/>
  <c r="V150" i="6"/>
  <c r="U150" i="6"/>
  <c r="W149" i="6"/>
  <c r="V149" i="6"/>
  <c r="U149" i="6"/>
  <c r="W148" i="6"/>
  <c r="V148" i="6"/>
  <c r="U148" i="6"/>
  <c r="W147" i="6"/>
  <c r="V147" i="6"/>
  <c r="U147" i="6"/>
  <c r="W146" i="6"/>
  <c r="V146" i="6"/>
  <c r="U146" i="6"/>
  <c r="W145" i="6"/>
  <c r="V145" i="6"/>
  <c r="U145" i="6"/>
  <c r="W144" i="6"/>
  <c r="V144" i="6"/>
  <c r="U144" i="6"/>
  <c r="W143" i="6"/>
  <c r="V143" i="6"/>
  <c r="U143" i="6"/>
  <c r="W142" i="6"/>
  <c r="V142" i="6"/>
  <c r="U142" i="6"/>
  <c r="W141" i="6"/>
  <c r="V141" i="6"/>
  <c r="U141" i="6"/>
  <c r="W140" i="6"/>
  <c r="V140" i="6"/>
  <c r="U140" i="6"/>
  <c r="W137" i="6"/>
  <c r="V137" i="6"/>
  <c r="U137" i="6"/>
  <c r="W136" i="6"/>
  <c r="V136" i="6"/>
  <c r="U136" i="6"/>
  <c r="W135" i="6"/>
  <c r="V135" i="6"/>
  <c r="U135" i="6"/>
  <c r="W134" i="6"/>
  <c r="V134" i="6"/>
  <c r="U134" i="6"/>
  <c r="W133" i="6"/>
  <c r="V133" i="6"/>
  <c r="U133" i="6"/>
  <c r="W132" i="6"/>
  <c r="V132" i="6"/>
  <c r="U132" i="6"/>
  <c r="W131" i="6"/>
  <c r="V131" i="6"/>
  <c r="U131" i="6"/>
  <c r="W130" i="6"/>
  <c r="V130" i="6"/>
  <c r="U130" i="6"/>
  <c r="W129" i="6"/>
  <c r="V129" i="6"/>
  <c r="U129" i="6"/>
  <c r="W128" i="6"/>
  <c r="V128" i="6"/>
  <c r="U128" i="6"/>
  <c r="W127" i="6"/>
  <c r="V127" i="6"/>
  <c r="U127" i="6"/>
  <c r="W126" i="6"/>
  <c r="V126" i="6"/>
  <c r="U126" i="6"/>
  <c r="W125" i="6"/>
  <c r="V125" i="6"/>
  <c r="U125" i="6"/>
  <c r="W124" i="6"/>
  <c r="V124" i="6"/>
  <c r="U124" i="6"/>
  <c r="W123" i="6"/>
  <c r="V123" i="6"/>
  <c r="U123" i="6"/>
  <c r="W122" i="6"/>
  <c r="V122" i="6"/>
  <c r="U122" i="6"/>
  <c r="W121" i="6"/>
  <c r="V121" i="6"/>
  <c r="U121" i="6"/>
  <c r="W120" i="6"/>
  <c r="V120" i="6"/>
  <c r="U120" i="6"/>
  <c r="W119" i="6"/>
  <c r="V119" i="6"/>
  <c r="U119" i="6"/>
  <c r="W118" i="6"/>
  <c r="V118" i="6"/>
  <c r="U118" i="6"/>
  <c r="W117" i="6"/>
  <c r="V117" i="6"/>
  <c r="U117" i="6"/>
  <c r="W116" i="6"/>
  <c r="V116" i="6"/>
  <c r="U116" i="6"/>
  <c r="V115" i="6"/>
  <c r="U115" i="6"/>
  <c r="W114" i="6"/>
  <c r="V114" i="6"/>
  <c r="U114" i="6"/>
  <c r="W113" i="6"/>
  <c r="V113" i="6"/>
  <c r="U113" i="6"/>
  <c r="W112" i="6"/>
  <c r="V112" i="6"/>
  <c r="U112" i="6"/>
  <c r="W111" i="6"/>
  <c r="V111" i="6"/>
  <c r="U111" i="6"/>
  <c r="W110" i="6"/>
  <c r="V110" i="6"/>
  <c r="U110" i="6"/>
  <c r="W109" i="6"/>
  <c r="V109" i="6"/>
  <c r="U109" i="6"/>
  <c r="W108" i="6"/>
  <c r="V108" i="6"/>
  <c r="U108" i="6"/>
  <c r="W107" i="6"/>
  <c r="V107" i="6"/>
  <c r="U107" i="6"/>
  <c r="W106" i="6"/>
  <c r="V106" i="6"/>
  <c r="U106" i="6"/>
  <c r="W105" i="6"/>
  <c r="V105" i="6"/>
  <c r="U105" i="6"/>
  <c r="V104" i="6"/>
  <c r="U104" i="6"/>
  <c r="W103" i="6"/>
  <c r="V103" i="6"/>
  <c r="U103" i="6"/>
  <c r="W102" i="6"/>
  <c r="V102" i="6"/>
  <c r="U102" i="6"/>
  <c r="W101" i="6"/>
  <c r="V101" i="6"/>
  <c r="U101" i="6"/>
  <c r="W100" i="6"/>
  <c r="V100" i="6"/>
  <c r="U100" i="6"/>
  <c r="W99" i="6"/>
  <c r="V99" i="6"/>
  <c r="U99" i="6"/>
  <c r="W98" i="6"/>
  <c r="V98" i="6"/>
  <c r="U98" i="6"/>
  <c r="W97" i="6"/>
  <c r="V97" i="6"/>
  <c r="U97" i="6"/>
  <c r="W96" i="6"/>
  <c r="V96" i="6"/>
  <c r="U96" i="6"/>
  <c r="W95" i="6"/>
  <c r="V95" i="6"/>
  <c r="U95" i="6"/>
  <c r="W94" i="6"/>
  <c r="V94" i="6"/>
  <c r="U94" i="6"/>
  <c r="W93" i="6"/>
  <c r="V93" i="6"/>
  <c r="U93" i="6"/>
  <c r="W92" i="6"/>
  <c r="V92" i="6"/>
  <c r="U92" i="6"/>
  <c r="W91" i="6"/>
  <c r="V91" i="6"/>
  <c r="U91" i="6"/>
  <c r="W88" i="6"/>
  <c r="V88" i="6"/>
  <c r="U88" i="6"/>
  <c r="U87" i="6"/>
  <c r="W86" i="6"/>
  <c r="V86" i="6"/>
  <c r="U86" i="6"/>
  <c r="W85" i="6"/>
  <c r="U85" i="6"/>
  <c r="U84" i="6"/>
  <c r="U83" i="6"/>
  <c r="U82" i="6"/>
  <c r="W81" i="6"/>
  <c r="V81" i="6"/>
  <c r="U81" i="6"/>
  <c r="W80" i="6"/>
  <c r="U80" i="6"/>
  <c r="U79" i="6"/>
  <c r="U78" i="6"/>
  <c r="V77" i="6"/>
  <c r="U77" i="6"/>
  <c r="U76" i="6"/>
  <c r="W75" i="6"/>
  <c r="V75" i="6"/>
  <c r="U75" i="6"/>
  <c r="W74" i="6"/>
  <c r="V74" i="6"/>
  <c r="U74" i="6"/>
  <c r="V73" i="6"/>
  <c r="U73" i="6"/>
  <c r="W72" i="6"/>
  <c r="V72" i="6"/>
  <c r="U72" i="6"/>
  <c r="W71" i="6"/>
  <c r="V71" i="6"/>
  <c r="U71" i="6"/>
  <c r="W70" i="6"/>
  <c r="V70" i="6"/>
  <c r="U70" i="6"/>
  <c r="W69" i="6"/>
  <c r="V69" i="6"/>
  <c r="U69" i="6"/>
  <c r="W68" i="6"/>
  <c r="V68" i="6"/>
  <c r="U68" i="6"/>
  <c r="W67" i="6"/>
  <c r="V67" i="6"/>
  <c r="U67" i="6"/>
  <c r="W66" i="6"/>
  <c r="V66" i="6"/>
  <c r="U66" i="6"/>
  <c r="W65" i="6"/>
  <c r="V65" i="6"/>
  <c r="U65" i="6"/>
  <c r="W43" i="6"/>
  <c r="V43" i="6"/>
  <c r="U43" i="6"/>
  <c r="W42" i="6"/>
  <c r="V42" i="6"/>
  <c r="U42" i="6"/>
  <c r="W41" i="6"/>
  <c r="V41" i="6"/>
  <c r="U41" i="6"/>
  <c r="W40" i="6"/>
  <c r="V40" i="6"/>
  <c r="U40" i="6"/>
  <c r="W39" i="6"/>
  <c r="V39" i="6"/>
  <c r="U39" i="6"/>
  <c r="W38" i="6"/>
  <c r="V38" i="6"/>
  <c r="U38" i="6"/>
  <c r="W37" i="6"/>
  <c r="V37" i="6"/>
  <c r="U37" i="6"/>
  <c r="W36" i="6"/>
  <c r="V36" i="6"/>
  <c r="U36" i="6"/>
  <c r="W35" i="6"/>
  <c r="V35" i="6"/>
  <c r="U35" i="6"/>
  <c r="W34" i="6"/>
  <c r="V34" i="6"/>
  <c r="U34" i="6"/>
  <c r="W33" i="6"/>
  <c r="V33" i="6"/>
  <c r="U33" i="6"/>
  <c r="W32" i="6"/>
  <c r="V32" i="6"/>
  <c r="U32" i="6"/>
  <c r="W31" i="6"/>
  <c r="V31" i="6"/>
  <c r="U31" i="6"/>
  <c r="W30" i="6"/>
  <c r="V30" i="6"/>
  <c r="U30" i="6"/>
  <c r="W29" i="6"/>
  <c r="V29" i="6"/>
  <c r="U29" i="6"/>
  <c r="W28" i="6"/>
  <c r="V28" i="6"/>
  <c r="U28" i="6"/>
  <c r="W27" i="6"/>
  <c r="V27" i="6"/>
  <c r="U27" i="6"/>
  <c r="W26" i="6"/>
  <c r="V26" i="6"/>
  <c r="U26" i="6"/>
  <c r="W25" i="6"/>
  <c r="V25" i="6"/>
  <c r="U25" i="6"/>
  <c r="W24" i="6"/>
  <c r="V24" i="6"/>
  <c r="U24" i="6"/>
  <c r="W23" i="6"/>
  <c r="V23" i="6"/>
  <c r="U23" i="6"/>
  <c r="W22" i="6"/>
  <c r="V22" i="6"/>
  <c r="U22" i="6"/>
  <c r="W21" i="6"/>
  <c r="V21" i="6"/>
  <c r="U21" i="6"/>
  <c r="W20" i="6"/>
  <c r="V20" i="6"/>
  <c r="U20" i="6"/>
  <c r="W19" i="6"/>
  <c r="V19" i="6"/>
  <c r="U19" i="6"/>
  <c r="V18" i="6"/>
  <c r="U18" i="6"/>
  <c r="W17" i="6"/>
  <c r="V17" i="6"/>
  <c r="U17" i="6"/>
  <c r="W16" i="6"/>
  <c r="V16" i="6"/>
  <c r="U16" i="6"/>
  <c r="W15" i="6"/>
  <c r="V15" i="6"/>
  <c r="U15" i="6"/>
  <c r="W14" i="6"/>
  <c r="V14" i="6"/>
  <c r="U14" i="6"/>
  <c r="W13" i="6"/>
  <c r="V13" i="6"/>
  <c r="U13" i="6"/>
  <c r="W12" i="6"/>
  <c r="V12" i="6"/>
  <c r="U12" i="6"/>
  <c r="W11" i="6"/>
  <c r="V11" i="6"/>
  <c r="U11" i="6"/>
  <c r="W10" i="6"/>
  <c r="V10" i="6"/>
  <c r="U10" i="6"/>
  <c r="W9" i="6"/>
  <c r="V9" i="6"/>
  <c r="U9" i="6"/>
  <c r="W8" i="6"/>
  <c r="V8" i="6"/>
  <c r="U8" i="6"/>
  <c r="W7" i="6"/>
  <c r="V7" i="6"/>
  <c r="U7" i="6"/>
  <c r="W6" i="6"/>
  <c r="V6" i="6"/>
  <c r="U6" i="6"/>
  <c r="W5" i="6"/>
  <c r="V5" i="6"/>
  <c r="U5" i="6"/>
  <c r="W4" i="6"/>
  <c r="V4" i="6"/>
  <c r="U4" i="6"/>
  <c r="O182" i="4"/>
  <c r="N182" i="4"/>
  <c r="M182" i="4"/>
  <c r="O181" i="4"/>
  <c r="N181" i="4"/>
  <c r="M181" i="4"/>
  <c r="O180" i="4"/>
  <c r="N180" i="4"/>
  <c r="M180" i="4"/>
  <c r="O179" i="4"/>
  <c r="N179" i="4"/>
  <c r="M179" i="4"/>
  <c r="O178" i="4"/>
  <c r="N178" i="4"/>
  <c r="M178" i="4"/>
  <c r="O177" i="4"/>
  <c r="N177" i="4"/>
  <c r="M177" i="4"/>
  <c r="O176" i="4"/>
  <c r="N176" i="4"/>
  <c r="M176" i="4"/>
  <c r="O175" i="4"/>
  <c r="N175" i="4"/>
  <c r="M175" i="4"/>
  <c r="O174" i="4"/>
  <c r="N174" i="4"/>
  <c r="M174" i="4"/>
  <c r="O173" i="4"/>
  <c r="N173" i="4"/>
  <c r="M173" i="4"/>
  <c r="O172" i="4"/>
  <c r="N172" i="4"/>
  <c r="M172" i="4"/>
  <c r="O171" i="4"/>
  <c r="N171" i="4"/>
  <c r="M171" i="4"/>
  <c r="O170" i="4"/>
  <c r="N170" i="4"/>
  <c r="M170" i="4"/>
  <c r="O169" i="4"/>
  <c r="N169" i="4"/>
  <c r="M169" i="4"/>
  <c r="O168" i="4"/>
  <c r="N168" i="4"/>
  <c r="M168" i="4"/>
  <c r="O167" i="4"/>
  <c r="N167" i="4"/>
  <c r="M167" i="4"/>
  <c r="O166" i="4"/>
  <c r="N166" i="4"/>
  <c r="M166" i="4"/>
  <c r="O165" i="4"/>
  <c r="N165" i="4"/>
  <c r="M165" i="4"/>
  <c r="O163" i="4"/>
  <c r="N163" i="4"/>
  <c r="M163" i="4"/>
  <c r="O162" i="4"/>
  <c r="N162" i="4"/>
  <c r="M162" i="4"/>
  <c r="O161" i="4"/>
  <c r="N161" i="4"/>
  <c r="M161" i="4"/>
  <c r="O160" i="4"/>
  <c r="N160" i="4"/>
  <c r="M160" i="4"/>
  <c r="O159" i="4"/>
  <c r="N159" i="4"/>
  <c r="M159" i="4"/>
  <c r="O158" i="4"/>
  <c r="N158" i="4"/>
  <c r="M158" i="4"/>
  <c r="O157" i="4"/>
  <c r="N157" i="4"/>
  <c r="M157" i="4"/>
  <c r="O156" i="4"/>
  <c r="N156" i="4"/>
  <c r="M156" i="4"/>
  <c r="O155" i="4"/>
  <c r="N155" i="4"/>
  <c r="M155" i="4"/>
  <c r="O154" i="4"/>
  <c r="N154" i="4"/>
  <c r="M154" i="4"/>
  <c r="O153" i="4"/>
  <c r="N153" i="4"/>
  <c r="M153" i="4"/>
  <c r="O152" i="4"/>
  <c r="N152" i="4"/>
  <c r="M152" i="4"/>
  <c r="O151" i="4"/>
  <c r="N151" i="4"/>
  <c r="M151" i="4"/>
  <c r="O150" i="4"/>
  <c r="N150" i="4"/>
  <c r="M150" i="4"/>
  <c r="O143" i="4"/>
  <c r="N143" i="4"/>
  <c r="M143" i="4"/>
  <c r="O142" i="4"/>
  <c r="N142" i="4"/>
  <c r="M142" i="4"/>
  <c r="O141" i="4"/>
  <c r="N141" i="4"/>
  <c r="M141" i="4"/>
  <c r="O140" i="4"/>
  <c r="N140" i="4"/>
  <c r="M140" i="4"/>
  <c r="O139" i="4"/>
  <c r="N139" i="4"/>
  <c r="M139" i="4"/>
  <c r="O138" i="4"/>
  <c r="N138" i="4"/>
  <c r="M138" i="4"/>
  <c r="O137" i="4"/>
  <c r="N137" i="4"/>
  <c r="M137" i="4"/>
  <c r="O136" i="4"/>
  <c r="N136" i="4"/>
  <c r="M136" i="4"/>
  <c r="O135" i="4"/>
  <c r="N135" i="4"/>
  <c r="M135" i="4"/>
  <c r="O134" i="4"/>
  <c r="N134" i="4"/>
  <c r="M134" i="4"/>
  <c r="O133" i="4"/>
  <c r="N133" i="4"/>
  <c r="M133" i="4"/>
  <c r="O132" i="4"/>
  <c r="N132" i="4"/>
  <c r="M132" i="4"/>
  <c r="O131" i="4"/>
  <c r="N131" i="4"/>
  <c r="M131" i="4"/>
  <c r="O130" i="4"/>
  <c r="N130" i="4"/>
  <c r="M130" i="4"/>
  <c r="O129" i="4"/>
  <c r="N129" i="4"/>
  <c r="M129" i="4"/>
  <c r="O128" i="4"/>
  <c r="N128" i="4"/>
  <c r="M128" i="4"/>
  <c r="O127" i="4"/>
  <c r="N127" i="4"/>
  <c r="M127" i="4"/>
  <c r="O126" i="4"/>
  <c r="N126" i="4"/>
  <c r="M126" i="4"/>
  <c r="O125" i="4"/>
  <c r="N125" i="4"/>
  <c r="M125" i="4"/>
  <c r="O124" i="4"/>
  <c r="N124" i="4"/>
  <c r="M124" i="4"/>
  <c r="N123" i="4"/>
  <c r="M123" i="4"/>
  <c r="O122" i="4"/>
  <c r="N122" i="4"/>
  <c r="M122" i="4"/>
  <c r="O121" i="4"/>
  <c r="N121" i="4"/>
  <c r="M121" i="4"/>
  <c r="O120" i="4"/>
  <c r="N120" i="4"/>
  <c r="M120" i="4"/>
  <c r="O119" i="4"/>
  <c r="N119" i="4"/>
  <c r="M119" i="4"/>
  <c r="O118" i="4"/>
  <c r="N118" i="4"/>
  <c r="M118" i="4"/>
  <c r="O117" i="4"/>
  <c r="N117" i="4"/>
  <c r="M117" i="4"/>
  <c r="O116" i="4"/>
  <c r="N116" i="4"/>
  <c r="M116" i="4"/>
  <c r="O115" i="4"/>
  <c r="N115" i="4"/>
  <c r="M115" i="4"/>
  <c r="O114" i="4"/>
  <c r="N114" i="4"/>
  <c r="M114" i="4"/>
  <c r="O113" i="4"/>
  <c r="N113" i="4"/>
  <c r="M113" i="4"/>
  <c r="O111" i="4"/>
  <c r="N111" i="4"/>
  <c r="M111" i="4"/>
  <c r="O110" i="4"/>
  <c r="N110" i="4"/>
  <c r="M110" i="4"/>
  <c r="O109" i="4"/>
  <c r="N109" i="4"/>
  <c r="M109" i="4"/>
  <c r="O108" i="4"/>
  <c r="N108" i="4"/>
  <c r="M108" i="4"/>
  <c r="O107" i="4"/>
  <c r="N107" i="4"/>
  <c r="M107" i="4"/>
  <c r="O106" i="4"/>
  <c r="N106" i="4"/>
  <c r="M106" i="4"/>
  <c r="O105" i="4"/>
  <c r="N105" i="4"/>
  <c r="M105" i="4"/>
  <c r="O104" i="4"/>
  <c r="N104" i="4"/>
  <c r="M104" i="4"/>
  <c r="O103" i="4"/>
  <c r="N103" i="4"/>
  <c r="M103" i="4"/>
  <c r="O102" i="4"/>
  <c r="N102" i="4"/>
  <c r="M102" i="4"/>
  <c r="O101" i="4"/>
  <c r="N101" i="4"/>
  <c r="M101" i="4"/>
  <c r="O100" i="4"/>
  <c r="N100" i="4"/>
  <c r="M100" i="4"/>
  <c r="O99" i="4"/>
  <c r="N99" i="4"/>
  <c r="M99" i="4"/>
  <c r="O98" i="4"/>
  <c r="N98" i="4"/>
  <c r="M98" i="4"/>
  <c r="O97" i="4"/>
  <c r="N97" i="4"/>
  <c r="M97" i="4"/>
  <c r="O96" i="4"/>
  <c r="N96" i="4"/>
  <c r="M96" i="4"/>
  <c r="O95" i="4"/>
  <c r="N95" i="4"/>
  <c r="M95" i="4"/>
  <c r="O94" i="4"/>
  <c r="N94" i="4"/>
  <c r="M94" i="4"/>
  <c r="O93" i="4"/>
  <c r="N93" i="4"/>
  <c r="M93" i="4"/>
  <c r="O92" i="4"/>
  <c r="N92" i="4"/>
  <c r="M92" i="4"/>
  <c r="O91" i="4"/>
  <c r="N91" i="4"/>
  <c r="M91" i="4"/>
  <c r="O90" i="4"/>
  <c r="N90" i="4"/>
  <c r="M90" i="4"/>
  <c r="O89" i="4"/>
  <c r="N89" i="4"/>
  <c r="M89" i="4"/>
  <c r="O88" i="4"/>
  <c r="N88" i="4"/>
  <c r="M88" i="4"/>
  <c r="O87" i="4"/>
  <c r="N87" i="4"/>
  <c r="M87" i="4"/>
  <c r="O86" i="4"/>
  <c r="N86" i="4"/>
  <c r="M86" i="4"/>
  <c r="O85" i="4"/>
  <c r="N85" i="4"/>
  <c r="M85" i="4"/>
  <c r="O84" i="4"/>
  <c r="N84" i="4"/>
  <c r="M84" i="4"/>
  <c r="O83" i="4"/>
  <c r="N83" i="4"/>
  <c r="M83" i="4"/>
  <c r="O82" i="4"/>
  <c r="N82" i="4"/>
  <c r="M82" i="4"/>
  <c r="O81" i="4"/>
  <c r="N81" i="4"/>
  <c r="M81" i="4"/>
  <c r="O80" i="4"/>
  <c r="N80" i="4"/>
  <c r="M80" i="4"/>
  <c r="O79" i="4"/>
  <c r="N79" i="4"/>
  <c r="M79" i="4"/>
  <c r="O78" i="4"/>
  <c r="N78" i="4"/>
  <c r="M78" i="4"/>
  <c r="O77" i="4"/>
  <c r="N77" i="4"/>
  <c r="M77" i="4"/>
  <c r="O76" i="4"/>
  <c r="N76" i="4"/>
  <c r="M76" i="4"/>
  <c r="O75" i="4"/>
  <c r="N75" i="4"/>
  <c r="M75" i="4"/>
  <c r="O74" i="4"/>
  <c r="N74" i="4"/>
  <c r="M74" i="4"/>
  <c r="O73" i="4"/>
  <c r="N73" i="4"/>
  <c r="M73" i="4"/>
  <c r="O72" i="4"/>
  <c r="N72" i="4"/>
  <c r="M72" i="4"/>
  <c r="O71" i="4"/>
  <c r="N71" i="4"/>
  <c r="M71" i="4"/>
  <c r="O70" i="4"/>
  <c r="N70" i="4"/>
  <c r="M70" i="4"/>
  <c r="O69" i="4"/>
  <c r="N69" i="4"/>
  <c r="M69" i="4"/>
  <c r="O68" i="4"/>
  <c r="N68" i="4"/>
  <c r="M68" i="4"/>
  <c r="O67" i="4"/>
  <c r="N67" i="4"/>
  <c r="M67" i="4"/>
  <c r="O66" i="4"/>
  <c r="N66" i="4"/>
  <c r="M66" i="4"/>
  <c r="O65" i="4"/>
  <c r="N65" i="4"/>
  <c r="M65" i="4"/>
  <c r="O64" i="4"/>
  <c r="N64" i="4"/>
  <c r="M64" i="4"/>
  <c r="O61" i="4"/>
  <c r="N61" i="4"/>
  <c r="M61" i="4"/>
  <c r="O60" i="4"/>
  <c r="N60" i="4"/>
  <c r="M60" i="4"/>
  <c r="O59" i="4"/>
  <c r="N59" i="4"/>
  <c r="M59" i="4"/>
  <c r="O58" i="4"/>
  <c r="N58" i="4"/>
  <c r="M58" i="4"/>
  <c r="O57" i="4"/>
  <c r="N57" i="4"/>
  <c r="M57" i="4"/>
  <c r="O56" i="4"/>
  <c r="N56" i="4"/>
  <c r="M56" i="4"/>
  <c r="O55" i="4"/>
  <c r="N55" i="4"/>
  <c r="M55" i="4"/>
  <c r="O54" i="4"/>
  <c r="N54" i="4"/>
  <c r="M54" i="4"/>
  <c r="O53" i="4"/>
  <c r="N53" i="4"/>
  <c r="M53" i="4"/>
  <c r="O52" i="4"/>
  <c r="M52" i="4"/>
  <c r="O51" i="4"/>
  <c r="N51" i="4"/>
  <c r="M51" i="4"/>
  <c r="O50" i="4"/>
  <c r="N50" i="4"/>
  <c r="M50" i="4"/>
  <c r="O49" i="4"/>
  <c r="N49" i="4"/>
  <c r="M49" i="4"/>
  <c r="O48" i="4"/>
  <c r="N48" i="4"/>
  <c r="M48" i="4"/>
  <c r="O47" i="4"/>
  <c r="N47" i="4"/>
  <c r="M47" i="4"/>
  <c r="O46" i="4"/>
  <c r="N46" i="4"/>
  <c r="M46" i="4"/>
  <c r="O45" i="4"/>
  <c r="N45" i="4"/>
  <c r="M45" i="4"/>
  <c r="X208" i="6"/>
  <c r="T208" i="6"/>
  <c r="S208" i="6"/>
  <c r="R208" i="6"/>
  <c r="X207" i="6"/>
  <c r="T207" i="6"/>
  <c r="S207" i="6"/>
  <c r="R207" i="6"/>
  <c r="X206" i="6"/>
  <c r="T206" i="6"/>
  <c r="S206" i="6"/>
  <c r="R206" i="6"/>
  <c r="X205" i="6"/>
  <c r="T205" i="6"/>
  <c r="S205" i="6"/>
  <c r="R205" i="6"/>
  <c r="X204" i="6"/>
  <c r="T204" i="6"/>
  <c r="S204" i="6"/>
  <c r="R204" i="6"/>
  <c r="X203" i="6"/>
  <c r="T203" i="6"/>
  <c r="S203" i="6"/>
  <c r="R203" i="6"/>
  <c r="X202" i="6"/>
  <c r="T202" i="6"/>
  <c r="S202" i="6"/>
  <c r="R202" i="6"/>
  <c r="X201" i="6"/>
  <c r="T201" i="6"/>
  <c r="S201" i="6"/>
  <c r="R201" i="6"/>
  <c r="X200" i="6"/>
  <c r="T200" i="6"/>
  <c r="S200" i="6"/>
  <c r="R200" i="6"/>
  <c r="X199" i="6"/>
  <c r="T199" i="6"/>
  <c r="S199" i="6"/>
  <c r="R199" i="6"/>
  <c r="X198" i="6"/>
  <c r="T198" i="6"/>
  <c r="S198" i="6"/>
  <c r="R198" i="6"/>
  <c r="X197" i="6"/>
  <c r="T197" i="6"/>
  <c r="S197" i="6"/>
  <c r="R197" i="6"/>
  <c r="X196" i="6"/>
  <c r="T196" i="6"/>
  <c r="S196" i="6"/>
  <c r="R196" i="6"/>
  <c r="X195" i="6"/>
  <c r="T195" i="6"/>
  <c r="S195" i="6"/>
  <c r="R195" i="6"/>
  <c r="X194" i="6"/>
  <c r="T194" i="6"/>
  <c r="S194" i="6"/>
  <c r="R194" i="6"/>
  <c r="X193" i="6"/>
  <c r="T193" i="6"/>
  <c r="S193" i="6"/>
  <c r="R193" i="6"/>
  <c r="X192" i="6"/>
  <c r="T192" i="6"/>
  <c r="S192" i="6"/>
  <c r="R192" i="6"/>
  <c r="X191" i="6"/>
  <c r="T191" i="6"/>
  <c r="S191" i="6"/>
  <c r="R191" i="6"/>
  <c r="X189" i="6"/>
  <c r="T189" i="6"/>
  <c r="S189" i="6"/>
  <c r="R189" i="6"/>
  <c r="X188" i="6"/>
  <c r="T188" i="6"/>
  <c r="S188" i="6"/>
  <c r="R188" i="6"/>
  <c r="X187" i="6"/>
  <c r="T187" i="6"/>
  <c r="S187" i="6"/>
  <c r="R187" i="6"/>
  <c r="X186" i="6"/>
  <c r="T186" i="6"/>
  <c r="S186" i="6"/>
  <c r="R186" i="6"/>
  <c r="X185" i="6"/>
  <c r="T185" i="6"/>
  <c r="S185" i="6"/>
  <c r="R185" i="6"/>
  <c r="X184" i="6"/>
  <c r="T184" i="6"/>
  <c r="S184" i="6"/>
  <c r="R184" i="6"/>
  <c r="X183" i="6"/>
  <c r="T183" i="6"/>
  <c r="S183" i="6"/>
  <c r="R183" i="6"/>
  <c r="X182" i="6"/>
  <c r="T182" i="6"/>
  <c r="S182" i="6"/>
  <c r="R182" i="6"/>
  <c r="X181" i="6"/>
  <c r="T181" i="6"/>
  <c r="S181" i="6"/>
  <c r="R181" i="6"/>
  <c r="X180" i="6"/>
  <c r="T180" i="6"/>
  <c r="S180" i="6"/>
  <c r="R180" i="6"/>
  <c r="X179" i="6"/>
  <c r="T179" i="6"/>
  <c r="S179" i="6"/>
  <c r="R179" i="6"/>
  <c r="X178" i="6"/>
  <c r="T178" i="6"/>
  <c r="S178" i="6"/>
  <c r="R178" i="6"/>
  <c r="X177" i="6"/>
  <c r="T177" i="6"/>
  <c r="S177" i="6"/>
  <c r="R177" i="6"/>
  <c r="X176" i="6"/>
  <c r="T176" i="6"/>
  <c r="S176" i="6"/>
  <c r="R176" i="6"/>
  <c r="X170" i="6"/>
  <c r="T170" i="6"/>
  <c r="S170" i="6"/>
  <c r="R170" i="6"/>
  <c r="X169" i="6"/>
  <c r="T169" i="6"/>
  <c r="S169" i="6"/>
  <c r="R169" i="6"/>
  <c r="X168" i="6"/>
  <c r="T168" i="6"/>
  <c r="S168" i="6"/>
  <c r="R168" i="6"/>
  <c r="X167" i="6"/>
  <c r="T167" i="6"/>
  <c r="S167" i="6"/>
  <c r="R167" i="6"/>
  <c r="X166" i="6"/>
  <c r="T166" i="6"/>
  <c r="S166" i="6"/>
  <c r="R166" i="6"/>
  <c r="X165" i="6"/>
  <c r="T165" i="6"/>
  <c r="S165" i="6"/>
  <c r="R165" i="6"/>
  <c r="X164" i="6"/>
  <c r="T164" i="6"/>
  <c r="S164" i="6"/>
  <c r="R164" i="6"/>
  <c r="X163" i="6"/>
  <c r="T163" i="6"/>
  <c r="S163" i="6"/>
  <c r="R163" i="6"/>
  <c r="X162" i="6"/>
  <c r="T162" i="6"/>
  <c r="S162" i="6"/>
  <c r="R162" i="6"/>
  <c r="X161" i="6"/>
  <c r="T161" i="6"/>
  <c r="S161" i="6"/>
  <c r="R161" i="6"/>
  <c r="X160" i="6"/>
  <c r="T160" i="6"/>
  <c r="S160" i="6"/>
  <c r="R160" i="6"/>
  <c r="X159" i="6"/>
  <c r="T159" i="6"/>
  <c r="S159" i="6"/>
  <c r="R159" i="6"/>
  <c r="X158" i="6"/>
  <c r="T158" i="6"/>
  <c r="S158" i="6"/>
  <c r="R158" i="6"/>
  <c r="X157" i="6"/>
  <c r="T157" i="6"/>
  <c r="S157" i="6"/>
  <c r="R157" i="6"/>
  <c r="X156" i="6"/>
  <c r="T156" i="6"/>
  <c r="S156" i="6"/>
  <c r="R156" i="6"/>
  <c r="X155" i="6"/>
  <c r="T155" i="6"/>
  <c r="S155" i="6"/>
  <c r="R155" i="6"/>
  <c r="X154" i="6"/>
  <c r="T154" i="6"/>
  <c r="S154" i="6"/>
  <c r="R154" i="6"/>
  <c r="X153" i="6"/>
  <c r="T153" i="6"/>
  <c r="S153" i="6"/>
  <c r="R153" i="6"/>
  <c r="X152" i="6"/>
  <c r="T152" i="6"/>
  <c r="S152" i="6"/>
  <c r="R152" i="6"/>
  <c r="X151" i="6"/>
  <c r="T151" i="6"/>
  <c r="S151" i="6"/>
  <c r="R151" i="6"/>
  <c r="X150" i="6"/>
  <c r="T150" i="6"/>
  <c r="S150" i="6"/>
  <c r="R150" i="6"/>
  <c r="X149" i="6"/>
  <c r="T149" i="6"/>
  <c r="S149" i="6"/>
  <c r="R149" i="6"/>
  <c r="X148" i="6"/>
  <c r="T148" i="6"/>
  <c r="S148" i="6"/>
  <c r="R148" i="6"/>
  <c r="X147" i="6"/>
  <c r="T147" i="6"/>
  <c r="S147" i="6"/>
  <c r="R147" i="6"/>
  <c r="X146" i="6"/>
  <c r="T146" i="6"/>
  <c r="S146" i="6"/>
  <c r="R146" i="6"/>
  <c r="X145" i="6"/>
  <c r="T145" i="6"/>
  <c r="S145" i="6"/>
  <c r="R145" i="6"/>
  <c r="X144" i="6"/>
  <c r="T144" i="6"/>
  <c r="S144" i="6"/>
  <c r="R144" i="6"/>
  <c r="X143" i="6"/>
  <c r="T143" i="6"/>
  <c r="S143" i="6"/>
  <c r="R143" i="6"/>
  <c r="X142" i="6"/>
  <c r="T142" i="6"/>
  <c r="S142" i="6"/>
  <c r="R142" i="6"/>
  <c r="T141" i="6"/>
  <c r="S141" i="6"/>
  <c r="R141" i="6"/>
  <c r="X140" i="6"/>
  <c r="T140" i="6"/>
  <c r="S140" i="6"/>
  <c r="R140" i="6"/>
  <c r="X137" i="6"/>
  <c r="T137" i="6"/>
  <c r="S137" i="6"/>
  <c r="R137" i="6"/>
  <c r="X136" i="6"/>
  <c r="T136" i="6"/>
  <c r="S136" i="6"/>
  <c r="R136" i="6"/>
  <c r="X135" i="6"/>
  <c r="T135" i="6"/>
  <c r="S135" i="6"/>
  <c r="R135" i="6"/>
  <c r="X134" i="6"/>
  <c r="T134" i="6"/>
  <c r="S134" i="6"/>
  <c r="R134" i="6"/>
  <c r="X133" i="6"/>
  <c r="T133" i="6"/>
  <c r="S133" i="6"/>
  <c r="R133" i="6"/>
  <c r="X132" i="6"/>
  <c r="T132" i="6"/>
  <c r="S132" i="6"/>
  <c r="R132" i="6"/>
  <c r="X131" i="6"/>
  <c r="T131" i="6"/>
  <c r="S131" i="6"/>
  <c r="R131" i="6"/>
  <c r="X130" i="6"/>
  <c r="T130" i="6"/>
  <c r="S130" i="6"/>
  <c r="R130" i="6"/>
  <c r="X129" i="6"/>
  <c r="T129" i="6"/>
  <c r="S129" i="6"/>
  <c r="R129" i="6"/>
  <c r="X128" i="6"/>
  <c r="T128" i="6"/>
  <c r="S128" i="6"/>
  <c r="R128" i="6"/>
  <c r="X127" i="6"/>
  <c r="T127" i="6"/>
  <c r="S127" i="6"/>
  <c r="R127" i="6"/>
  <c r="X126" i="6"/>
  <c r="T126" i="6"/>
  <c r="S126" i="6"/>
  <c r="R126" i="6"/>
  <c r="X125" i="6"/>
  <c r="T125" i="6"/>
  <c r="S125" i="6"/>
  <c r="R125" i="6"/>
  <c r="X124" i="6"/>
  <c r="T124" i="6"/>
  <c r="S124" i="6"/>
  <c r="R124" i="6"/>
  <c r="X123" i="6"/>
  <c r="T123" i="6"/>
  <c r="S123" i="6"/>
  <c r="R123" i="6"/>
  <c r="X122" i="6"/>
  <c r="T122" i="6"/>
  <c r="S122" i="6"/>
  <c r="R122" i="6"/>
  <c r="X121" i="6"/>
  <c r="T121" i="6"/>
  <c r="S121" i="6"/>
  <c r="R121" i="6"/>
  <c r="X120" i="6"/>
  <c r="T120" i="6"/>
  <c r="S120" i="6"/>
  <c r="R120" i="6"/>
  <c r="X119" i="6"/>
  <c r="T119" i="6"/>
  <c r="S119" i="6"/>
  <c r="R119" i="6"/>
  <c r="X118" i="6"/>
  <c r="T118" i="6"/>
  <c r="S118" i="6"/>
  <c r="R118" i="6"/>
  <c r="X117" i="6"/>
  <c r="T117" i="6"/>
  <c r="S117" i="6"/>
  <c r="R117" i="6"/>
  <c r="X116" i="6"/>
  <c r="T116" i="6"/>
  <c r="S116" i="6"/>
  <c r="R116" i="6"/>
  <c r="X115" i="6"/>
  <c r="T115" i="6"/>
  <c r="S115" i="6"/>
  <c r="R115" i="6"/>
  <c r="X114" i="6"/>
  <c r="T114" i="6"/>
  <c r="S114" i="6"/>
  <c r="R114" i="6"/>
  <c r="X113" i="6"/>
  <c r="T113" i="6"/>
  <c r="S113" i="6"/>
  <c r="R113" i="6"/>
  <c r="X112" i="6"/>
  <c r="T112" i="6"/>
  <c r="S112" i="6"/>
  <c r="R112" i="6"/>
  <c r="X111" i="6"/>
  <c r="T111" i="6"/>
  <c r="S111" i="6"/>
  <c r="R111" i="6"/>
  <c r="X110" i="6"/>
  <c r="T110" i="6"/>
  <c r="S110" i="6"/>
  <c r="R110" i="6"/>
  <c r="X109" i="6"/>
  <c r="T109" i="6"/>
  <c r="S109" i="6"/>
  <c r="R109" i="6"/>
  <c r="X108" i="6"/>
  <c r="T108" i="6"/>
  <c r="S108" i="6"/>
  <c r="R108" i="6"/>
  <c r="X107" i="6"/>
  <c r="T107" i="6"/>
  <c r="S107" i="6"/>
  <c r="R107" i="6"/>
  <c r="X106" i="6"/>
  <c r="T106" i="6"/>
  <c r="S106" i="6"/>
  <c r="R106" i="6"/>
  <c r="X105" i="6"/>
  <c r="T105" i="6"/>
  <c r="S105" i="6"/>
  <c r="R105" i="6"/>
  <c r="X104" i="6"/>
  <c r="T104" i="6"/>
  <c r="S104" i="6"/>
  <c r="R104" i="6"/>
  <c r="X103" i="6"/>
  <c r="T103" i="6"/>
  <c r="S103" i="6"/>
  <c r="R103" i="6"/>
  <c r="X102" i="6"/>
  <c r="T102" i="6"/>
  <c r="S102" i="6"/>
  <c r="R102" i="6"/>
  <c r="X101" i="6"/>
  <c r="T101" i="6"/>
  <c r="S101" i="6"/>
  <c r="R101" i="6"/>
  <c r="X100" i="6"/>
  <c r="T100" i="6"/>
  <c r="S100" i="6"/>
  <c r="R100" i="6"/>
  <c r="X99" i="6"/>
  <c r="T99" i="6"/>
  <c r="S99" i="6"/>
  <c r="R99" i="6"/>
  <c r="X98" i="6"/>
  <c r="T98" i="6"/>
  <c r="S98" i="6"/>
  <c r="R98" i="6"/>
  <c r="X97" i="6"/>
  <c r="T97" i="6"/>
  <c r="S97" i="6"/>
  <c r="R97" i="6"/>
  <c r="X96" i="6"/>
  <c r="T96" i="6"/>
  <c r="S96" i="6"/>
  <c r="R96" i="6"/>
  <c r="X95" i="6"/>
  <c r="T95" i="6"/>
  <c r="S95" i="6"/>
  <c r="R95" i="6"/>
  <c r="X94" i="6"/>
  <c r="T94" i="6"/>
  <c r="S94" i="6"/>
  <c r="R94" i="6"/>
  <c r="X93" i="6"/>
  <c r="T93" i="6"/>
  <c r="S93" i="6"/>
  <c r="R93" i="6"/>
  <c r="X92" i="6"/>
  <c r="T92" i="6"/>
  <c r="S92" i="6"/>
  <c r="R92" i="6"/>
  <c r="X91" i="6"/>
  <c r="T91" i="6"/>
  <c r="S91" i="6"/>
  <c r="R91" i="6"/>
  <c r="X88" i="6"/>
  <c r="T88" i="6"/>
  <c r="S88" i="6"/>
  <c r="R88" i="6"/>
  <c r="X87" i="6"/>
  <c r="T87" i="6"/>
  <c r="S87" i="6"/>
  <c r="R87" i="6"/>
  <c r="X86" i="6"/>
  <c r="T86" i="6"/>
  <c r="S86" i="6"/>
  <c r="R86" i="6"/>
  <c r="X85" i="6"/>
  <c r="T85" i="6"/>
  <c r="S85" i="6"/>
  <c r="R85" i="6"/>
  <c r="X84" i="6"/>
  <c r="T84" i="6"/>
  <c r="R84" i="6"/>
  <c r="X83" i="6"/>
  <c r="T83" i="6"/>
  <c r="S83" i="6"/>
  <c r="R83" i="6"/>
  <c r="X82" i="6"/>
  <c r="T82" i="6"/>
  <c r="S82" i="6"/>
  <c r="R82" i="6"/>
  <c r="X81" i="6"/>
  <c r="T81" i="6"/>
  <c r="S81" i="6"/>
  <c r="R81" i="6"/>
  <c r="X80" i="6"/>
  <c r="T80" i="6"/>
  <c r="S80" i="6"/>
  <c r="R80" i="6"/>
  <c r="X79" i="6"/>
  <c r="T79" i="6"/>
  <c r="R79" i="6"/>
  <c r="X78" i="6"/>
  <c r="T78" i="6"/>
  <c r="S78" i="6"/>
  <c r="R78" i="6"/>
  <c r="X77" i="6"/>
  <c r="T77" i="6"/>
  <c r="S77" i="6"/>
  <c r="R77" i="6"/>
  <c r="X76" i="6"/>
  <c r="T76" i="6"/>
  <c r="S76" i="6"/>
  <c r="R76" i="6"/>
  <c r="X75" i="6"/>
  <c r="T75" i="6"/>
  <c r="S75" i="6"/>
  <c r="R75" i="6"/>
  <c r="X74" i="6"/>
  <c r="T74" i="6"/>
  <c r="S74" i="6"/>
  <c r="R74" i="6"/>
  <c r="X73" i="6"/>
  <c r="T73" i="6"/>
  <c r="S73" i="6"/>
  <c r="R73" i="6"/>
  <c r="X72" i="6"/>
  <c r="T72" i="6"/>
  <c r="S72" i="6"/>
  <c r="R72" i="6"/>
  <c r="X71" i="6"/>
  <c r="T71" i="6"/>
  <c r="S71" i="6"/>
  <c r="R71" i="6"/>
  <c r="X70" i="6"/>
  <c r="T70" i="6"/>
  <c r="S70" i="6"/>
  <c r="R70" i="6"/>
  <c r="X69" i="6"/>
  <c r="T69" i="6"/>
  <c r="S69" i="6"/>
  <c r="R69" i="6"/>
  <c r="X68" i="6"/>
  <c r="T68" i="6"/>
  <c r="S68" i="6"/>
  <c r="R68" i="6"/>
  <c r="X67" i="6"/>
  <c r="T67" i="6"/>
  <c r="S67" i="6"/>
  <c r="R67" i="6"/>
  <c r="X66" i="6"/>
  <c r="T66" i="6"/>
  <c r="S66" i="6"/>
  <c r="R66" i="6"/>
  <c r="X65" i="6"/>
  <c r="T65" i="6"/>
  <c r="S65" i="6"/>
  <c r="R65" i="6"/>
  <c r="X43" i="6"/>
  <c r="T43" i="6"/>
  <c r="S43" i="6"/>
  <c r="R43" i="6"/>
  <c r="X42" i="6"/>
  <c r="T42" i="6"/>
  <c r="S42" i="6"/>
  <c r="R42" i="6"/>
  <c r="X41" i="6"/>
  <c r="T41" i="6"/>
  <c r="S41" i="6"/>
  <c r="R41" i="6"/>
  <c r="X40" i="6"/>
  <c r="T40" i="6"/>
  <c r="S40" i="6"/>
  <c r="R40" i="6"/>
  <c r="X39" i="6"/>
  <c r="T39" i="6"/>
  <c r="S39" i="6"/>
  <c r="R39" i="6"/>
  <c r="X38" i="6"/>
  <c r="T38" i="6"/>
  <c r="S38" i="6"/>
  <c r="R38" i="6"/>
  <c r="X37" i="6"/>
  <c r="T37" i="6"/>
  <c r="S37" i="6"/>
  <c r="R37" i="6"/>
  <c r="X36" i="6"/>
  <c r="T36" i="6"/>
  <c r="S36" i="6"/>
  <c r="R36" i="6"/>
  <c r="X35" i="6"/>
  <c r="T35" i="6"/>
  <c r="S35" i="6"/>
  <c r="R35" i="6"/>
  <c r="X34" i="6"/>
  <c r="T34" i="6"/>
  <c r="S34" i="6"/>
  <c r="R34" i="6"/>
  <c r="X33" i="6"/>
  <c r="T33" i="6"/>
  <c r="S33" i="6"/>
  <c r="R33" i="6"/>
  <c r="X32" i="6"/>
  <c r="T32" i="6"/>
  <c r="S32" i="6"/>
  <c r="R32" i="6"/>
  <c r="X31" i="6"/>
  <c r="T31" i="6"/>
  <c r="S31" i="6"/>
  <c r="R31" i="6"/>
  <c r="X30" i="6"/>
  <c r="T30" i="6"/>
  <c r="S30" i="6"/>
  <c r="R30" i="6"/>
  <c r="X29" i="6"/>
  <c r="T29" i="6"/>
  <c r="S29" i="6"/>
  <c r="R29" i="6"/>
  <c r="X28" i="6"/>
  <c r="T28" i="6"/>
  <c r="S28" i="6"/>
  <c r="R28" i="6"/>
  <c r="X27" i="6"/>
  <c r="T27" i="6"/>
  <c r="S27" i="6"/>
  <c r="R27" i="6"/>
  <c r="X26" i="6"/>
  <c r="T26" i="6"/>
  <c r="S26" i="6"/>
  <c r="R26" i="6"/>
  <c r="X25" i="6"/>
  <c r="T25" i="6"/>
  <c r="S25" i="6"/>
  <c r="R25" i="6"/>
  <c r="X24" i="6"/>
  <c r="T24" i="6"/>
  <c r="S24" i="6"/>
  <c r="R24" i="6"/>
  <c r="X23" i="6"/>
  <c r="T23" i="6"/>
  <c r="S23" i="6"/>
  <c r="R23" i="6"/>
  <c r="X22" i="6"/>
  <c r="T22" i="6"/>
  <c r="S22" i="6"/>
  <c r="R22" i="6"/>
  <c r="X21" i="6"/>
  <c r="T21" i="6"/>
  <c r="S21" i="6"/>
  <c r="R21" i="6"/>
  <c r="X20" i="6"/>
  <c r="T20" i="6"/>
  <c r="S20" i="6"/>
  <c r="R20" i="6"/>
  <c r="X19" i="6"/>
  <c r="T19" i="6"/>
  <c r="S19" i="6"/>
  <c r="R19" i="6"/>
  <c r="X18" i="6"/>
  <c r="T18" i="6"/>
  <c r="S18" i="6"/>
  <c r="R18" i="6"/>
  <c r="X17" i="6"/>
  <c r="T17" i="6"/>
  <c r="S17" i="6"/>
  <c r="R17" i="6"/>
  <c r="X16" i="6"/>
  <c r="T16" i="6"/>
  <c r="S16" i="6"/>
  <c r="R16" i="6"/>
  <c r="X15" i="6"/>
  <c r="T15" i="6"/>
  <c r="S15" i="6"/>
  <c r="R15" i="6"/>
  <c r="X14" i="6"/>
  <c r="T14" i="6"/>
  <c r="S14" i="6"/>
  <c r="R14" i="6"/>
  <c r="X13" i="6"/>
  <c r="T13" i="6"/>
  <c r="S13" i="6"/>
  <c r="R13" i="6"/>
  <c r="X12" i="6"/>
  <c r="T12" i="6"/>
  <c r="S12" i="6"/>
  <c r="R12" i="6"/>
  <c r="X11" i="6"/>
  <c r="T11" i="6"/>
  <c r="S11" i="6"/>
  <c r="R11" i="6"/>
  <c r="X10" i="6"/>
  <c r="T10" i="6"/>
  <c r="S10" i="6"/>
  <c r="R10" i="6"/>
  <c r="X9" i="6"/>
  <c r="T9" i="6"/>
  <c r="S9" i="6"/>
  <c r="R9" i="6"/>
  <c r="X8" i="6"/>
  <c r="T8" i="6"/>
  <c r="S8" i="6"/>
  <c r="R8" i="6"/>
  <c r="X7" i="6"/>
  <c r="T7" i="6"/>
  <c r="S7" i="6"/>
  <c r="R7" i="6"/>
  <c r="X6" i="6"/>
  <c r="T6" i="6"/>
  <c r="S6" i="6"/>
  <c r="R6" i="6"/>
  <c r="X5" i="6"/>
  <c r="T5" i="6"/>
  <c r="S5" i="6"/>
  <c r="R5" i="6"/>
  <c r="X4" i="6"/>
  <c r="T4" i="6"/>
  <c r="S4" i="6"/>
  <c r="R4" i="6"/>
  <c r="P182" i="4"/>
  <c r="P181" i="4"/>
  <c r="P180" i="4"/>
  <c r="P179" i="4"/>
  <c r="P178" i="4"/>
  <c r="P177" i="4"/>
  <c r="P176" i="4"/>
  <c r="P175" i="4"/>
  <c r="P174" i="4"/>
  <c r="P173" i="4"/>
  <c r="P172" i="4"/>
  <c r="P171" i="4"/>
  <c r="P170" i="4"/>
  <c r="P169" i="4"/>
  <c r="P168" i="4"/>
  <c r="P167" i="4"/>
  <c r="P166" i="4"/>
  <c r="P165" i="4"/>
  <c r="P163" i="4"/>
  <c r="P162" i="4"/>
  <c r="P161" i="4"/>
  <c r="P160" i="4"/>
  <c r="P159" i="4"/>
  <c r="P158" i="4"/>
  <c r="P157" i="4"/>
  <c r="P156" i="4"/>
  <c r="P155" i="4"/>
  <c r="P154" i="4"/>
  <c r="P153" i="4"/>
  <c r="P152" i="4"/>
  <c r="P151" i="4"/>
  <c r="P150" i="4"/>
  <c r="P111" i="4"/>
  <c r="P110" i="4"/>
  <c r="P109" i="4"/>
  <c r="P108" i="4"/>
  <c r="P107" i="4"/>
  <c r="P106" i="4"/>
  <c r="P105" i="4"/>
  <c r="P104" i="4"/>
  <c r="P103" i="4"/>
  <c r="P102" i="4"/>
  <c r="P101" i="4"/>
  <c r="P100" i="4"/>
  <c r="P97" i="4"/>
  <c r="P96" i="4"/>
  <c r="P95" i="4"/>
  <c r="P94" i="4"/>
  <c r="P93" i="4"/>
  <c r="P92" i="4"/>
  <c r="P91" i="4"/>
  <c r="P90" i="4"/>
  <c r="P89" i="4"/>
  <c r="P87" i="4"/>
  <c r="P86" i="4"/>
  <c r="P85" i="4"/>
  <c r="P84" i="4"/>
  <c r="P83" i="4"/>
  <c r="P82" i="4"/>
  <c r="P81" i="4"/>
  <c r="P80" i="4"/>
  <c r="P79" i="4"/>
  <c r="P78" i="4"/>
  <c r="P77" i="4"/>
  <c r="P76" i="4"/>
  <c r="P75" i="4"/>
  <c r="P74" i="4"/>
  <c r="P73" i="4"/>
  <c r="P72" i="4"/>
  <c r="P71" i="4"/>
  <c r="P70" i="4"/>
  <c r="P69" i="4"/>
  <c r="P68" i="4"/>
  <c r="P67" i="4"/>
  <c r="P66" i="4"/>
  <c r="P65" i="4"/>
  <c r="P64" i="4"/>
  <c r="P61" i="4"/>
  <c r="P60" i="4"/>
  <c r="P59" i="4"/>
  <c r="P58" i="4"/>
  <c r="P57" i="4"/>
  <c r="P56" i="4"/>
  <c r="P55" i="4"/>
  <c r="P54" i="4"/>
  <c r="P53" i="4"/>
  <c r="P52" i="4"/>
  <c r="P51" i="4"/>
  <c r="P50" i="4"/>
  <c r="P49" i="4"/>
  <c r="P48" i="4"/>
  <c r="P47" i="4"/>
  <c r="P46" i="4"/>
  <c r="P45" i="4"/>
  <c r="P43" i="4"/>
  <c r="P42" i="4"/>
  <c r="P41" i="4"/>
  <c r="P40" i="4"/>
  <c r="P39" i="4"/>
  <c r="P38" i="4"/>
  <c r="P37" i="4"/>
  <c r="P36" i="4"/>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P7" i="4"/>
  <c r="P6" i="4"/>
  <c r="P5" i="4"/>
  <c r="P4" i="4"/>
  <c r="E111" i="4"/>
  <c r="F111" i="4"/>
  <c r="G111" i="4"/>
  <c r="I111" i="4"/>
  <c r="J111" i="4"/>
  <c r="E138" i="6" s="1"/>
  <c r="K111" i="4"/>
  <c r="C111" i="4"/>
  <c r="Q65" i="1"/>
  <c r="W84" i="6"/>
  <c r="W77" i="6"/>
  <c r="D208" i="6"/>
  <c r="D207" i="6"/>
  <c r="D206" i="6"/>
  <c r="D205" i="6"/>
  <c r="D204" i="6"/>
  <c r="D203" i="6"/>
  <c r="D202" i="6"/>
  <c r="D201" i="6"/>
  <c r="D200" i="6"/>
  <c r="D199" i="6"/>
  <c r="D198" i="6"/>
  <c r="D197" i="6"/>
  <c r="D196" i="6"/>
  <c r="D195" i="6"/>
  <c r="D194" i="6"/>
  <c r="D193" i="6"/>
  <c r="D192" i="6"/>
  <c r="D191" i="6"/>
  <c r="D189" i="6"/>
  <c r="D188" i="6"/>
  <c r="D187" i="6"/>
  <c r="D186" i="6"/>
  <c r="D185" i="6"/>
  <c r="D184" i="6"/>
  <c r="D183" i="6"/>
  <c r="D182" i="6"/>
  <c r="D181" i="6"/>
  <c r="D180" i="6"/>
  <c r="D179" i="6"/>
  <c r="D178" i="6"/>
  <c r="D177" i="6"/>
  <c r="D176" i="6"/>
  <c r="D170" i="6"/>
  <c r="D169" i="6"/>
  <c r="D168" i="6"/>
  <c r="D167" i="6"/>
  <c r="D166" i="6"/>
  <c r="D165" i="6"/>
  <c r="D164" i="6"/>
  <c r="D163" i="6"/>
  <c r="D162" i="6"/>
  <c r="D161" i="6"/>
  <c r="D160" i="6"/>
  <c r="D159" i="6"/>
  <c r="D158" i="6"/>
  <c r="D157" i="6"/>
  <c r="D156" i="6"/>
  <c r="D155" i="6"/>
  <c r="D154" i="6"/>
  <c r="D153" i="6"/>
  <c r="D152" i="6"/>
  <c r="D151" i="6"/>
  <c r="D150" i="6"/>
  <c r="D149" i="6"/>
  <c r="D148" i="6"/>
  <c r="D147" i="6"/>
  <c r="D146" i="6"/>
  <c r="D145" i="6"/>
  <c r="D144" i="6"/>
  <c r="D143" i="6"/>
  <c r="D142" i="6"/>
  <c r="D141" i="6"/>
  <c r="D140"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A144" i="4" l="1"/>
  <c r="A145" i="4" s="1"/>
  <c r="A146" i="4" s="1"/>
  <c r="H62" i="4"/>
  <c r="W79" i="6"/>
  <c r="H111" i="4"/>
  <c r="N138" i="6"/>
  <c r="F138" i="6"/>
  <c r="A5" i="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51" i="1" s="1"/>
  <c r="A52" i="1" s="1"/>
  <c r="A53" i="1" s="1"/>
  <c r="A54" i="1" s="1"/>
  <c r="A55" i="1" s="1"/>
  <c r="A56" i="1" s="1"/>
  <c r="A57" i="1" s="1"/>
  <c r="A58" i="1" s="1"/>
  <c r="A59" i="1" s="1"/>
  <c r="A60" i="1" s="1"/>
  <c r="A61" i="1" s="1"/>
  <c r="A62" i="1" s="1"/>
  <c r="A63" i="1" s="1"/>
  <c r="A64" i="1" s="1"/>
  <c r="A65" i="1" s="1"/>
  <c r="A66" i="1" s="1"/>
  <c r="A67" i="1" s="1"/>
  <c r="A68" i="1" s="1"/>
  <c r="A70" i="1" s="1"/>
  <c r="A71" i="1" s="1"/>
  <c r="W18" i="6"/>
  <c r="M93" i="6"/>
  <c r="C181" i="4"/>
  <c r="C82" i="4"/>
  <c r="E90" i="4"/>
  <c r="C97" i="4"/>
  <c r="W115" i="6"/>
  <c r="W104" i="6"/>
  <c r="C12" i="4"/>
  <c r="G83" i="4"/>
  <c r="F105" i="4"/>
  <c r="F86" i="4"/>
  <c r="G86" i="4"/>
  <c r="G65" i="4"/>
  <c r="K65" i="4"/>
  <c r="M184" i="6"/>
  <c r="M183" i="6"/>
  <c r="M185" i="6"/>
  <c r="C65" i="4"/>
  <c r="G98" i="4"/>
  <c r="C17" i="4"/>
  <c r="D68" i="5"/>
  <c r="O8" i="5" s="1"/>
  <c r="E68" i="5"/>
  <c r="P8" i="5" s="1"/>
  <c r="F68" i="5"/>
  <c r="N9" i="5" s="1"/>
  <c r="G68" i="5"/>
  <c r="O9" i="5" s="1"/>
  <c r="H68" i="5"/>
  <c r="P9" i="5" s="1"/>
  <c r="I68" i="5"/>
  <c r="N10" i="5" s="1"/>
  <c r="J68" i="5"/>
  <c r="O10" i="5" s="1"/>
  <c r="K68" i="5"/>
  <c r="P10" i="5" s="1"/>
  <c r="C68" i="5"/>
  <c r="N8" i="5" s="1"/>
  <c r="O88" i="6"/>
  <c r="P88" i="6"/>
  <c r="K88" i="6"/>
  <c r="L88" i="6"/>
  <c r="M88" i="6"/>
  <c r="F88" i="6" s="1"/>
  <c r="C88" i="6"/>
  <c r="P208" i="6"/>
  <c r="O208" i="6"/>
  <c r="P207" i="6"/>
  <c r="O207" i="6"/>
  <c r="P206" i="6"/>
  <c r="O206" i="6"/>
  <c r="P205" i="6"/>
  <c r="O205" i="6"/>
  <c r="P204" i="6"/>
  <c r="O204" i="6"/>
  <c r="P203" i="6"/>
  <c r="O203" i="6"/>
  <c r="P202" i="6"/>
  <c r="O202" i="6"/>
  <c r="P201" i="6"/>
  <c r="O201" i="6"/>
  <c r="P200" i="6"/>
  <c r="O200" i="6"/>
  <c r="P199" i="6"/>
  <c r="O199" i="6"/>
  <c r="P198" i="6"/>
  <c r="O198" i="6"/>
  <c r="P197" i="6"/>
  <c r="O197" i="6"/>
  <c r="P196" i="6"/>
  <c r="O196" i="6"/>
  <c r="P195" i="6"/>
  <c r="O195" i="6"/>
  <c r="P194" i="6"/>
  <c r="O194" i="6"/>
  <c r="P193" i="6"/>
  <c r="O193" i="6"/>
  <c r="P192" i="6"/>
  <c r="O192" i="6"/>
  <c r="P191" i="6"/>
  <c r="O191" i="6"/>
  <c r="P189" i="6"/>
  <c r="O189" i="6"/>
  <c r="P188" i="6"/>
  <c r="O188" i="6"/>
  <c r="P187" i="6"/>
  <c r="O187" i="6"/>
  <c r="P186" i="6"/>
  <c r="O186" i="6"/>
  <c r="P185" i="6"/>
  <c r="O185" i="6"/>
  <c r="P184" i="6"/>
  <c r="O184" i="6"/>
  <c r="P183" i="6"/>
  <c r="O183" i="6"/>
  <c r="P182" i="6"/>
  <c r="O182" i="6"/>
  <c r="P181" i="6"/>
  <c r="O181" i="6"/>
  <c r="P180" i="6"/>
  <c r="O180" i="6"/>
  <c r="P179" i="6"/>
  <c r="O179" i="6"/>
  <c r="P178" i="6"/>
  <c r="O178" i="6"/>
  <c r="P177" i="6"/>
  <c r="O177" i="6"/>
  <c r="P176" i="6"/>
  <c r="O176" i="6"/>
  <c r="P170" i="6"/>
  <c r="O170" i="6"/>
  <c r="P169" i="6"/>
  <c r="O169" i="6"/>
  <c r="P168" i="6"/>
  <c r="O168" i="6"/>
  <c r="P167" i="6"/>
  <c r="O167" i="6"/>
  <c r="P166" i="6"/>
  <c r="O166" i="6"/>
  <c r="P165" i="6"/>
  <c r="O165" i="6"/>
  <c r="P164" i="6"/>
  <c r="O164" i="6"/>
  <c r="P163" i="6"/>
  <c r="O163" i="6"/>
  <c r="P162" i="6"/>
  <c r="O162" i="6"/>
  <c r="P161" i="6"/>
  <c r="O161" i="6"/>
  <c r="P160" i="6"/>
  <c r="O160" i="6"/>
  <c r="P159" i="6"/>
  <c r="O159" i="6"/>
  <c r="P158" i="6"/>
  <c r="O158" i="6"/>
  <c r="P157" i="6"/>
  <c r="O157" i="6"/>
  <c r="P156" i="6"/>
  <c r="O156" i="6"/>
  <c r="P155" i="6"/>
  <c r="O155" i="6"/>
  <c r="P154" i="6"/>
  <c r="O154" i="6"/>
  <c r="P153" i="6"/>
  <c r="O153" i="6"/>
  <c r="P152" i="6"/>
  <c r="O152" i="6"/>
  <c r="P151" i="6"/>
  <c r="O151" i="6"/>
  <c r="P150" i="6"/>
  <c r="O150" i="6"/>
  <c r="P149" i="6"/>
  <c r="O149" i="6"/>
  <c r="P148" i="6"/>
  <c r="O148" i="6"/>
  <c r="P147" i="6"/>
  <c r="O147" i="6"/>
  <c r="P146" i="6"/>
  <c r="O146" i="6"/>
  <c r="P145" i="6"/>
  <c r="O145" i="6"/>
  <c r="P144" i="6"/>
  <c r="O144" i="6"/>
  <c r="P143" i="6"/>
  <c r="O143" i="6"/>
  <c r="P142" i="6"/>
  <c r="O142" i="6"/>
  <c r="P141" i="6"/>
  <c r="O141" i="6"/>
  <c r="P140" i="6"/>
  <c r="O140" i="6"/>
  <c r="P137" i="6"/>
  <c r="O137" i="6"/>
  <c r="P136" i="6"/>
  <c r="O136" i="6"/>
  <c r="P135" i="6"/>
  <c r="O135" i="6"/>
  <c r="P134" i="6"/>
  <c r="O134" i="6"/>
  <c r="P133" i="6"/>
  <c r="O133" i="6"/>
  <c r="P132" i="6"/>
  <c r="O132" i="6"/>
  <c r="P131" i="6"/>
  <c r="O131" i="6"/>
  <c r="P130" i="6"/>
  <c r="O130" i="6"/>
  <c r="P129" i="6"/>
  <c r="O129" i="6"/>
  <c r="P128" i="6"/>
  <c r="O128" i="6"/>
  <c r="P127" i="6"/>
  <c r="O127" i="6"/>
  <c r="P126" i="6"/>
  <c r="O126" i="6"/>
  <c r="P125" i="6"/>
  <c r="O125" i="6"/>
  <c r="P124" i="6"/>
  <c r="O124" i="6"/>
  <c r="P123" i="6"/>
  <c r="O123" i="6"/>
  <c r="P122" i="6"/>
  <c r="O122" i="6"/>
  <c r="P121" i="6"/>
  <c r="O121" i="6"/>
  <c r="P120" i="6"/>
  <c r="O120" i="6"/>
  <c r="P119" i="6"/>
  <c r="O119" i="6"/>
  <c r="P118" i="6"/>
  <c r="O118" i="6"/>
  <c r="P117" i="6"/>
  <c r="O117" i="6"/>
  <c r="P116" i="6"/>
  <c r="O116" i="6"/>
  <c r="P115" i="6"/>
  <c r="O115" i="6"/>
  <c r="P114" i="6"/>
  <c r="O114" i="6"/>
  <c r="P113" i="6"/>
  <c r="O113" i="6"/>
  <c r="P112" i="6"/>
  <c r="O112" i="6"/>
  <c r="P111" i="6"/>
  <c r="O111" i="6"/>
  <c r="P110" i="6"/>
  <c r="O110" i="6"/>
  <c r="P109" i="6"/>
  <c r="O109" i="6"/>
  <c r="P108" i="6"/>
  <c r="O108" i="6"/>
  <c r="P107" i="6"/>
  <c r="O107" i="6"/>
  <c r="P106" i="6"/>
  <c r="O106" i="6"/>
  <c r="P105" i="6"/>
  <c r="O105" i="6"/>
  <c r="P104" i="6"/>
  <c r="O104" i="6"/>
  <c r="P103" i="6"/>
  <c r="O103" i="6"/>
  <c r="P102" i="6"/>
  <c r="O102" i="6"/>
  <c r="P101" i="6"/>
  <c r="O101" i="6"/>
  <c r="P100" i="6"/>
  <c r="O100" i="6"/>
  <c r="P99" i="6"/>
  <c r="O99" i="6"/>
  <c r="P98" i="6"/>
  <c r="O98" i="6"/>
  <c r="P97" i="6"/>
  <c r="O97" i="6"/>
  <c r="P96" i="6"/>
  <c r="O96" i="6"/>
  <c r="P95" i="6"/>
  <c r="O95" i="6"/>
  <c r="P94" i="6"/>
  <c r="O94" i="6"/>
  <c r="P93" i="6"/>
  <c r="O93" i="6"/>
  <c r="P92" i="6"/>
  <c r="O92" i="6"/>
  <c r="P91" i="6"/>
  <c r="O91" i="6"/>
  <c r="P87" i="6"/>
  <c r="O87" i="6"/>
  <c r="P86" i="6"/>
  <c r="O86" i="6"/>
  <c r="P85" i="6"/>
  <c r="O85" i="6"/>
  <c r="P84" i="6"/>
  <c r="O84" i="6"/>
  <c r="P83" i="6"/>
  <c r="O83" i="6"/>
  <c r="P82" i="6"/>
  <c r="O82" i="6"/>
  <c r="P81" i="6"/>
  <c r="O81" i="6"/>
  <c r="P80" i="6"/>
  <c r="O80" i="6"/>
  <c r="P79" i="6"/>
  <c r="O79" i="6"/>
  <c r="P78" i="6"/>
  <c r="O78" i="6"/>
  <c r="P77" i="6"/>
  <c r="O77" i="6"/>
  <c r="P76" i="6"/>
  <c r="O76" i="6"/>
  <c r="P75" i="6"/>
  <c r="O75" i="6"/>
  <c r="P74" i="6"/>
  <c r="O74" i="6"/>
  <c r="P73" i="6"/>
  <c r="O73" i="6"/>
  <c r="P72" i="6"/>
  <c r="O72" i="6"/>
  <c r="O5" i="6"/>
  <c r="P5" i="6"/>
  <c r="O6" i="6"/>
  <c r="P6" i="6"/>
  <c r="O7" i="6"/>
  <c r="P7" i="6"/>
  <c r="O8" i="6"/>
  <c r="P8" i="6"/>
  <c r="O9" i="6"/>
  <c r="P9" i="6"/>
  <c r="O10" i="6"/>
  <c r="P10" i="6"/>
  <c r="O11" i="6"/>
  <c r="P11" i="6"/>
  <c r="O12" i="6"/>
  <c r="P12" i="6"/>
  <c r="O13" i="6"/>
  <c r="P13" i="6"/>
  <c r="O14" i="6"/>
  <c r="P14" i="6"/>
  <c r="O15" i="6"/>
  <c r="P15" i="6"/>
  <c r="O16" i="6"/>
  <c r="P16" i="6"/>
  <c r="O17" i="6"/>
  <c r="P17" i="6"/>
  <c r="O18" i="6"/>
  <c r="P18" i="6"/>
  <c r="O19" i="6"/>
  <c r="P19" i="6"/>
  <c r="O20" i="6"/>
  <c r="P20" i="6"/>
  <c r="O21" i="6"/>
  <c r="P21" i="6"/>
  <c r="O22" i="6"/>
  <c r="P22" i="6"/>
  <c r="O23" i="6"/>
  <c r="P23" i="6"/>
  <c r="O24" i="6"/>
  <c r="P24" i="6"/>
  <c r="O25" i="6"/>
  <c r="P25" i="6"/>
  <c r="O26" i="6"/>
  <c r="P26" i="6"/>
  <c r="O27" i="6"/>
  <c r="P27" i="6"/>
  <c r="O28" i="6"/>
  <c r="P28" i="6"/>
  <c r="O29" i="6"/>
  <c r="P29" i="6"/>
  <c r="O30" i="6"/>
  <c r="P30" i="6"/>
  <c r="O31" i="6"/>
  <c r="P31" i="6"/>
  <c r="O32" i="6"/>
  <c r="P32" i="6"/>
  <c r="O33" i="6"/>
  <c r="P33" i="6"/>
  <c r="O34" i="6"/>
  <c r="P34" i="6"/>
  <c r="O35" i="6"/>
  <c r="P35" i="6"/>
  <c r="O36" i="6"/>
  <c r="P36" i="6"/>
  <c r="O37" i="6"/>
  <c r="P37" i="6"/>
  <c r="O38" i="6"/>
  <c r="P38" i="6"/>
  <c r="O39" i="6"/>
  <c r="P39" i="6"/>
  <c r="O40" i="6"/>
  <c r="P40" i="6"/>
  <c r="O41" i="6"/>
  <c r="P41" i="6"/>
  <c r="O42" i="6"/>
  <c r="P42" i="6"/>
  <c r="O43" i="6"/>
  <c r="P43" i="6"/>
  <c r="P4" i="6"/>
  <c r="O4" i="6"/>
  <c r="M208" i="6"/>
  <c r="L208" i="6"/>
  <c r="K208" i="6"/>
  <c r="M207" i="6"/>
  <c r="L207" i="6"/>
  <c r="K207" i="6"/>
  <c r="M206" i="6"/>
  <c r="L206" i="6"/>
  <c r="K206" i="6"/>
  <c r="M205" i="6"/>
  <c r="L205" i="6"/>
  <c r="K205" i="6"/>
  <c r="M204" i="6"/>
  <c r="L204" i="6"/>
  <c r="K204" i="6"/>
  <c r="M203" i="6"/>
  <c r="L203" i="6"/>
  <c r="K203" i="6"/>
  <c r="M202" i="6"/>
  <c r="L202" i="6"/>
  <c r="K202" i="6"/>
  <c r="M201" i="6"/>
  <c r="L201" i="6"/>
  <c r="K201" i="6"/>
  <c r="M200" i="6"/>
  <c r="L200" i="6"/>
  <c r="K200" i="6"/>
  <c r="M199" i="6"/>
  <c r="L199" i="6"/>
  <c r="K199" i="6"/>
  <c r="M198" i="6"/>
  <c r="L198" i="6"/>
  <c r="K198" i="6"/>
  <c r="M197" i="6"/>
  <c r="L197" i="6"/>
  <c r="K197" i="6"/>
  <c r="M196" i="6"/>
  <c r="L196" i="6"/>
  <c r="K196" i="6"/>
  <c r="M195" i="6"/>
  <c r="L195" i="6"/>
  <c r="K195" i="6"/>
  <c r="M194" i="6"/>
  <c r="L194" i="6"/>
  <c r="K194" i="6"/>
  <c r="M193" i="6"/>
  <c r="L193" i="6"/>
  <c r="K193" i="6"/>
  <c r="M192" i="6"/>
  <c r="L192" i="6"/>
  <c r="K192" i="6"/>
  <c r="M191" i="6"/>
  <c r="L191" i="6"/>
  <c r="K191" i="6"/>
  <c r="M189" i="6"/>
  <c r="L189" i="6"/>
  <c r="K189" i="6"/>
  <c r="M188" i="6"/>
  <c r="L188" i="6"/>
  <c r="K188" i="6"/>
  <c r="M187" i="6"/>
  <c r="L187" i="6"/>
  <c r="K187" i="6"/>
  <c r="M186" i="6"/>
  <c r="L186" i="6"/>
  <c r="K186" i="6"/>
  <c r="L185" i="6"/>
  <c r="K185" i="6"/>
  <c r="L184" i="6"/>
  <c r="K184" i="6"/>
  <c r="L183" i="6"/>
  <c r="K183" i="6"/>
  <c r="M182" i="6"/>
  <c r="L182" i="6"/>
  <c r="K182" i="6"/>
  <c r="M181" i="6"/>
  <c r="L181" i="6"/>
  <c r="K181" i="6"/>
  <c r="M180" i="6"/>
  <c r="L180" i="6"/>
  <c r="K180" i="6"/>
  <c r="M179" i="6"/>
  <c r="L179" i="6"/>
  <c r="K179" i="6"/>
  <c r="M178" i="6"/>
  <c r="L178" i="6"/>
  <c r="K178" i="6"/>
  <c r="M177" i="6"/>
  <c r="L177" i="6"/>
  <c r="K177" i="6"/>
  <c r="M176" i="6"/>
  <c r="L176" i="6"/>
  <c r="K176" i="6"/>
  <c r="M170" i="6"/>
  <c r="L170" i="6"/>
  <c r="K170" i="6"/>
  <c r="M169" i="6"/>
  <c r="L169" i="6"/>
  <c r="K169" i="6"/>
  <c r="M168" i="6"/>
  <c r="L168" i="6"/>
  <c r="K168" i="6"/>
  <c r="M167" i="6"/>
  <c r="L167" i="6"/>
  <c r="K167" i="6"/>
  <c r="M166" i="6"/>
  <c r="L166" i="6"/>
  <c r="K166" i="6"/>
  <c r="M165" i="6"/>
  <c r="L165" i="6"/>
  <c r="K165" i="6"/>
  <c r="M164" i="6"/>
  <c r="L164" i="6"/>
  <c r="K164" i="6"/>
  <c r="M163" i="6"/>
  <c r="L163" i="6"/>
  <c r="K163" i="6"/>
  <c r="M162" i="6"/>
  <c r="L162" i="6"/>
  <c r="K162" i="6"/>
  <c r="M161" i="6"/>
  <c r="L161" i="6"/>
  <c r="K161" i="6"/>
  <c r="M160" i="6"/>
  <c r="L160" i="6"/>
  <c r="K160" i="6"/>
  <c r="M159" i="6"/>
  <c r="L159" i="6"/>
  <c r="K159" i="6"/>
  <c r="M158" i="6"/>
  <c r="L158" i="6"/>
  <c r="K158" i="6"/>
  <c r="M157" i="6"/>
  <c r="L157" i="6"/>
  <c r="K157" i="6"/>
  <c r="M156" i="6"/>
  <c r="L156" i="6"/>
  <c r="K156" i="6"/>
  <c r="M155" i="6"/>
  <c r="L155" i="6"/>
  <c r="K155" i="6"/>
  <c r="M154" i="6"/>
  <c r="L154" i="6"/>
  <c r="K154" i="6"/>
  <c r="M153" i="6"/>
  <c r="L153" i="6"/>
  <c r="K153" i="6"/>
  <c r="M152" i="6"/>
  <c r="L152" i="6"/>
  <c r="K152" i="6"/>
  <c r="M151" i="6"/>
  <c r="L151" i="6"/>
  <c r="K151" i="6"/>
  <c r="M150" i="6"/>
  <c r="L150" i="6"/>
  <c r="K150" i="6"/>
  <c r="M149" i="6"/>
  <c r="L149" i="6"/>
  <c r="K149" i="6"/>
  <c r="M148" i="6"/>
  <c r="L148" i="6"/>
  <c r="K148" i="6"/>
  <c r="M147" i="6"/>
  <c r="L147" i="6"/>
  <c r="K147" i="6"/>
  <c r="M146" i="6"/>
  <c r="L146" i="6"/>
  <c r="K146" i="6"/>
  <c r="M145" i="6"/>
  <c r="L145" i="6"/>
  <c r="K145" i="6"/>
  <c r="M144" i="6"/>
  <c r="L144" i="6"/>
  <c r="K144" i="6"/>
  <c r="M143" i="6"/>
  <c r="L143" i="6"/>
  <c r="K143" i="6"/>
  <c r="M142" i="6"/>
  <c r="L142" i="6"/>
  <c r="K142" i="6"/>
  <c r="M141" i="6"/>
  <c r="L141" i="6"/>
  <c r="K141" i="6"/>
  <c r="M140" i="6"/>
  <c r="L140" i="6"/>
  <c r="K140" i="6"/>
  <c r="M137" i="6"/>
  <c r="L137" i="6"/>
  <c r="K137" i="6"/>
  <c r="M136" i="6"/>
  <c r="L136" i="6"/>
  <c r="K136" i="6"/>
  <c r="M135" i="6"/>
  <c r="L135" i="6"/>
  <c r="K135" i="6"/>
  <c r="M134" i="6"/>
  <c r="L134" i="6"/>
  <c r="K134" i="6"/>
  <c r="M133" i="6"/>
  <c r="L133" i="6"/>
  <c r="K133" i="6"/>
  <c r="M132" i="6"/>
  <c r="L132" i="6"/>
  <c r="K132" i="6"/>
  <c r="M131" i="6"/>
  <c r="L131" i="6"/>
  <c r="K131" i="6"/>
  <c r="M130" i="6"/>
  <c r="L130" i="6"/>
  <c r="K130" i="6"/>
  <c r="M129" i="6"/>
  <c r="L129" i="6"/>
  <c r="K129" i="6"/>
  <c r="M128" i="6"/>
  <c r="L128" i="6"/>
  <c r="K128" i="6"/>
  <c r="M127" i="6"/>
  <c r="L127" i="6"/>
  <c r="K127" i="6"/>
  <c r="M126" i="6"/>
  <c r="L126" i="6"/>
  <c r="K126" i="6"/>
  <c r="M125" i="6"/>
  <c r="L125" i="6"/>
  <c r="K125" i="6"/>
  <c r="M124" i="6"/>
  <c r="L124" i="6"/>
  <c r="K124" i="6"/>
  <c r="M123" i="6"/>
  <c r="L123" i="6"/>
  <c r="K123" i="6"/>
  <c r="M122" i="6"/>
  <c r="L122" i="6"/>
  <c r="K122" i="6"/>
  <c r="M121" i="6"/>
  <c r="L121" i="6"/>
  <c r="K121" i="6"/>
  <c r="M120" i="6"/>
  <c r="L120" i="6"/>
  <c r="K120" i="6"/>
  <c r="M119" i="6"/>
  <c r="L119" i="6"/>
  <c r="K119" i="6"/>
  <c r="M118" i="6"/>
  <c r="L118" i="6"/>
  <c r="K118" i="6"/>
  <c r="M117" i="6"/>
  <c r="L117" i="6"/>
  <c r="K117" i="6"/>
  <c r="M116" i="6"/>
  <c r="L116" i="6"/>
  <c r="K116" i="6"/>
  <c r="M115" i="6"/>
  <c r="L115" i="6"/>
  <c r="K115" i="6"/>
  <c r="M114" i="6"/>
  <c r="L114" i="6"/>
  <c r="K114" i="6"/>
  <c r="M113" i="6"/>
  <c r="L113" i="6"/>
  <c r="K113" i="6"/>
  <c r="M112" i="6"/>
  <c r="L112" i="6"/>
  <c r="K112" i="6"/>
  <c r="M111" i="6"/>
  <c r="L111" i="6"/>
  <c r="K111" i="6"/>
  <c r="M110" i="6"/>
  <c r="L110" i="6"/>
  <c r="K110" i="6"/>
  <c r="M109" i="6"/>
  <c r="L109" i="6"/>
  <c r="K109" i="6"/>
  <c r="M108" i="6"/>
  <c r="L108" i="6"/>
  <c r="K108" i="6"/>
  <c r="M107" i="6"/>
  <c r="L107" i="6"/>
  <c r="K107" i="6"/>
  <c r="M106" i="6"/>
  <c r="L106" i="6"/>
  <c r="K106" i="6"/>
  <c r="M105" i="6"/>
  <c r="L105" i="6"/>
  <c r="K105" i="6"/>
  <c r="M104" i="6"/>
  <c r="L104" i="6"/>
  <c r="K104" i="6"/>
  <c r="M103" i="6"/>
  <c r="L103" i="6"/>
  <c r="K103" i="6"/>
  <c r="M102" i="6"/>
  <c r="L102" i="6"/>
  <c r="K102" i="6"/>
  <c r="M101" i="6"/>
  <c r="L101" i="6"/>
  <c r="K101" i="6"/>
  <c r="M100" i="6"/>
  <c r="L100" i="6"/>
  <c r="K100" i="6"/>
  <c r="M99" i="6"/>
  <c r="L99" i="6"/>
  <c r="K99" i="6"/>
  <c r="M98" i="6"/>
  <c r="L98" i="6"/>
  <c r="K98" i="6"/>
  <c r="M97" i="6"/>
  <c r="L97" i="6"/>
  <c r="K97" i="6"/>
  <c r="M96" i="6"/>
  <c r="L96" i="6"/>
  <c r="K96" i="6"/>
  <c r="M95" i="6"/>
  <c r="L95" i="6"/>
  <c r="K95" i="6"/>
  <c r="M94" i="6"/>
  <c r="L94" i="6"/>
  <c r="K94" i="6"/>
  <c r="L93" i="6"/>
  <c r="K93" i="6"/>
  <c r="M92" i="6"/>
  <c r="L92" i="6"/>
  <c r="K92" i="6"/>
  <c r="M91" i="6"/>
  <c r="L91" i="6"/>
  <c r="K91" i="6"/>
  <c r="M87" i="6"/>
  <c r="L87" i="6"/>
  <c r="K87" i="6"/>
  <c r="M86" i="6"/>
  <c r="L86" i="6"/>
  <c r="K86" i="6"/>
  <c r="M85" i="6"/>
  <c r="L85" i="6"/>
  <c r="K85" i="6"/>
  <c r="M84" i="6"/>
  <c r="L84" i="6"/>
  <c r="K84" i="6"/>
  <c r="M83" i="6"/>
  <c r="L83" i="6"/>
  <c r="K83" i="6"/>
  <c r="M82" i="6"/>
  <c r="L82" i="6"/>
  <c r="K82" i="6"/>
  <c r="M81" i="6"/>
  <c r="L81" i="6"/>
  <c r="K81" i="6"/>
  <c r="M80" i="6"/>
  <c r="L80" i="6"/>
  <c r="K80" i="6"/>
  <c r="M79" i="6"/>
  <c r="L79" i="6"/>
  <c r="K79" i="6"/>
  <c r="M78" i="6"/>
  <c r="L78" i="6"/>
  <c r="K78" i="6"/>
  <c r="M77" i="6"/>
  <c r="L77" i="6"/>
  <c r="K77" i="6"/>
  <c r="M76" i="6"/>
  <c r="L76" i="6"/>
  <c r="K76" i="6"/>
  <c r="M75" i="6"/>
  <c r="L75" i="6"/>
  <c r="K75" i="6"/>
  <c r="M74" i="6"/>
  <c r="L74" i="6"/>
  <c r="K74" i="6"/>
  <c r="M73" i="6"/>
  <c r="L73" i="6"/>
  <c r="K73" i="6"/>
  <c r="M72" i="6"/>
  <c r="L72" i="6"/>
  <c r="K72" i="6"/>
  <c r="K5" i="6"/>
  <c r="L5" i="6"/>
  <c r="M5" i="6"/>
  <c r="K6" i="6"/>
  <c r="L6" i="6"/>
  <c r="M6" i="6"/>
  <c r="K7" i="6"/>
  <c r="L7" i="6"/>
  <c r="M7" i="6"/>
  <c r="K8" i="6"/>
  <c r="L8" i="6"/>
  <c r="M8" i="6"/>
  <c r="K9" i="6"/>
  <c r="L9" i="6"/>
  <c r="M9" i="6"/>
  <c r="K10" i="6"/>
  <c r="L10" i="6"/>
  <c r="M10" i="6"/>
  <c r="K11" i="6"/>
  <c r="L11" i="6"/>
  <c r="M11" i="6"/>
  <c r="K12" i="6"/>
  <c r="L12" i="6"/>
  <c r="M12" i="6"/>
  <c r="K13" i="6"/>
  <c r="L13" i="6"/>
  <c r="M13" i="6"/>
  <c r="K14" i="6"/>
  <c r="L14" i="6"/>
  <c r="M14" i="6"/>
  <c r="K15" i="6"/>
  <c r="L15" i="6"/>
  <c r="M15" i="6"/>
  <c r="K16" i="6"/>
  <c r="L16" i="6"/>
  <c r="M16" i="6"/>
  <c r="K17" i="6"/>
  <c r="L17" i="6"/>
  <c r="M17" i="6"/>
  <c r="K18" i="6"/>
  <c r="L18" i="6"/>
  <c r="M18" i="6"/>
  <c r="K19" i="6"/>
  <c r="L19" i="6"/>
  <c r="M19" i="6"/>
  <c r="K20" i="6"/>
  <c r="L20" i="6"/>
  <c r="M20" i="6"/>
  <c r="K21" i="6"/>
  <c r="L21" i="6"/>
  <c r="M21" i="6"/>
  <c r="K22" i="6"/>
  <c r="L22" i="6"/>
  <c r="M22" i="6"/>
  <c r="K23" i="6"/>
  <c r="L23" i="6"/>
  <c r="M23" i="6"/>
  <c r="K24" i="6"/>
  <c r="L24" i="6"/>
  <c r="M24" i="6"/>
  <c r="K25" i="6"/>
  <c r="L25" i="6"/>
  <c r="M25" i="6"/>
  <c r="K26" i="6"/>
  <c r="L26" i="6"/>
  <c r="M26" i="6"/>
  <c r="K27" i="6"/>
  <c r="L27" i="6"/>
  <c r="M27" i="6"/>
  <c r="K28" i="6"/>
  <c r="L28" i="6"/>
  <c r="M28" i="6"/>
  <c r="K29" i="6"/>
  <c r="L29" i="6"/>
  <c r="M29" i="6"/>
  <c r="K30" i="6"/>
  <c r="L30" i="6"/>
  <c r="M30" i="6"/>
  <c r="K31" i="6"/>
  <c r="L31" i="6"/>
  <c r="M31" i="6"/>
  <c r="K32" i="6"/>
  <c r="L32" i="6"/>
  <c r="M32" i="6"/>
  <c r="K33" i="6"/>
  <c r="L33" i="6"/>
  <c r="M33" i="6"/>
  <c r="K34" i="6"/>
  <c r="L34" i="6"/>
  <c r="M34" i="6"/>
  <c r="K35" i="6"/>
  <c r="L35" i="6"/>
  <c r="M35" i="6"/>
  <c r="K36" i="6"/>
  <c r="L36" i="6"/>
  <c r="M36" i="6"/>
  <c r="K37" i="6"/>
  <c r="L37" i="6"/>
  <c r="M37" i="6"/>
  <c r="K38" i="6"/>
  <c r="L38" i="6"/>
  <c r="M38" i="6"/>
  <c r="K39" i="6"/>
  <c r="L39" i="6"/>
  <c r="M39" i="6"/>
  <c r="K40" i="6"/>
  <c r="L40" i="6"/>
  <c r="M40" i="6"/>
  <c r="K41" i="6"/>
  <c r="L41" i="6"/>
  <c r="M41" i="6"/>
  <c r="K42" i="6"/>
  <c r="L42" i="6"/>
  <c r="M42" i="6"/>
  <c r="K43" i="6"/>
  <c r="L43" i="6"/>
  <c r="M43" i="6"/>
  <c r="M4" i="6"/>
  <c r="L4" i="6"/>
  <c r="K4" i="6"/>
  <c r="A147" i="4" l="1"/>
  <c r="A148" i="4" s="1"/>
  <c r="A150" i="4" s="1"/>
  <c r="A151" i="4" s="1"/>
  <c r="A152" i="4" s="1"/>
  <c r="A153" i="4" s="1"/>
  <c r="A154" i="4" s="1"/>
  <c r="A155" i="4" s="1"/>
  <c r="A156" i="4" s="1"/>
  <c r="A157" i="4" s="1"/>
  <c r="A158" i="4" s="1"/>
  <c r="A159" i="4" s="1"/>
  <c r="A160" i="4" s="1"/>
  <c r="A161" i="4" s="1"/>
  <c r="A162" i="4" s="1"/>
  <c r="A163" i="4" s="1"/>
  <c r="A165" i="4" s="1"/>
  <c r="A166" i="4" s="1"/>
  <c r="A167" i="4" s="1"/>
  <c r="A168" i="4" s="1"/>
  <c r="A169" i="4" s="1"/>
  <c r="A170" i="4" s="1"/>
  <c r="A171" i="4" s="1"/>
  <c r="A172" i="4" s="1"/>
  <c r="A173" i="4" s="1"/>
  <c r="A174" i="4" s="1"/>
  <c r="A175" i="4" s="1"/>
  <c r="A176" i="4" s="1"/>
  <c r="A177" i="4" s="1"/>
  <c r="A178" i="4" s="1"/>
  <c r="A179" i="4" s="1"/>
  <c r="A180" i="4" s="1"/>
  <c r="A181" i="4" s="1"/>
  <c r="A182" i="4" s="1"/>
  <c r="A72" i="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N88" i="6"/>
  <c r="C208" i="6"/>
  <c r="C207" i="6"/>
  <c r="C206" i="6"/>
  <c r="C205" i="6"/>
  <c r="C204" i="6"/>
  <c r="C203" i="6"/>
  <c r="C202" i="6"/>
  <c r="C201" i="6"/>
  <c r="C200" i="6"/>
  <c r="C199" i="6"/>
  <c r="C198" i="6"/>
  <c r="C197" i="6"/>
  <c r="C196" i="6"/>
  <c r="C195" i="6"/>
  <c r="C194" i="6"/>
  <c r="C193" i="6"/>
  <c r="C192" i="6"/>
  <c r="C191" i="6"/>
  <c r="C189" i="6"/>
  <c r="C188" i="6"/>
  <c r="C187" i="6"/>
  <c r="C186" i="6"/>
  <c r="C185" i="6"/>
  <c r="C184" i="6"/>
  <c r="C183" i="6"/>
  <c r="C182" i="6"/>
  <c r="C181" i="6"/>
  <c r="C180" i="6"/>
  <c r="C179" i="6"/>
  <c r="C178" i="6"/>
  <c r="C177" i="6"/>
  <c r="C176"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87" i="6"/>
  <c r="C86" i="6"/>
  <c r="C85" i="6"/>
  <c r="C84" i="6"/>
  <c r="C83" i="6"/>
  <c r="C82" i="6"/>
  <c r="C81" i="6"/>
  <c r="C80" i="6"/>
  <c r="C79" i="6"/>
  <c r="C78" i="6"/>
  <c r="C77" i="6"/>
  <c r="C76" i="6"/>
  <c r="C75" i="6"/>
  <c r="C74" i="6"/>
  <c r="C73" i="6"/>
  <c r="C72" i="6"/>
  <c r="C65"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C4" i="6"/>
  <c r="E61" i="4"/>
  <c r="F61" i="4"/>
  <c r="G61" i="4"/>
  <c r="I61" i="4"/>
  <c r="J61" i="4"/>
  <c r="K61" i="4"/>
  <c r="C61" i="4"/>
  <c r="K182" i="4"/>
  <c r="J182" i="4"/>
  <c r="I182" i="4"/>
  <c r="G182" i="4"/>
  <c r="F182" i="4"/>
  <c r="E182" i="4"/>
  <c r="K181" i="4"/>
  <c r="J181" i="4"/>
  <c r="I181" i="4"/>
  <c r="G181" i="4"/>
  <c r="F181" i="4"/>
  <c r="E181" i="4"/>
  <c r="K180" i="4"/>
  <c r="J180" i="4"/>
  <c r="I180" i="4"/>
  <c r="G180" i="4"/>
  <c r="F180" i="4"/>
  <c r="E180" i="4"/>
  <c r="K179" i="4"/>
  <c r="J179" i="4"/>
  <c r="I179" i="4"/>
  <c r="G179" i="4"/>
  <c r="F179" i="4"/>
  <c r="E179" i="4"/>
  <c r="K178" i="4"/>
  <c r="J178" i="4"/>
  <c r="I178" i="4"/>
  <c r="G178" i="4"/>
  <c r="F178" i="4"/>
  <c r="E178" i="4"/>
  <c r="K177" i="4"/>
  <c r="J177" i="4"/>
  <c r="I177" i="4"/>
  <c r="G177" i="4"/>
  <c r="F177" i="4"/>
  <c r="E177" i="4"/>
  <c r="K176" i="4"/>
  <c r="J176" i="4"/>
  <c r="I176" i="4"/>
  <c r="G176" i="4"/>
  <c r="F176" i="4"/>
  <c r="E176" i="4"/>
  <c r="K175" i="4"/>
  <c r="J175" i="4"/>
  <c r="I175" i="4"/>
  <c r="G175" i="4"/>
  <c r="F175" i="4"/>
  <c r="E175" i="4"/>
  <c r="K174" i="4"/>
  <c r="J174" i="4"/>
  <c r="I174" i="4"/>
  <c r="G174" i="4"/>
  <c r="F174" i="4"/>
  <c r="E174" i="4"/>
  <c r="K173" i="4"/>
  <c r="J173" i="4"/>
  <c r="I173" i="4"/>
  <c r="G173" i="4"/>
  <c r="F173" i="4"/>
  <c r="E173" i="4"/>
  <c r="K172" i="4"/>
  <c r="J172" i="4"/>
  <c r="I172" i="4"/>
  <c r="G172" i="4"/>
  <c r="F172" i="4"/>
  <c r="E172" i="4"/>
  <c r="K171" i="4"/>
  <c r="J171" i="4"/>
  <c r="I171" i="4"/>
  <c r="G171" i="4"/>
  <c r="F171" i="4"/>
  <c r="E171" i="4"/>
  <c r="K170" i="4"/>
  <c r="J170" i="4"/>
  <c r="I170" i="4"/>
  <c r="G170" i="4"/>
  <c r="F170" i="4"/>
  <c r="E170" i="4"/>
  <c r="K169" i="4"/>
  <c r="J169" i="4"/>
  <c r="I169" i="4"/>
  <c r="G169" i="4"/>
  <c r="F169" i="4"/>
  <c r="E169" i="4"/>
  <c r="K168" i="4"/>
  <c r="J168" i="4"/>
  <c r="I168" i="4"/>
  <c r="G168" i="4"/>
  <c r="F168" i="4"/>
  <c r="E168" i="4"/>
  <c r="K167" i="4"/>
  <c r="J167" i="4"/>
  <c r="I167" i="4"/>
  <c r="G167" i="4"/>
  <c r="F167" i="4"/>
  <c r="E167" i="4"/>
  <c r="K166" i="4"/>
  <c r="J166" i="4"/>
  <c r="I166" i="4"/>
  <c r="G166" i="4"/>
  <c r="F166" i="4"/>
  <c r="E166" i="4"/>
  <c r="K165" i="4"/>
  <c r="J165" i="4"/>
  <c r="I165" i="4"/>
  <c r="G165" i="4"/>
  <c r="F165" i="4"/>
  <c r="E165" i="4"/>
  <c r="K163" i="4"/>
  <c r="J163" i="4"/>
  <c r="I163" i="4"/>
  <c r="G163" i="4"/>
  <c r="F163" i="4"/>
  <c r="E163" i="4"/>
  <c r="K162" i="4"/>
  <c r="J162" i="4"/>
  <c r="I162" i="4"/>
  <c r="G162" i="4"/>
  <c r="F162" i="4"/>
  <c r="E162" i="4"/>
  <c r="K161" i="4"/>
  <c r="J161" i="4"/>
  <c r="I161" i="4"/>
  <c r="G161" i="4"/>
  <c r="F161" i="4"/>
  <c r="E161" i="4"/>
  <c r="K160" i="4"/>
  <c r="J160" i="4"/>
  <c r="I160" i="4"/>
  <c r="G160" i="4"/>
  <c r="F160" i="4"/>
  <c r="E160" i="4"/>
  <c r="K159" i="4"/>
  <c r="J159" i="4"/>
  <c r="I159" i="4"/>
  <c r="G159" i="4"/>
  <c r="F159" i="4"/>
  <c r="E159" i="4"/>
  <c r="K158" i="4"/>
  <c r="J158" i="4"/>
  <c r="I158" i="4"/>
  <c r="G158" i="4"/>
  <c r="F158" i="4"/>
  <c r="E158" i="4"/>
  <c r="K157" i="4"/>
  <c r="J157" i="4"/>
  <c r="I157" i="4"/>
  <c r="G157" i="4"/>
  <c r="F157" i="4"/>
  <c r="E157" i="4"/>
  <c r="K156" i="4"/>
  <c r="J156" i="4"/>
  <c r="I156" i="4"/>
  <c r="G156" i="4"/>
  <c r="F156" i="4"/>
  <c r="E156" i="4"/>
  <c r="K155" i="4"/>
  <c r="J155" i="4"/>
  <c r="I155" i="4"/>
  <c r="G155" i="4"/>
  <c r="F155" i="4"/>
  <c r="E155" i="4"/>
  <c r="K154" i="4"/>
  <c r="J154" i="4"/>
  <c r="I154" i="4"/>
  <c r="G154" i="4"/>
  <c r="F154" i="4"/>
  <c r="E154" i="4"/>
  <c r="K153" i="4"/>
  <c r="J153" i="4"/>
  <c r="I153" i="4"/>
  <c r="G153" i="4"/>
  <c r="F153" i="4"/>
  <c r="E153" i="4"/>
  <c r="K152" i="4"/>
  <c r="J152" i="4"/>
  <c r="I152" i="4"/>
  <c r="G152" i="4"/>
  <c r="F152" i="4"/>
  <c r="E152" i="4"/>
  <c r="K151" i="4"/>
  <c r="J151" i="4"/>
  <c r="I151" i="4"/>
  <c r="G151" i="4"/>
  <c r="F151" i="4"/>
  <c r="E151" i="4"/>
  <c r="K150" i="4"/>
  <c r="J150" i="4"/>
  <c r="I150" i="4"/>
  <c r="G150" i="4"/>
  <c r="F150" i="4"/>
  <c r="E150" i="4"/>
  <c r="K143" i="4"/>
  <c r="J143" i="4"/>
  <c r="I143" i="4"/>
  <c r="G143" i="4"/>
  <c r="F143" i="4"/>
  <c r="K142" i="4"/>
  <c r="J142" i="4"/>
  <c r="I142" i="4"/>
  <c r="G142" i="4"/>
  <c r="F142" i="4"/>
  <c r="E142" i="4"/>
  <c r="K141" i="4"/>
  <c r="J141" i="4"/>
  <c r="I141" i="4"/>
  <c r="G141" i="4"/>
  <c r="F141" i="4"/>
  <c r="E141" i="4"/>
  <c r="K140" i="4"/>
  <c r="J140" i="4"/>
  <c r="I140" i="4"/>
  <c r="E140" i="4"/>
  <c r="K139" i="4"/>
  <c r="J139" i="4"/>
  <c r="I139" i="4"/>
  <c r="G139" i="4"/>
  <c r="F139" i="4"/>
  <c r="E139" i="4"/>
  <c r="K138" i="4"/>
  <c r="J138" i="4"/>
  <c r="I138" i="4"/>
  <c r="G138" i="4"/>
  <c r="F138" i="4"/>
  <c r="E138" i="4"/>
  <c r="K137" i="4"/>
  <c r="J137" i="4"/>
  <c r="I137" i="4"/>
  <c r="G137" i="4"/>
  <c r="F137" i="4"/>
  <c r="E137" i="4"/>
  <c r="K136" i="4"/>
  <c r="J136" i="4"/>
  <c r="I136" i="4"/>
  <c r="G136" i="4"/>
  <c r="F136" i="4"/>
  <c r="E136" i="4"/>
  <c r="K135" i="4"/>
  <c r="J135" i="4"/>
  <c r="I135" i="4"/>
  <c r="G135" i="4"/>
  <c r="F135" i="4"/>
  <c r="E135" i="4"/>
  <c r="K134" i="4"/>
  <c r="J134" i="4"/>
  <c r="I134" i="4"/>
  <c r="G134" i="4"/>
  <c r="F134" i="4"/>
  <c r="E134" i="4"/>
  <c r="K133" i="4"/>
  <c r="J133" i="4"/>
  <c r="I133" i="4"/>
  <c r="G133" i="4"/>
  <c r="F133" i="4"/>
  <c r="E133" i="4"/>
  <c r="K132" i="4"/>
  <c r="J132" i="4"/>
  <c r="I132" i="4"/>
  <c r="G132" i="4"/>
  <c r="F132" i="4"/>
  <c r="E132" i="4"/>
  <c r="K131" i="4"/>
  <c r="J131" i="4"/>
  <c r="I131" i="4"/>
  <c r="G131" i="4"/>
  <c r="F131" i="4"/>
  <c r="E131" i="4"/>
  <c r="K130" i="4"/>
  <c r="J130" i="4"/>
  <c r="I130" i="4"/>
  <c r="G130" i="4"/>
  <c r="F130" i="4"/>
  <c r="E130" i="4"/>
  <c r="K129" i="4"/>
  <c r="J129" i="4"/>
  <c r="I129" i="4"/>
  <c r="G129" i="4"/>
  <c r="F129" i="4"/>
  <c r="E129" i="4"/>
  <c r="K128" i="4"/>
  <c r="J128" i="4"/>
  <c r="I128" i="4"/>
  <c r="G128" i="4"/>
  <c r="F128" i="4"/>
  <c r="E128" i="4"/>
  <c r="K127" i="4"/>
  <c r="J127" i="4"/>
  <c r="I127" i="4"/>
  <c r="G127" i="4"/>
  <c r="F127" i="4"/>
  <c r="E127" i="4"/>
  <c r="K126" i="4"/>
  <c r="J126" i="4"/>
  <c r="I126" i="4"/>
  <c r="G126" i="4"/>
  <c r="F126" i="4"/>
  <c r="E126" i="4"/>
  <c r="K125" i="4"/>
  <c r="J125" i="4"/>
  <c r="I125" i="4"/>
  <c r="G125" i="4"/>
  <c r="F125" i="4"/>
  <c r="E125" i="4"/>
  <c r="K124" i="4"/>
  <c r="J124" i="4"/>
  <c r="I124" i="4"/>
  <c r="G124" i="4"/>
  <c r="F124" i="4"/>
  <c r="E124" i="4"/>
  <c r="K123" i="4"/>
  <c r="J123" i="4"/>
  <c r="I123" i="4"/>
  <c r="G123" i="4"/>
  <c r="F123" i="4"/>
  <c r="E123" i="4"/>
  <c r="K122" i="4"/>
  <c r="J122" i="4"/>
  <c r="I122" i="4"/>
  <c r="G122" i="4"/>
  <c r="F122" i="4"/>
  <c r="E122" i="4"/>
  <c r="K121" i="4"/>
  <c r="J121" i="4"/>
  <c r="I121" i="4"/>
  <c r="G121" i="4"/>
  <c r="F121" i="4"/>
  <c r="E121" i="4"/>
  <c r="K120" i="4"/>
  <c r="J120" i="4"/>
  <c r="I120" i="4"/>
  <c r="G120" i="4"/>
  <c r="F120" i="4"/>
  <c r="E120" i="4"/>
  <c r="K119" i="4"/>
  <c r="J119" i="4"/>
  <c r="I119" i="4"/>
  <c r="G119" i="4"/>
  <c r="F119" i="4"/>
  <c r="E119" i="4"/>
  <c r="K118" i="4"/>
  <c r="J118" i="4"/>
  <c r="I118" i="4"/>
  <c r="G118" i="4"/>
  <c r="F118" i="4"/>
  <c r="E118" i="4"/>
  <c r="K117" i="4"/>
  <c r="J117" i="4"/>
  <c r="I117" i="4"/>
  <c r="G117" i="4"/>
  <c r="F117" i="4"/>
  <c r="E117" i="4"/>
  <c r="K116" i="4"/>
  <c r="J116" i="4"/>
  <c r="I116" i="4"/>
  <c r="G116" i="4"/>
  <c r="F116" i="4"/>
  <c r="E116" i="4"/>
  <c r="K115" i="4"/>
  <c r="J115" i="4"/>
  <c r="I115" i="4"/>
  <c r="G115" i="4"/>
  <c r="F115" i="4"/>
  <c r="E115" i="4"/>
  <c r="K114" i="4"/>
  <c r="J114" i="4"/>
  <c r="I114" i="4"/>
  <c r="G114" i="4"/>
  <c r="F114" i="4"/>
  <c r="E114" i="4"/>
  <c r="K113" i="4"/>
  <c r="J113" i="4"/>
  <c r="I113" i="4"/>
  <c r="G113" i="4"/>
  <c r="F113" i="4"/>
  <c r="E113" i="4"/>
  <c r="K110" i="4"/>
  <c r="J110" i="4"/>
  <c r="I110" i="4"/>
  <c r="G110" i="4"/>
  <c r="F110" i="4"/>
  <c r="E110" i="4"/>
  <c r="K109" i="4"/>
  <c r="J109" i="4"/>
  <c r="I109" i="4"/>
  <c r="G109" i="4"/>
  <c r="F109" i="4"/>
  <c r="E109" i="4"/>
  <c r="K108" i="4"/>
  <c r="J108" i="4"/>
  <c r="I108" i="4"/>
  <c r="G108" i="4"/>
  <c r="F108" i="4"/>
  <c r="E108" i="4"/>
  <c r="K107" i="4"/>
  <c r="J107" i="4"/>
  <c r="I107" i="4"/>
  <c r="E107" i="4"/>
  <c r="K106" i="4"/>
  <c r="J106" i="4"/>
  <c r="I106" i="4"/>
  <c r="G106" i="4"/>
  <c r="F106" i="4"/>
  <c r="E106" i="4"/>
  <c r="K105" i="4"/>
  <c r="J105" i="4"/>
  <c r="I105" i="4"/>
  <c r="G105" i="4"/>
  <c r="E105" i="4"/>
  <c r="K104" i="4"/>
  <c r="J104" i="4"/>
  <c r="I104" i="4"/>
  <c r="G104" i="4"/>
  <c r="F104" i="4"/>
  <c r="E104" i="4"/>
  <c r="K103" i="4"/>
  <c r="J103" i="4"/>
  <c r="I103" i="4"/>
  <c r="G103" i="4"/>
  <c r="F103" i="4"/>
  <c r="E103" i="4"/>
  <c r="K102" i="4"/>
  <c r="J102" i="4"/>
  <c r="I102" i="4"/>
  <c r="G102" i="4"/>
  <c r="F102" i="4"/>
  <c r="E102" i="4"/>
  <c r="K101" i="4"/>
  <c r="J101" i="4"/>
  <c r="I101" i="4"/>
  <c r="G101" i="4"/>
  <c r="F101" i="4"/>
  <c r="E101" i="4"/>
  <c r="K100" i="4"/>
  <c r="J100" i="4"/>
  <c r="I100" i="4"/>
  <c r="G100" i="4"/>
  <c r="F100" i="4"/>
  <c r="E100" i="4"/>
  <c r="K99" i="4"/>
  <c r="J99" i="4"/>
  <c r="I99" i="4"/>
  <c r="G99" i="4"/>
  <c r="F99" i="4"/>
  <c r="E99" i="4"/>
  <c r="K98" i="4"/>
  <c r="J98" i="4"/>
  <c r="I98" i="4"/>
  <c r="F98" i="4"/>
  <c r="H98" i="4" s="1"/>
  <c r="E98" i="4"/>
  <c r="K97" i="4"/>
  <c r="J97" i="4"/>
  <c r="I97" i="4"/>
  <c r="G97" i="4"/>
  <c r="F97" i="4"/>
  <c r="E97" i="4"/>
  <c r="K96" i="4"/>
  <c r="J96" i="4"/>
  <c r="I96" i="4"/>
  <c r="G96" i="4"/>
  <c r="F96" i="4"/>
  <c r="E96" i="4"/>
  <c r="K95" i="4"/>
  <c r="J95" i="4"/>
  <c r="I95" i="4"/>
  <c r="G95" i="4"/>
  <c r="F95" i="4"/>
  <c r="E95" i="4"/>
  <c r="K94" i="4"/>
  <c r="J94" i="4"/>
  <c r="I94" i="4"/>
  <c r="G94" i="4"/>
  <c r="F94" i="4"/>
  <c r="E94" i="4"/>
  <c r="K93" i="4"/>
  <c r="J93" i="4"/>
  <c r="I93" i="4"/>
  <c r="G93" i="4"/>
  <c r="F93" i="4"/>
  <c r="E93" i="4"/>
  <c r="K92" i="4"/>
  <c r="J92" i="4"/>
  <c r="I92" i="4"/>
  <c r="G92" i="4"/>
  <c r="F92" i="4"/>
  <c r="E92" i="4"/>
  <c r="K91" i="4"/>
  <c r="J91" i="4"/>
  <c r="I91" i="4"/>
  <c r="G91" i="4"/>
  <c r="F91" i="4"/>
  <c r="E91" i="4"/>
  <c r="K90" i="4"/>
  <c r="J90" i="4"/>
  <c r="I90" i="4"/>
  <c r="G90" i="4"/>
  <c r="F90" i="4"/>
  <c r="K89" i="4"/>
  <c r="J89" i="4"/>
  <c r="I89" i="4"/>
  <c r="F89" i="4"/>
  <c r="E89" i="4"/>
  <c r="K88" i="4"/>
  <c r="J88" i="4"/>
  <c r="I88" i="4"/>
  <c r="G88" i="4"/>
  <c r="F88" i="4"/>
  <c r="E88" i="4"/>
  <c r="K87" i="4"/>
  <c r="J87" i="4"/>
  <c r="I87" i="4"/>
  <c r="G87" i="4"/>
  <c r="F87" i="4"/>
  <c r="E87" i="4"/>
  <c r="K86" i="4"/>
  <c r="J86" i="4"/>
  <c r="I86" i="4"/>
  <c r="E86" i="4"/>
  <c r="K85" i="4"/>
  <c r="J85" i="4"/>
  <c r="I85" i="4"/>
  <c r="G85" i="4"/>
  <c r="F85" i="4"/>
  <c r="E85" i="4"/>
  <c r="K84" i="4"/>
  <c r="J84" i="4"/>
  <c r="I84" i="4"/>
  <c r="G84" i="4"/>
  <c r="F84" i="4"/>
  <c r="E84" i="4"/>
  <c r="K83" i="4"/>
  <c r="J83" i="4"/>
  <c r="I83" i="4"/>
  <c r="F83" i="4"/>
  <c r="E83" i="4"/>
  <c r="K82" i="4"/>
  <c r="J82" i="4"/>
  <c r="I82" i="4"/>
  <c r="G82" i="4"/>
  <c r="F82" i="4"/>
  <c r="E82" i="4"/>
  <c r="K81" i="4"/>
  <c r="J81" i="4"/>
  <c r="I81" i="4"/>
  <c r="G81" i="4"/>
  <c r="F81" i="4"/>
  <c r="E81" i="4"/>
  <c r="K80" i="4"/>
  <c r="J80" i="4"/>
  <c r="I80" i="4"/>
  <c r="G80" i="4"/>
  <c r="F80" i="4"/>
  <c r="E80" i="4"/>
  <c r="K79" i="4"/>
  <c r="J79" i="4"/>
  <c r="I79" i="4"/>
  <c r="G79" i="4"/>
  <c r="F79" i="4"/>
  <c r="E79" i="4"/>
  <c r="K78" i="4"/>
  <c r="J78" i="4"/>
  <c r="I78" i="4"/>
  <c r="G78" i="4"/>
  <c r="F78" i="4"/>
  <c r="E78" i="4"/>
  <c r="K77" i="4"/>
  <c r="J77" i="4"/>
  <c r="I77" i="4"/>
  <c r="G77" i="4"/>
  <c r="F77" i="4"/>
  <c r="E77" i="4"/>
  <c r="K76" i="4"/>
  <c r="J76" i="4"/>
  <c r="I76" i="4"/>
  <c r="G76" i="4"/>
  <c r="F76" i="4"/>
  <c r="E76" i="4"/>
  <c r="K75" i="4"/>
  <c r="J75" i="4"/>
  <c r="I75" i="4"/>
  <c r="G75" i="4"/>
  <c r="F75" i="4"/>
  <c r="E75" i="4"/>
  <c r="K74" i="4"/>
  <c r="J74" i="4"/>
  <c r="I74" i="4"/>
  <c r="G74" i="4"/>
  <c r="F74" i="4"/>
  <c r="E74" i="4"/>
  <c r="K73" i="4"/>
  <c r="J73" i="4"/>
  <c r="I73" i="4"/>
  <c r="G73" i="4"/>
  <c r="F73" i="4"/>
  <c r="E73" i="4"/>
  <c r="K72" i="4"/>
  <c r="J72" i="4"/>
  <c r="I72" i="4"/>
  <c r="G72" i="4"/>
  <c r="F72" i="4"/>
  <c r="E72" i="4"/>
  <c r="K71" i="4"/>
  <c r="J71" i="4"/>
  <c r="I71" i="4"/>
  <c r="G71" i="4"/>
  <c r="F71" i="4"/>
  <c r="E71" i="4"/>
  <c r="K70" i="4"/>
  <c r="J70" i="4"/>
  <c r="I70" i="4"/>
  <c r="G70" i="4"/>
  <c r="F70" i="4"/>
  <c r="E70" i="4"/>
  <c r="K69" i="4"/>
  <c r="J69" i="4"/>
  <c r="I69" i="4"/>
  <c r="G69" i="4"/>
  <c r="F69" i="4"/>
  <c r="E69" i="4"/>
  <c r="K68" i="4"/>
  <c r="J68" i="4"/>
  <c r="I68" i="4"/>
  <c r="G68" i="4"/>
  <c r="F68" i="4"/>
  <c r="E68" i="4"/>
  <c r="K67" i="4"/>
  <c r="J67" i="4"/>
  <c r="I67" i="4"/>
  <c r="G67" i="4"/>
  <c r="F67" i="4"/>
  <c r="E67" i="4"/>
  <c r="K66" i="4"/>
  <c r="J66" i="4"/>
  <c r="I66" i="4"/>
  <c r="G66" i="4"/>
  <c r="F66" i="4"/>
  <c r="E66" i="4"/>
  <c r="J65" i="4"/>
  <c r="I65" i="4"/>
  <c r="F65" i="4"/>
  <c r="E65" i="4"/>
  <c r="K64" i="4"/>
  <c r="J64" i="4"/>
  <c r="I64" i="4"/>
  <c r="G64" i="4"/>
  <c r="F64" i="4"/>
  <c r="E64" i="4"/>
  <c r="K60" i="4"/>
  <c r="J60" i="4"/>
  <c r="I60" i="4"/>
  <c r="G60" i="4"/>
  <c r="F60" i="4"/>
  <c r="E60" i="4"/>
  <c r="K59" i="4"/>
  <c r="J59" i="4"/>
  <c r="I59" i="4"/>
  <c r="G59" i="4"/>
  <c r="F59" i="4"/>
  <c r="E59" i="4"/>
  <c r="K58" i="4"/>
  <c r="J58" i="4"/>
  <c r="I58" i="4"/>
  <c r="G58" i="4"/>
  <c r="F58" i="4"/>
  <c r="E58" i="4"/>
  <c r="K57" i="4"/>
  <c r="J57" i="4"/>
  <c r="I57" i="4"/>
  <c r="G57" i="4"/>
  <c r="F57" i="4"/>
  <c r="E57" i="4"/>
  <c r="K56" i="4"/>
  <c r="J56" i="4"/>
  <c r="I56" i="4"/>
  <c r="G56" i="4"/>
  <c r="F56" i="4"/>
  <c r="E56" i="4"/>
  <c r="K55" i="4"/>
  <c r="J55" i="4"/>
  <c r="I55" i="4"/>
  <c r="G55" i="4"/>
  <c r="F55" i="4"/>
  <c r="E55" i="4"/>
  <c r="K54" i="4"/>
  <c r="J54" i="4"/>
  <c r="I54" i="4"/>
  <c r="G54" i="4"/>
  <c r="F54" i="4"/>
  <c r="E54" i="4"/>
  <c r="K53" i="4"/>
  <c r="J53" i="4"/>
  <c r="I53" i="4"/>
  <c r="G53" i="4"/>
  <c r="F53" i="4"/>
  <c r="E53" i="4"/>
  <c r="K52" i="4"/>
  <c r="J52" i="4"/>
  <c r="I52" i="4"/>
  <c r="E52" i="4"/>
  <c r="K51" i="4"/>
  <c r="J51" i="4"/>
  <c r="I51" i="4"/>
  <c r="G51" i="4"/>
  <c r="F51" i="4"/>
  <c r="E51" i="4"/>
  <c r="K50" i="4"/>
  <c r="J50" i="4"/>
  <c r="I50" i="4"/>
  <c r="G50" i="4"/>
  <c r="F50" i="4"/>
  <c r="E50" i="4"/>
  <c r="K49" i="4"/>
  <c r="J49" i="4"/>
  <c r="I49" i="4"/>
  <c r="G49" i="4"/>
  <c r="F49" i="4"/>
  <c r="E49" i="4"/>
  <c r="K48" i="4"/>
  <c r="J48" i="4"/>
  <c r="I48" i="4"/>
  <c r="G48" i="4"/>
  <c r="F48" i="4"/>
  <c r="E48" i="4"/>
  <c r="K47" i="4"/>
  <c r="J47" i="4"/>
  <c r="I47" i="4"/>
  <c r="G47" i="4"/>
  <c r="F47" i="4"/>
  <c r="E47" i="4"/>
  <c r="K46" i="4"/>
  <c r="J46" i="4"/>
  <c r="I46" i="4"/>
  <c r="G46" i="4"/>
  <c r="F46" i="4"/>
  <c r="E46" i="4"/>
  <c r="K45" i="4"/>
  <c r="J45" i="4"/>
  <c r="I45" i="4"/>
  <c r="G45" i="4"/>
  <c r="F45" i="4"/>
  <c r="E45" i="4"/>
  <c r="I5" i="4"/>
  <c r="J5" i="4"/>
  <c r="K5" i="4"/>
  <c r="I6" i="4"/>
  <c r="J6" i="4"/>
  <c r="K6" i="4"/>
  <c r="I7" i="4"/>
  <c r="J7" i="4"/>
  <c r="K7" i="4"/>
  <c r="I8" i="4"/>
  <c r="J8" i="4"/>
  <c r="K8" i="4"/>
  <c r="I9" i="4"/>
  <c r="J9" i="4"/>
  <c r="K9" i="4"/>
  <c r="I10" i="4"/>
  <c r="J10" i="4"/>
  <c r="K10" i="4"/>
  <c r="I11" i="4"/>
  <c r="J11" i="4"/>
  <c r="K11" i="4"/>
  <c r="I12" i="4"/>
  <c r="J12" i="4"/>
  <c r="K12" i="4"/>
  <c r="I13" i="4"/>
  <c r="J13" i="4"/>
  <c r="K13" i="4"/>
  <c r="I14" i="4"/>
  <c r="J14" i="4"/>
  <c r="K14" i="4"/>
  <c r="I15" i="4"/>
  <c r="J15" i="4"/>
  <c r="K15" i="4"/>
  <c r="I16" i="4"/>
  <c r="J16" i="4"/>
  <c r="K16" i="4"/>
  <c r="I17" i="4"/>
  <c r="J17" i="4"/>
  <c r="K17" i="4"/>
  <c r="I18" i="4"/>
  <c r="J18" i="4"/>
  <c r="K18" i="4"/>
  <c r="I19" i="4"/>
  <c r="J19" i="4"/>
  <c r="K19" i="4"/>
  <c r="I20" i="4"/>
  <c r="J20" i="4"/>
  <c r="K20" i="4"/>
  <c r="I21" i="4"/>
  <c r="J21" i="4"/>
  <c r="K21" i="4"/>
  <c r="I22" i="4"/>
  <c r="J22" i="4"/>
  <c r="K22" i="4"/>
  <c r="I23" i="4"/>
  <c r="J23" i="4"/>
  <c r="K23" i="4"/>
  <c r="I24" i="4"/>
  <c r="J24" i="4"/>
  <c r="K24" i="4"/>
  <c r="I25" i="4"/>
  <c r="J25" i="4"/>
  <c r="K25" i="4"/>
  <c r="I26" i="4"/>
  <c r="J26" i="4"/>
  <c r="K26" i="4"/>
  <c r="I27" i="4"/>
  <c r="J27" i="4"/>
  <c r="K27" i="4"/>
  <c r="I28" i="4"/>
  <c r="J28" i="4"/>
  <c r="K28" i="4"/>
  <c r="I29" i="4"/>
  <c r="J29" i="4"/>
  <c r="K29" i="4"/>
  <c r="I30" i="4"/>
  <c r="J30" i="4"/>
  <c r="K30" i="4"/>
  <c r="I31" i="4"/>
  <c r="J31" i="4"/>
  <c r="K31" i="4"/>
  <c r="I32" i="4"/>
  <c r="J32" i="4"/>
  <c r="K32" i="4"/>
  <c r="I33" i="4"/>
  <c r="J33" i="4"/>
  <c r="K33" i="4"/>
  <c r="I34" i="4"/>
  <c r="J34" i="4"/>
  <c r="K34" i="4"/>
  <c r="I35" i="4"/>
  <c r="J35" i="4"/>
  <c r="K35" i="4"/>
  <c r="I36" i="4"/>
  <c r="J36" i="4"/>
  <c r="K36" i="4"/>
  <c r="I37" i="4"/>
  <c r="J37" i="4"/>
  <c r="K37" i="4"/>
  <c r="I38" i="4"/>
  <c r="J38" i="4"/>
  <c r="K38" i="4"/>
  <c r="I39" i="4"/>
  <c r="J39" i="4"/>
  <c r="K39" i="4"/>
  <c r="I40" i="4"/>
  <c r="J40" i="4"/>
  <c r="K40" i="4"/>
  <c r="I41" i="4"/>
  <c r="J41" i="4"/>
  <c r="K41" i="4"/>
  <c r="I42" i="4"/>
  <c r="J42" i="4"/>
  <c r="K42" i="4"/>
  <c r="I43" i="4"/>
  <c r="J43" i="4"/>
  <c r="K43" i="4"/>
  <c r="K4" i="4"/>
  <c r="J4" i="4"/>
  <c r="I4" i="4"/>
  <c r="C182" i="4"/>
  <c r="C180" i="4"/>
  <c r="C179" i="4"/>
  <c r="C178" i="4"/>
  <c r="C177" i="4"/>
  <c r="C176" i="4"/>
  <c r="C175" i="4"/>
  <c r="C174" i="4"/>
  <c r="C173" i="4"/>
  <c r="C172" i="4"/>
  <c r="C171" i="4"/>
  <c r="C170" i="4"/>
  <c r="C169" i="4"/>
  <c r="C168" i="4"/>
  <c r="C167" i="4"/>
  <c r="C166" i="4"/>
  <c r="C165" i="4"/>
  <c r="C163" i="4"/>
  <c r="C162" i="4"/>
  <c r="C161" i="4"/>
  <c r="C160" i="4"/>
  <c r="C159" i="4"/>
  <c r="C158" i="4"/>
  <c r="C157" i="4"/>
  <c r="C156" i="4"/>
  <c r="C155" i="4"/>
  <c r="C154" i="4"/>
  <c r="C153" i="4"/>
  <c r="C152" i="4"/>
  <c r="C151" i="4"/>
  <c r="C150"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0" i="4"/>
  <c r="C109" i="4"/>
  <c r="C108" i="4"/>
  <c r="C107" i="4"/>
  <c r="C106" i="4"/>
  <c r="C105" i="4"/>
  <c r="C104" i="4"/>
  <c r="C103" i="4"/>
  <c r="C102" i="4"/>
  <c r="C101" i="4"/>
  <c r="C100" i="4"/>
  <c r="C99" i="4"/>
  <c r="C98" i="4"/>
  <c r="C96" i="4"/>
  <c r="C95" i="4"/>
  <c r="C94" i="4"/>
  <c r="C93" i="4"/>
  <c r="C92" i="4"/>
  <c r="C91" i="4"/>
  <c r="C90" i="4"/>
  <c r="C89" i="4"/>
  <c r="C88" i="4"/>
  <c r="C87" i="4"/>
  <c r="C86" i="4"/>
  <c r="C85" i="4"/>
  <c r="C84" i="4"/>
  <c r="C83" i="4"/>
  <c r="C81" i="4"/>
  <c r="C80" i="4"/>
  <c r="C79" i="4"/>
  <c r="C78" i="4"/>
  <c r="C77" i="4"/>
  <c r="C76" i="4"/>
  <c r="C75" i="4"/>
  <c r="C74" i="4"/>
  <c r="C73" i="4"/>
  <c r="C72" i="4"/>
  <c r="C71" i="4"/>
  <c r="C70" i="4"/>
  <c r="C69" i="4"/>
  <c r="C68" i="4"/>
  <c r="C67" i="4"/>
  <c r="C66" i="4"/>
  <c r="C64" i="4"/>
  <c r="C5" i="4"/>
  <c r="C6" i="4"/>
  <c r="C7" i="4"/>
  <c r="C8" i="4"/>
  <c r="C9" i="4"/>
  <c r="C10" i="4"/>
  <c r="C11" i="4"/>
  <c r="C13" i="4"/>
  <c r="C14" i="4"/>
  <c r="C15" i="4"/>
  <c r="C16" i="4"/>
  <c r="C18" i="4"/>
  <c r="C19" i="4"/>
  <c r="C20" i="4"/>
  <c r="C21" i="4"/>
  <c r="C22" i="4"/>
  <c r="C23" i="4"/>
  <c r="C24" i="4"/>
  <c r="C25" i="4"/>
  <c r="C26" i="4"/>
  <c r="C27" i="4"/>
  <c r="C28" i="4"/>
  <c r="C29" i="4"/>
  <c r="C30" i="4"/>
  <c r="C31" i="4"/>
  <c r="C32" i="4"/>
  <c r="C33" i="4"/>
  <c r="C34" i="4"/>
  <c r="C35" i="4"/>
  <c r="C36" i="4"/>
  <c r="C37" i="4"/>
  <c r="C38" i="4"/>
  <c r="C39" i="4"/>
  <c r="C40" i="4"/>
  <c r="C41" i="4"/>
  <c r="C42" i="4"/>
  <c r="C43" i="4"/>
  <c r="C4" i="4"/>
  <c r="C45" i="4"/>
  <c r="C46" i="4"/>
  <c r="C47" i="4"/>
  <c r="C48" i="4"/>
  <c r="C49" i="4"/>
  <c r="C50" i="4"/>
  <c r="C51" i="4"/>
  <c r="C52" i="4"/>
  <c r="C53" i="4"/>
  <c r="C54" i="4"/>
  <c r="C55" i="4"/>
  <c r="C56" i="4"/>
  <c r="C57" i="4"/>
  <c r="C58" i="4"/>
  <c r="C59" i="4"/>
  <c r="C60" i="4"/>
  <c r="W73" i="6"/>
  <c r="M63" i="1"/>
  <c r="F137" i="6"/>
  <c r="F83" i="6"/>
  <c r="F84" i="6"/>
  <c r="F85" i="6"/>
  <c r="F86" i="6"/>
  <c r="F71" i="6"/>
  <c r="F70" i="6"/>
  <c r="F69" i="6"/>
  <c r="F68" i="6"/>
  <c r="F67" i="6"/>
  <c r="F66" i="6"/>
  <c r="F65" i="6"/>
  <c r="F64" i="6"/>
  <c r="F63" i="6"/>
  <c r="F62" i="6"/>
  <c r="F61" i="6"/>
  <c r="F60" i="6"/>
  <c r="F59" i="6"/>
  <c r="F58" i="6"/>
  <c r="F57" i="6"/>
  <c r="F56" i="6"/>
  <c r="F55" i="6"/>
  <c r="F54" i="6"/>
  <c r="F53" i="6"/>
  <c r="F52" i="6"/>
  <c r="F51" i="6"/>
  <c r="F50" i="6"/>
  <c r="F49" i="6"/>
  <c r="F48" i="6"/>
  <c r="F47" i="6"/>
  <c r="F46" i="6"/>
  <c r="F45" i="6"/>
  <c r="S79" i="6" l="1"/>
  <c r="S84" i="6"/>
  <c r="N52" i="4"/>
  <c r="A117" i="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E99" i="6"/>
  <c r="E120" i="6"/>
  <c r="E133" i="6"/>
  <c r="E142" i="6"/>
  <c r="E149" i="6"/>
  <c r="E156" i="6"/>
  <c r="E163" i="6"/>
  <c r="E170" i="6"/>
  <c r="E182" i="6"/>
  <c r="E189" i="6"/>
  <c r="E197" i="6"/>
  <c r="E204" i="6"/>
  <c r="E165" i="6"/>
  <c r="E36" i="6"/>
  <c r="E115" i="6"/>
  <c r="E38" i="6"/>
  <c r="E17" i="6"/>
  <c r="E126" i="6"/>
  <c r="E8" i="6"/>
  <c r="E158" i="6"/>
  <c r="E184" i="6"/>
  <c r="E92" i="6"/>
  <c r="E75" i="6"/>
  <c r="E97" i="6"/>
  <c r="E12" i="6"/>
  <c r="E5" i="6"/>
  <c r="E113" i="6"/>
  <c r="E118" i="6"/>
  <c r="E140" i="6"/>
  <c r="E147" i="6"/>
  <c r="E154" i="6"/>
  <c r="E161" i="6"/>
  <c r="E168" i="6"/>
  <c r="E180" i="6"/>
  <c r="E187" i="6"/>
  <c r="E195" i="6"/>
  <c r="E202" i="6"/>
  <c r="E103" i="6"/>
  <c r="E151" i="6"/>
  <c r="E24" i="6"/>
  <c r="E95" i="6"/>
  <c r="E104" i="6"/>
  <c r="E131" i="6"/>
  <c r="E88" i="6"/>
  <c r="E72" i="6"/>
  <c r="E101" i="6"/>
  <c r="E123" i="6"/>
  <c r="E43" i="6"/>
  <c r="E77" i="6"/>
  <c r="E85" i="6"/>
  <c r="E7" i="6"/>
  <c r="E124" i="6"/>
  <c r="E136" i="6"/>
  <c r="E145" i="6"/>
  <c r="E152" i="6"/>
  <c r="E159" i="6"/>
  <c r="E166" i="6"/>
  <c r="E178" i="6"/>
  <c r="E185" i="6"/>
  <c r="E193" i="6"/>
  <c r="E200" i="6"/>
  <c r="E207" i="6"/>
  <c r="E34" i="6"/>
  <c r="E20" i="6"/>
  <c r="E206" i="6"/>
  <c r="E15" i="6"/>
  <c r="E112" i="6"/>
  <c r="E128" i="6"/>
  <c r="E33" i="6"/>
  <c r="E42" i="6"/>
  <c r="E35" i="6"/>
  <c r="E28" i="6"/>
  <c r="E21" i="6"/>
  <c r="E14" i="6"/>
  <c r="E83" i="6"/>
  <c r="E93" i="6"/>
  <c r="E100" i="6"/>
  <c r="E121" i="6"/>
  <c r="E129" i="6"/>
  <c r="E13" i="6"/>
  <c r="E192" i="6"/>
  <c r="E29" i="6"/>
  <c r="E10" i="6"/>
  <c r="E31" i="6"/>
  <c r="E73" i="6"/>
  <c r="E108" i="6"/>
  <c r="E9" i="6"/>
  <c r="E109" i="6"/>
  <c r="E122" i="6"/>
  <c r="E134" i="6"/>
  <c r="E143" i="6"/>
  <c r="E150" i="6"/>
  <c r="E157" i="6"/>
  <c r="E164" i="6"/>
  <c r="E176" i="6"/>
  <c r="E183" i="6"/>
  <c r="E191" i="6"/>
  <c r="E198" i="6"/>
  <c r="E205" i="6"/>
  <c r="E27" i="6"/>
  <c r="E94" i="6"/>
  <c r="E22" i="6"/>
  <c r="E19" i="6"/>
  <c r="E116" i="6"/>
  <c r="E37" i="6"/>
  <c r="E30" i="6"/>
  <c r="E23" i="6"/>
  <c r="E16" i="6"/>
  <c r="E76" i="6"/>
  <c r="E98" i="6"/>
  <c r="E111" i="6"/>
  <c r="E127" i="6"/>
  <c r="E41" i="6"/>
  <c r="E144" i="6"/>
  <c r="E177" i="6"/>
  <c r="E106" i="6"/>
  <c r="E87" i="6"/>
  <c r="E107" i="6"/>
  <c r="E40" i="6"/>
  <c r="E26" i="6"/>
  <c r="E11" i="6"/>
  <c r="E105" i="6"/>
  <c r="E114" i="6"/>
  <c r="E119" i="6"/>
  <c r="E132" i="6"/>
  <c r="E141" i="6"/>
  <c r="E148" i="6"/>
  <c r="E155" i="6"/>
  <c r="E162" i="6"/>
  <c r="E169" i="6"/>
  <c r="E181" i="6"/>
  <c r="E188" i="6"/>
  <c r="E196" i="6"/>
  <c r="E203" i="6"/>
  <c r="E84" i="6"/>
  <c r="E130" i="6"/>
  <c r="E199" i="6"/>
  <c r="E32" i="6"/>
  <c r="E18" i="6"/>
  <c r="E74" i="6"/>
  <c r="E102" i="6"/>
  <c r="E135" i="6"/>
  <c r="E39" i="6"/>
  <c r="E25" i="6"/>
  <c r="E86" i="6"/>
  <c r="E91" i="6"/>
  <c r="E96" i="6"/>
  <c r="E125" i="6"/>
  <c r="E4" i="6"/>
  <c r="E6" i="6"/>
  <c r="E110" i="6"/>
  <c r="E117" i="6"/>
  <c r="E137" i="6"/>
  <c r="E146" i="6"/>
  <c r="E153" i="6"/>
  <c r="E160" i="6"/>
  <c r="E167" i="6"/>
  <c r="E179" i="6"/>
  <c r="E186" i="6"/>
  <c r="E194" i="6"/>
  <c r="E201" i="6"/>
  <c r="E208" i="6"/>
  <c r="H18" i="4"/>
  <c r="H5" i="4"/>
  <c r="H42" i="4"/>
  <c r="H36" i="4"/>
  <c r="H30" i="4"/>
  <c r="H26" i="4"/>
  <c r="H24" i="4"/>
  <c r="H22" i="4"/>
  <c r="H20" i="4"/>
  <c r="H16" i="4"/>
  <c r="H10" i="4"/>
  <c r="H41" i="4"/>
  <c r="H37" i="4"/>
  <c r="H29" i="4"/>
  <c r="H27" i="4"/>
  <c r="H23" i="4"/>
  <c r="H21" i="4"/>
  <c r="E78" i="6"/>
  <c r="E79" i="6"/>
  <c r="E80" i="6"/>
  <c r="H61" i="4"/>
  <c r="E81" i="6"/>
  <c r="H67" i="4"/>
  <c r="H79" i="4"/>
  <c r="H91" i="4"/>
  <c r="H143" i="4"/>
  <c r="E82" i="6"/>
  <c r="H35" i="4"/>
  <c r="H17" i="4"/>
  <c r="H15" i="4"/>
  <c r="H66" i="4"/>
  <c r="H14" i="4"/>
  <c r="H34" i="4"/>
  <c r="H32" i="4"/>
  <c r="H12" i="4"/>
  <c r="H6" i="4"/>
  <c r="H133" i="4"/>
  <c r="H28" i="4"/>
  <c r="H68" i="4"/>
  <c r="H70" i="4"/>
  <c r="H72" i="4"/>
  <c r="H74" i="4"/>
  <c r="H90" i="4"/>
  <c r="H43" i="4"/>
  <c r="H7" i="4"/>
  <c r="H31" i="4"/>
  <c r="H107" i="4"/>
  <c r="H121" i="4"/>
  <c r="H25" i="4"/>
  <c r="H8" i="4"/>
  <c r="H46" i="4"/>
  <c r="H109" i="4"/>
  <c r="H123" i="4"/>
  <c r="H135" i="4"/>
  <c r="H153" i="4"/>
  <c r="H40" i="4"/>
  <c r="H38" i="4"/>
  <c r="H52" i="4"/>
  <c r="H105" i="4"/>
  <c r="H119" i="4"/>
  <c r="H86" i="4"/>
  <c r="H48" i="4"/>
  <c r="H115" i="4"/>
  <c r="H78" i="4"/>
  <c r="H92" i="4"/>
  <c r="H94" i="4"/>
  <c r="H96" i="4"/>
  <c r="H102" i="4"/>
  <c r="H110" i="4"/>
  <c r="H9" i="4"/>
  <c r="H50" i="4"/>
  <c r="H33" i="4"/>
  <c r="H113" i="4"/>
  <c r="H117" i="4"/>
  <c r="H155" i="4"/>
  <c r="H174" i="4"/>
  <c r="H76" i="4"/>
  <c r="H13" i="4"/>
  <c r="H11" i="4"/>
  <c r="H154" i="4"/>
  <c r="H156" i="4"/>
  <c r="H160" i="4"/>
  <c r="H162" i="4"/>
  <c r="H165" i="4"/>
  <c r="H167" i="4"/>
  <c r="H169" i="4"/>
  <c r="H171" i="4"/>
  <c r="H173" i="4"/>
  <c r="H60" i="4"/>
  <c r="H141" i="4"/>
  <c r="H118" i="4"/>
  <c r="H81" i="4"/>
  <c r="H65" i="4"/>
  <c r="H137" i="4"/>
  <c r="H69" i="4"/>
  <c r="H116" i="4"/>
  <c r="H166" i="4"/>
  <c r="H178" i="4"/>
  <c r="H108" i="4"/>
  <c r="H75" i="4"/>
  <c r="H161" i="4"/>
  <c r="H85" i="4"/>
  <c r="H182" i="4"/>
  <c r="H124" i="4"/>
  <c r="H130" i="4"/>
  <c r="H47" i="4"/>
  <c r="H95" i="4"/>
  <c r="H134" i="4"/>
  <c r="H54" i="4"/>
  <c r="H100" i="4"/>
  <c r="H139" i="4"/>
  <c r="H71" i="4"/>
  <c r="H39" i="4"/>
  <c r="H77" i="4"/>
  <c r="H114" i="4"/>
  <c r="H120" i="4"/>
  <c r="H157" i="4"/>
  <c r="H168" i="4"/>
  <c r="H170" i="4"/>
  <c r="H83" i="4"/>
  <c r="H176" i="4"/>
  <c r="H87" i="4"/>
  <c r="H89" i="4"/>
  <c r="H126" i="4"/>
  <c r="H128" i="4"/>
  <c r="H132" i="4"/>
  <c r="H45" i="4"/>
  <c r="H49" i="4"/>
  <c r="H51" i="4"/>
  <c r="H93" i="4"/>
  <c r="H97" i="4"/>
  <c r="H53" i="4"/>
  <c r="H55" i="4"/>
  <c r="H57" i="4"/>
  <c r="H59" i="4"/>
  <c r="H64" i="4"/>
  <c r="H99" i="4"/>
  <c r="H101" i="4"/>
  <c r="H103" i="4"/>
  <c r="H136" i="4"/>
  <c r="H138" i="4"/>
  <c r="H140" i="4"/>
  <c r="H142" i="4"/>
  <c r="H150" i="4"/>
  <c r="H152" i="4"/>
  <c r="H58" i="4"/>
  <c r="H73" i="4"/>
  <c r="H104" i="4"/>
  <c r="H163" i="4"/>
  <c r="H19" i="4"/>
  <c r="H122" i="4"/>
  <c r="H180" i="4"/>
  <c r="H158" i="4"/>
  <c r="H56" i="4"/>
  <c r="H151" i="4"/>
  <c r="H106" i="4"/>
  <c r="H159" i="4"/>
  <c r="H172" i="4"/>
  <c r="H80" i="4"/>
  <c r="H82" i="4"/>
  <c r="H84" i="4"/>
  <c r="H175" i="4"/>
  <c r="H177" i="4"/>
  <c r="H179" i="4"/>
  <c r="H181" i="4"/>
  <c r="H88" i="4"/>
  <c r="H125" i="4"/>
  <c r="H127" i="4"/>
  <c r="H129" i="4"/>
  <c r="H131" i="4"/>
  <c r="N85" i="6"/>
  <c r="N137" i="6"/>
  <c r="N87" i="6"/>
  <c r="N83" i="6"/>
  <c r="N84" i="6"/>
  <c r="N86" i="6"/>
  <c r="F87" i="6"/>
  <c r="A118" i="1" l="1"/>
  <c r="A119" i="1" s="1"/>
  <c r="A120" i="1" s="1"/>
  <c r="N11" i="5"/>
  <c r="A159" i="1" l="1"/>
  <c r="A160" i="1" s="1"/>
  <c r="A161" i="1" s="1"/>
  <c r="A162" i="1" s="1"/>
  <c r="A163" i="1" s="1"/>
  <c r="A164" i="1" s="1"/>
  <c r="A165" i="1" s="1"/>
  <c r="A166" i="1" s="1"/>
  <c r="A167" i="1" s="1"/>
  <c r="A168" i="1" s="1"/>
  <c r="A169" i="1" s="1"/>
  <c r="A170" i="1" s="1"/>
  <c r="A171" i="1" s="1"/>
  <c r="A172" i="1" s="1"/>
  <c r="A174" i="1" s="1"/>
  <c r="A175" i="1" s="1"/>
  <c r="A176" i="1" s="1"/>
  <c r="A177" i="1" s="1"/>
  <c r="A178" i="1" s="1"/>
  <c r="A179" i="1" s="1"/>
  <c r="A180" i="1" s="1"/>
  <c r="A181" i="1" s="1"/>
  <c r="A182" i="1" s="1"/>
  <c r="A183" i="1" s="1"/>
  <c r="A184" i="1" s="1"/>
  <c r="A185" i="1" s="1"/>
  <c r="A186" i="1" s="1"/>
  <c r="A187" i="1" s="1"/>
  <c r="A188" i="1" s="1"/>
  <c r="A189" i="1" s="1"/>
  <c r="A190" i="1" s="1"/>
  <c r="A191" i="1" s="1"/>
  <c r="N45" i="6"/>
  <c r="N46" i="6"/>
  <c r="N47" i="6"/>
  <c r="N48" i="6"/>
  <c r="N49" i="6"/>
  <c r="N50" i="6"/>
  <c r="N51" i="6"/>
  <c r="N52" i="6"/>
  <c r="N53" i="6"/>
  <c r="N54" i="6"/>
  <c r="N55" i="6"/>
  <c r="N56" i="6"/>
  <c r="N57" i="6"/>
  <c r="N58" i="6"/>
  <c r="N59" i="6"/>
  <c r="N60" i="6"/>
  <c r="N61" i="6"/>
  <c r="N62" i="6"/>
  <c r="N63" i="6"/>
  <c r="N64" i="6"/>
  <c r="N65" i="6"/>
  <c r="N66" i="6"/>
  <c r="N67" i="6"/>
  <c r="N68" i="6"/>
  <c r="N69" i="6"/>
  <c r="N70" i="6"/>
  <c r="N71" i="6"/>
  <c r="F121" i="6"/>
  <c r="F112" i="6"/>
  <c r="H38" i="6"/>
  <c r="I38" i="6"/>
  <c r="F208" i="6"/>
  <c r="F207" i="6"/>
  <c r="F206" i="6"/>
  <c r="F205" i="6"/>
  <c r="F204" i="6"/>
  <c r="F203" i="6"/>
  <c r="F202" i="6"/>
  <c r="F201" i="6"/>
  <c r="F200" i="6"/>
  <c r="F199" i="6"/>
  <c r="F198" i="6"/>
  <c r="F197" i="6"/>
  <c r="F196" i="6"/>
  <c r="F194" i="6"/>
  <c r="F192" i="6"/>
  <c r="F191" i="6"/>
  <c r="F189" i="6"/>
  <c r="F188" i="6"/>
  <c r="F187" i="6"/>
  <c r="F186" i="6"/>
  <c r="F185" i="6"/>
  <c r="F184" i="6"/>
  <c r="F183" i="6"/>
  <c r="F181" i="6"/>
  <c r="F180" i="6"/>
  <c r="F179" i="6"/>
  <c r="F178" i="6"/>
  <c r="F177" i="6"/>
  <c r="F176" i="6"/>
  <c r="F170" i="6"/>
  <c r="F169" i="6"/>
  <c r="F168" i="6"/>
  <c r="F167" i="6"/>
  <c r="F166" i="6"/>
  <c r="F165" i="6"/>
  <c r="F164" i="6"/>
  <c r="F163" i="6"/>
  <c r="F162" i="6"/>
  <c r="F161" i="6"/>
  <c r="F160" i="6"/>
  <c r="F159" i="6"/>
  <c r="F158" i="6"/>
  <c r="F157" i="6"/>
  <c r="F156" i="6"/>
  <c r="F155" i="6"/>
  <c r="F154" i="6"/>
  <c r="F153" i="6"/>
  <c r="F152" i="6"/>
  <c r="F151" i="6"/>
  <c r="F150" i="6"/>
  <c r="F149" i="6"/>
  <c r="F147" i="6"/>
  <c r="F146" i="6"/>
  <c r="F145" i="6"/>
  <c r="F144" i="6"/>
  <c r="F143" i="6"/>
  <c r="F142" i="6"/>
  <c r="F141" i="6"/>
  <c r="F140" i="6"/>
  <c r="F136" i="6"/>
  <c r="F135" i="6"/>
  <c r="F134" i="6"/>
  <c r="F133" i="6"/>
  <c r="F132" i="6"/>
  <c r="F131" i="6"/>
  <c r="F130" i="6"/>
  <c r="F129" i="6"/>
  <c r="F128" i="6"/>
  <c r="F127" i="6"/>
  <c r="F126" i="6"/>
  <c r="F125" i="6"/>
  <c r="F124" i="6"/>
  <c r="F123" i="6"/>
  <c r="F122" i="6"/>
  <c r="F120" i="6"/>
  <c r="F119" i="6"/>
  <c r="F118" i="6"/>
  <c r="F117" i="6"/>
  <c r="F116" i="6"/>
  <c r="F115" i="6"/>
  <c r="F114" i="6"/>
  <c r="F113" i="6"/>
  <c r="F111" i="6"/>
  <c r="F110" i="6"/>
  <c r="F109" i="6"/>
  <c r="F108" i="6"/>
  <c r="F107" i="6"/>
  <c r="F106" i="6"/>
  <c r="F105" i="6"/>
  <c r="F104" i="6"/>
  <c r="F103" i="6"/>
  <c r="F102" i="6"/>
  <c r="F101" i="6"/>
  <c r="F100" i="6"/>
  <c r="F99" i="6"/>
  <c r="F98" i="6"/>
  <c r="F97" i="6"/>
  <c r="F96" i="6"/>
  <c r="F95" i="6"/>
  <c r="F94" i="6"/>
  <c r="F93" i="6"/>
  <c r="F92" i="6"/>
  <c r="F91" i="6"/>
  <c r="F82" i="6"/>
  <c r="F80" i="6"/>
  <c r="F79" i="6"/>
  <c r="F78" i="6"/>
  <c r="F76" i="6"/>
  <c r="F75" i="6"/>
  <c r="F74" i="6"/>
  <c r="F73" i="6"/>
  <c r="F72" i="6"/>
  <c r="F43" i="6"/>
  <c r="F42" i="6"/>
  <c r="F41" i="6"/>
  <c r="F40" i="6"/>
  <c r="F39" i="6"/>
  <c r="F38" i="6"/>
  <c r="F37" i="6"/>
  <c r="F36" i="6"/>
  <c r="F35" i="6"/>
  <c r="F34" i="6"/>
  <c r="F33" i="6"/>
  <c r="F32" i="6"/>
  <c r="F31" i="6"/>
  <c r="F30" i="6"/>
  <c r="F29" i="6"/>
  <c r="F28" i="6"/>
  <c r="F27" i="6"/>
  <c r="F26" i="6"/>
  <c r="F25" i="6"/>
  <c r="F24" i="6"/>
  <c r="F23" i="6"/>
  <c r="F22" i="6"/>
  <c r="F21" i="6"/>
  <c r="F20" i="6"/>
  <c r="F19" i="6"/>
  <c r="F18" i="6"/>
  <c r="F17" i="6"/>
  <c r="F16" i="6"/>
  <c r="F15" i="6"/>
  <c r="F14" i="6"/>
  <c r="F13" i="6"/>
  <c r="F12" i="6"/>
  <c r="F11" i="6"/>
  <c r="F10" i="6"/>
  <c r="F9" i="6"/>
  <c r="F8" i="6"/>
  <c r="F7" i="6"/>
  <c r="F6" i="6"/>
  <c r="F5" i="6"/>
  <c r="F4" i="6"/>
  <c r="N196" i="6" l="1"/>
  <c r="N77" i="6"/>
  <c r="G77" i="6" s="1"/>
  <c r="F77" i="6"/>
  <c r="N198" i="6"/>
  <c r="N193" i="6"/>
  <c r="N108" i="6"/>
  <c r="N182" i="6"/>
  <c r="N195" i="6"/>
  <c r="F193" i="6"/>
  <c r="N22" i="6"/>
  <c r="N79" i="6"/>
  <c r="N177" i="6"/>
  <c r="F182" i="6"/>
  <c r="F195" i="6"/>
  <c r="N96" i="6"/>
  <c r="N120" i="6"/>
  <c r="N132" i="6"/>
  <c r="N147" i="6"/>
  <c r="N207" i="6"/>
  <c r="N10" i="6"/>
  <c r="N34" i="6"/>
  <c r="G34" i="6" s="1"/>
  <c r="N81" i="6"/>
  <c r="F81" i="6"/>
  <c r="N7" i="6"/>
  <c r="N42" i="6"/>
  <c r="N204" i="6"/>
  <c r="N201" i="6"/>
  <c r="N105" i="6"/>
  <c r="N179" i="6"/>
  <c r="N19" i="6"/>
  <c r="N31" i="6"/>
  <c r="N169" i="6"/>
  <c r="N199" i="6"/>
  <c r="N188" i="6"/>
  <c r="G188" i="6" s="1"/>
  <c r="N168" i="6"/>
  <c r="N185" i="6"/>
  <c r="G185" i="6" s="1"/>
  <c r="N208" i="6"/>
  <c r="N176" i="6"/>
  <c r="N93" i="6"/>
  <c r="N181" i="6"/>
  <c r="N163" i="6"/>
  <c r="N205" i="6"/>
  <c r="N202" i="6"/>
  <c r="N186" i="6"/>
  <c r="G186" i="6" s="1"/>
  <c r="N189" i="6"/>
  <c r="N183" i="6"/>
  <c r="N178" i="6"/>
  <c r="N180" i="6"/>
  <c r="N5" i="6"/>
  <c r="N17" i="6"/>
  <c r="N29" i="6"/>
  <c r="N40" i="6"/>
  <c r="N91" i="6"/>
  <c r="N103" i="6"/>
  <c r="N115" i="6"/>
  <c r="N127" i="6"/>
  <c r="N142" i="6"/>
  <c r="N154" i="6"/>
  <c r="N165" i="6"/>
  <c r="N12" i="6"/>
  <c r="N24" i="6"/>
  <c r="N36" i="6"/>
  <c r="N98" i="6"/>
  <c r="N110" i="6"/>
  <c r="N122" i="6"/>
  <c r="N134" i="6"/>
  <c r="N149" i="6"/>
  <c r="N167" i="6"/>
  <c r="N170" i="6"/>
  <c r="N117" i="6"/>
  <c r="N129" i="6"/>
  <c r="N144" i="6"/>
  <c r="N156" i="6"/>
  <c r="N158" i="6"/>
  <c r="N192" i="6"/>
  <c r="N206" i="6"/>
  <c r="N9" i="6"/>
  <c r="N33" i="6"/>
  <c r="N72" i="6"/>
  <c r="N76" i="6"/>
  <c r="N162" i="6"/>
  <c r="N136" i="6"/>
  <c r="N151" i="6"/>
  <c r="N160" i="6"/>
  <c r="N11" i="6"/>
  <c r="N23" i="6"/>
  <c r="N35" i="6"/>
  <c r="N82" i="6"/>
  <c r="N97" i="6"/>
  <c r="N109" i="6"/>
  <c r="N121" i="6"/>
  <c r="N30" i="6"/>
  <c r="N128" i="6"/>
  <c r="G128" i="6" s="1"/>
  <c r="N157" i="6"/>
  <c r="N14" i="6"/>
  <c r="N26" i="6"/>
  <c r="G26" i="6" s="1"/>
  <c r="N38" i="6"/>
  <c r="N100" i="6"/>
  <c r="N112" i="6"/>
  <c r="N124" i="6"/>
  <c r="N21" i="6"/>
  <c r="N74" i="6"/>
  <c r="N95" i="6"/>
  <c r="N107" i="6"/>
  <c r="N119" i="6"/>
  <c r="N131" i="6"/>
  <c r="N146" i="6"/>
  <c r="N203" i="6"/>
  <c r="N4" i="6"/>
  <c r="N16" i="6"/>
  <c r="N28" i="6"/>
  <c r="N78" i="6"/>
  <c r="N80" i="6"/>
  <c r="N102" i="6"/>
  <c r="N114" i="6"/>
  <c r="N126" i="6"/>
  <c r="N141" i="6"/>
  <c r="N153" i="6"/>
  <c r="N200" i="6"/>
  <c r="N133" i="6"/>
  <c r="N148" i="6"/>
  <c r="N164" i="6"/>
  <c r="N197" i="6"/>
  <c r="N6" i="6"/>
  <c r="N18" i="6"/>
  <c r="N41" i="6"/>
  <c r="N92" i="6"/>
  <c r="N104" i="6"/>
  <c r="N116" i="6"/>
  <c r="N143" i="6"/>
  <c r="N155" i="6"/>
  <c r="N194" i="6"/>
  <c r="N13" i="6"/>
  <c r="N25" i="6"/>
  <c r="N37" i="6"/>
  <c r="N99" i="6"/>
  <c r="N111" i="6"/>
  <c r="N123" i="6"/>
  <c r="N135" i="6"/>
  <c r="N150" i="6"/>
  <c r="N166" i="6"/>
  <c r="N191" i="6"/>
  <c r="N8" i="6"/>
  <c r="N20" i="6"/>
  <c r="N32" i="6"/>
  <c r="N43" i="6"/>
  <c r="N94" i="6"/>
  <c r="N106" i="6"/>
  <c r="N118" i="6"/>
  <c r="N130" i="6"/>
  <c r="N145" i="6"/>
  <c r="N159" i="6"/>
  <c r="N161" i="6"/>
  <c r="N187" i="6"/>
  <c r="N15" i="6"/>
  <c r="N27" i="6"/>
  <c r="N39" i="6"/>
  <c r="N73" i="6"/>
  <c r="N75" i="6"/>
  <c r="N101" i="6"/>
  <c r="N113" i="6"/>
  <c r="N125" i="6"/>
  <c r="N140" i="6"/>
  <c r="N152" i="6"/>
  <c r="N184" i="6"/>
  <c r="P11" i="5" l="1"/>
  <c r="O11" i="5"/>
  <c r="P66" i="1" l="1"/>
  <c r="S66" i="1" s="1"/>
  <c r="S64" i="1"/>
  <c r="S63" i="1"/>
  <c r="S62" i="1"/>
  <c r="S60" i="1"/>
  <c r="V76" i="6" s="1"/>
  <c r="V78" i="6" l="1"/>
  <c r="V83" i="6"/>
  <c r="V79" i="6"/>
  <c r="V84" i="6"/>
  <c r="V85" i="6"/>
  <c r="V80" i="6"/>
  <c r="V82" i="6"/>
  <c r="V87" i="6"/>
  <c r="W76" i="6"/>
  <c r="W82" i="6" l="1"/>
  <c r="W87" i="6"/>
  <c r="W78" i="6"/>
  <c r="W83" i="6"/>
  <c r="H4" i="4" l="1"/>
</calcChain>
</file>

<file path=xl/sharedStrings.xml><?xml version="1.0" encoding="utf-8"?>
<sst xmlns="http://schemas.openxmlformats.org/spreadsheetml/2006/main" count="2854" uniqueCount="800">
  <si>
    <t>S.N.</t>
  </si>
  <si>
    <t>Project Code</t>
  </si>
  <si>
    <t>Project Name</t>
  </si>
  <si>
    <t>Project Managers Name</t>
  </si>
  <si>
    <t>Region</t>
  </si>
  <si>
    <t>Marketing Required (Yes/No)</t>
  </si>
  <si>
    <t>Requirement Provided (Yes/No)</t>
  </si>
  <si>
    <t>PO Creation
(Yes/No)</t>
  </si>
  <si>
    <t>Marketing Completion (Yes/No)</t>
  </si>
  <si>
    <t>Required for Closing Projects
(Yes/No/N/A)</t>
  </si>
  <si>
    <t>Start Date</t>
  </si>
  <si>
    <t>Planned %</t>
  </si>
  <si>
    <t>Actual %</t>
  </si>
  <si>
    <t>Var.</t>
  </si>
  <si>
    <t>Client</t>
  </si>
  <si>
    <t>City</t>
  </si>
  <si>
    <t>EOT STATUS
(Submitted/Approved/Under Approval/ N/A)</t>
  </si>
  <si>
    <t>TCC</t>
  </si>
  <si>
    <t>FAC</t>
  </si>
  <si>
    <t>Remarks</t>
  </si>
  <si>
    <t>Contract Date</t>
  </si>
  <si>
    <t>Revised Date</t>
  </si>
  <si>
    <t>Forecast Date</t>
  </si>
  <si>
    <t>CENTRAL REGION UNIT (BASIL ALHAKAMI)</t>
  </si>
  <si>
    <t>PE-215</t>
  </si>
  <si>
    <t>No</t>
  </si>
  <si>
    <t>Approved</t>
  </si>
  <si>
    <t>PE-226</t>
  </si>
  <si>
    <t>PM-223</t>
  </si>
  <si>
    <t>PE-228</t>
  </si>
  <si>
    <t>PE-233</t>
  </si>
  <si>
    <t>PE-245</t>
  </si>
  <si>
    <t>PE-247</t>
  </si>
  <si>
    <t>Under Approval</t>
  </si>
  <si>
    <t>PE-248</t>
  </si>
  <si>
    <t>PE-255</t>
  </si>
  <si>
    <t>Yes</t>
  </si>
  <si>
    <t>PE-256</t>
  </si>
  <si>
    <t>PE-259</t>
  </si>
  <si>
    <t>PE-264</t>
  </si>
  <si>
    <t>PE-271</t>
  </si>
  <si>
    <t>PE-272</t>
  </si>
  <si>
    <t>PE-273</t>
  </si>
  <si>
    <t>PE-274</t>
  </si>
  <si>
    <t>PE-275</t>
  </si>
  <si>
    <t>yes</t>
  </si>
  <si>
    <t>PE-276</t>
  </si>
  <si>
    <t>PE-279</t>
  </si>
  <si>
    <t>PE-299</t>
  </si>
  <si>
    <t>PE-300</t>
  </si>
  <si>
    <t>no</t>
  </si>
  <si>
    <t>PE-306</t>
  </si>
  <si>
    <t>PE-309</t>
  </si>
  <si>
    <t>N/A</t>
  </si>
  <si>
    <t>PE-310</t>
  </si>
  <si>
    <t>PE-326</t>
  </si>
  <si>
    <t>PE-335</t>
  </si>
  <si>
    <t>PE-336</t>
  </si>
  <si>
    <t>PE-337</t>
  </si>
  <si>
    <t>PE-339</t>
  </si>
  <si>
    <t>PE-348</t>
  </si>
  <si>
    <t>PE-353</t>
  </si>
  <si>
    <t>PE-356</t>
  </si>
  <si>
    <t>PE-360</t>
  </si>
  <si>
    <t>PE-362</t>
  </si>
  <si>
    <t>PE-316</t>
  </si>
  <si>
    <t>PE-317</t>
  </si>
  <si>
    <t>PE-363</t>
  </si>
  <si>
    <t>PE-372</t>
  </si>
  <si>
    <t>PE-394</t>
  </si>
  <si>
    <t>PE-395</t>
  </si>
  <si>
    <t>EASTERN REGION UNIT (BASIL ALHAKAMI)</t>
  </si>
  <si>
    <t>Completed Projects</t>
  </si>
  <si>
    <t>PE111</t>
  </si>
  <si>
    <t>CONST. QURAYYAH IPP 380/230KV - Samsung</t>
  </si>
  <si>
    <t>Eastern</t>
  </si>
  <si>
    <t>SEC</t>
  </si>
  <si>
    <t>Dammam</t>
  </si>
  <si>
    <t>PE127</t>
  </si>
  <si>
    <t>KDF Substation</t>
  </si>
  <si>
    <t>PE-128</t>
  </si>
  <si>
    <t>WEST of 2nd DIE 115/13.8 KV S/S</t>
  </si>
  <si>
    <t>PE-129</t>
  </si>
  <si>
    <t>DHAHIYAH 115/13.8 KV S/S</t>
  </si>
  <si>
    <t>PE130</t>
  </si>
  <si>
    <t>As-Shayyit Substation</t>
  </si>
  <si>
    <t>PE-140</t>
  </si>
  <si>
    <t>CONSTRUCTION OF AL-UQAIR 380/115KV BSP AND EXPANSION OF JAWATHA
230/115KV S/S AND ABQAIQ CENTRAL 230KV S/S</t>
  </si>
  <si>
    <t>PE-141</t>
  </si>
  <si>
    <t>Construction of Al-Khafji 380/115/13.8 KV BSP</t>
  </si>
  <si>
    <t>Khafji</t>
  </si>
  <si>
    <t>PE159</t>
  </si>
  <si>
    <t>CONSTRUCTION OF AL-MAZROEYAH 115/13.8KV SUBSTAION IN AL-HASSA</t>
  </si>
  <si>
    <t>Al Hassa</t>
  </si>
  <si>
    <t>PE160</t>
  </si>
  <si>
    <t>CONSTRUCTION OF POWER FACTOR CORRECTION
 (PHASE II) FOR 115/13.8KV S/S IN AL-HASSA</t>
  </si>
  <si>
    <t>PE161</t>
  </si>
  <si>
    <t>AL -MANSURAH 115/13.8kV S/S TO 115/13.8KV GIS S/S IN AL-HASSA</t>
  </si>
  <si>
    <t>PE-166</t>
  </si>
  <si>
    <t xml:space="preserve">Construction of  Dammam North 380/115/33 KV BSP </t>
  </si>
  <si>
    <t>PE167</t>
  </si>
  <si>
    <t>Construction of Nariyah North 380/115/33kV BSP</t>
  </si>
  <si>
    <t>Nariyah</t>
  </si>
  <si>
    <t>PE-168</t>
  </si>
  <si>
    <t>Construction of Dammam Housing-1 115/13.8kV Substation</t>
  </si>
  <si>
    <t>PE-169</t>
  </si>
  <si>
    <t>Construction of Dammam Housing-2 115/13.8kV Substation</t>
  </si>
  <si>
    <t>PE-170</t>
  </si>
  <si>
    <t>Construction of Dammam Housing-3 115/13.8kV Substation</t>
  </si>
  <si>
    <t>PE-171</t>
  </si>
  <si>
    <t>Construction of Dammam Housing-4 115/13.8kV Substation</t>
  </si>
  <si>
    <t>PE-172</t>
  </si>
  <si>
    <t>Construction of Dammam Housing-5 115/13.8kV Substation</t>
  </si>
  <si>
    <t>PE-175</t>
  </si>
  <si>
    <t>115/13.8KV QARYAT AL ULYA</t>
  </si>
  <si>
    <t>Qaryat</t>
  </si>
  <si>
    <t>PE-176</t>
  </si>
  <si>
    <t>115/13.8KV HAFAR BATIN-6</t>
  </si>
  <si>
    <t>Haffr Albatan</t>
  </si>
  <si>
    <t>PE-177</t>
  </si>
  <si>
    <t>ADDITION OF MV SWITCH GEAR IN JUBAIL</t>
  </si>
  <si>
    <t>Jubail</t>
  </si>
  <si>
    <t>PE-181</t>
  </si>
  <si>
    <t>Ras Al Khair</t>
  </si>
  <si>
    <t>PE-199</t>
  </si>
  <si>
    <t xml:space="preserve">Construction of SPARK  380/115 KV BSP </t>
  </si>
  <si>
    <t>Abqaiq</t>
  </si>
  <si>
    <t>PE209</t>
  </si>
  <si>
    <t>Reinforcement of Fadhili Gas Plant (FGP) and Qaisumah 380kV BSP Interconnection</t>
  </si>
  <si>
    <t>Fadhili</t>
  </si>
  <si>
    <t>PE-213</t>
  </si>
  <si>
    <t>Construction of Hawiyah Unayzah Gas Reservoir Storage (HUGRS) 380/230 kV BSP and Expansion of Al-Uqair 380kV BSP</t>
  </si>
  <si>
    <t>Huwyha</t>
  </si>
  <si>
    <t>PE220</t>
  </si>
  <si>
    <t>INSTALLATION OF REACTOR IN QAISUMAH 380/115KV BSP</t>
  </si>
  <si>
    <t>Qaisumha</t>
  </si>
  <si>
    <t>PE-229</t>
  </si>
  <si>
    <t>Construction of Temporary Rail Line (CO project of PE-181)</t>
  </si>
  <si>
    <t>PE-240</t>
  </si>
  <si>
    <t>SWCC | OHTL Portion</t>
  </si>
  <si>
    <t>SWCC</t>
  </si>
  <si>
    <t>PE-214</t>
  </si>
  <si>
    <t>PE-227</t>
  </si>
  <si>
    <t>PE-238</t>
  </si>
  <si>
    <t>PE-239</t>
  </si>
  <si>
    <t>PE-277</t>
  </si>
  <si>
    <t>PE-288</t>
  </si>
  <si>
    <t>PE-302</t>
  </si>
  <si>
    <t>PE-334</t>
  </si>
  <si>
    <t>PE-344</t>
  </si>
  <si>
    <t>PE-355</t>
  </si>
  <si>
    <t>PE-304</t>
  </si>
  <si>
    <t>PE-366</t>
  </si>
  <si>
    <t>PE-354</t>
  </si>
  <si>
    <t>-</t>
  </si>
  <si>
    <t xml:space="preserve">WESTERN REGION UNIT (MOHAMMED ALBAZIE) </t>
  </si>
  <si>
    <t>PE-243</t>
  </si>
  <si>
    <t>PE-241</t>
  </si>
  <si>
    <t>PE-257</t>
  </si>
  <si>
    <t>PE-258</t>
  </si>
  <si>
    <t>PE-270</t>
  </si>
  <si>
    <t>PE-290</t>
  </si>
  <si>
    <t>PE-254</t>
  </si>
  <si>
    <t>PE-260</t>
  </si>
  <si>
    <t>PE-262</t>
  </si>
  <si>
    <t>PE-296</t>
  </si>
  <si>
    <t>PE-281</t>
  </si>
  <si>
    <t>PE-185</t>
  </si>
  <si>
    <t>PE-246</t>
  </si>
  <si>
    <t>PE-263</t>
  </si>
  <si>
    <t>PE-265</t>
  </si>
  <si>
    <t>PE-266</t>
  </si>
  <si>
    <t>PE-267</t>
  </si>
  <si>
    <t>PE-280</t>
  </si>
  <si>
    <t>PE-286</t>
  </si>
  <si>
    <t>PE-287</t>
  </si>
  <si>
    <t>PE-291</t>
  </si>
  <si>
    <t>PE-292</t>
  </si>
  <si>
    <t>PE-294</t>
  </si>
  <si>
    <t>PE-295</t>
  </si>
  <si>
    <t>PE-301</t>
  </si>
  <si>
    <t>PE-305</t>
  </si>
  <si>
    <t>PE-307</t>
  </si>
  <si>
    <t>PE-308</t>
  </si>
  <si>
    <t>PE-312</t>
  </si>
  <si>
    <t>PE-314</t>
  </si>
  <si>
    <t>PE-315</t>
  </si>
  <si>
    <t>PE-319</t>
  </si>
  <si>
    <t xml:space="preserve">yes </t>
  </si>
  <si>
    <t>PE-324</t>
  </si>
  <si>
    <t>PE-329</t>
  </si>
  <si>
    <t>PE-331</t>
  </si>
  <si>
    <t>PE-332</t>
  </si>
  <si>
    <t>PE-338</t>
  </si>
  <si>
    <t>PE-345</t>
  </si>
  <si>
    <t>PE-347</t>
  </si>
  <si>
    <t>PE-328</t>
  </si>
  <si>
    <t>PE-368</t>
  </si>
  <si>
    <t>PE-369</t>
  </si>
  <si>
    <t>PE-346</t>
  </si>
  <si>
    <t>PE-359</t>
  </si>
  <si>
    <t>PE-365</t>
  </si>
  <si>
    <t>PE-370</t>
  </si>
  <si>
    <t>PE-380</t>
  </si>
  <si>
    <t>PE-388</t>
  </si>
  <si>
    <t>SOUTHERN REGION UNIT (MOHAMMED ALBAZIE)</t>
  </si>
  <si>
    <t>PE-282</t>
  </si>
  <si>
    <t>PE-283</t>
  </si>
  <si>
    <t>Ready for Energization by End of May, awaiting OHTL work to be done by SEC</t>
  </si>
  <si>
    <t>PE-284</t>
  </si>
  <si>
    <t>PE-298</t>
  </si>
  <si>
    <t>PE-297</t>
  </si>
  <si>
    <t>PE-311</t>
  </si>
  <si>
    <t>PE-313</t>
  </si>
  <si>
    <t>PE-320</t>
  </si>
  <si>
    <t>ON HOLD</t>
  </si>
  <si>
    <t>PE-325</t>
  </si>
  <si>
    <t>PE-327</t>
  </si>
  <si>
    <t>PE-343</t>
  </si>
  <si>
    <t>PE-333</t>
  </si>
  <si>
    <t>PE-341</t>
  </si>
  <si>
    <t>PE-340</t>
  </si>
  <si>
    <t>PE-342</t>
  </si>
  <si>
    <t>PE-330</t>
  </si>
  <si>
    <t>PE-278</t>
  </si>
  <si>
    <t>PE-222</t>
  </si>
  <si>
    <t>PE-230</t>
  </si>
  <si>
    <t>PE-237</t>
  </si>
  <si>
    <t>PE-234</t>
  </si>
  <si>
    <t>PE-236</t>
  </si>
  <si>
    <t>PE-318</t>
  </si>
  <si>
    <t>PE-321</t>
  </si>
  <si>
    <t>PE-322</t>
  </si>
  <si>
    <t>PE-323</t>
  </si>
  <si>
    <t>PE-358</t>
  </si>
  <si>
    <t>PE-364</t>
  </si>
  <si>
    <t>PE-374</t>
  </si>
  <si>
    <t>PE-375</t>
  </si>
  <si>
    <t>PE-376</t>
  </si>
  <si>
    <t>PE-382</t>
  </si>
  <si>
    <t>PE-383</t>
  </si>
  <si>
    <t>PE-390</t>
  </si>
  <si>
    <t>PE-400</t>
  </si>
  <si>
    <t>INFRA UNIT (ALAA SAAD)</t>
  </si>
  <si>
    <t>PE-244</t>
  </si>
  <si>
    <t>PE-249</t>
  </si>
  <si>
    <t>PE-250</t>
  </si>
  <si>
    <t>PE-251</t>
  </si>
  <si>
    <t>PE-252</t>
  </si>
  <si>
    <t>PE-253</t>
  </si>
  <si>
    <t>PE-268</t>
  </si>
  <si>
    <t>PE-269</t>
  </si>
  <si>
    <t>PE-289</t>
  </si>
  <si>
    <t>PE-349</t>
  </si>
  <si>
    <t>PE-350</t>
  </si>
  <si>
    <t>PE-293</t>
  </si>
  <si>
    <t>PE-303</t>
  </si>
  <si>
    <t>PE-352</t>
  </si>
  <si>
    <t>MEP UNIT (MAZEN MOSTAFA)</t>
  </si>
  <si>
    <t>EL-059</t>
  </si>
  <si>
    <t>EL-060</t>
  </si>
  <si>
    <t>EL-062</t>
  </si>
  <si>
    <t>EL-063</t>
  </si>
  <si>
    <t>EL-064</t>
  </si>
  <si>
    <t>EL-065</t>
  </si>
  <si>
    <t>EL-066</t>
  </si>
  <si>
    <t>EL-067</t>
  </si>
  <si>
    <t>EL-068</t>
  </si>
  <si>
    <t>EL-069</t>
  </si>
  <si>
    <t>EL-070</t>
  </si>
  <si>
    <t>EL-071</t>
  </si>
  <si>
    <t>EL-072</t>
  </si>
  <si>
    <t>EL-073</t>
  </si>
  <si>
    <t>EL-074</t>
  </si>
  <si>
    <t>EL-075</t>
  </si>
  <si>
    <t>EL-076</t>
  </si>
  <si>
    <t>EL-077</t>
  </si>
  <si>
    <t xml:space="preserve"> </t>
  </si>
  <si>
    <t>Latest EOT approved Date</t>
  </si>
  <si>
    <t>PAC</t>
  </si>
  <si>
    <t>FAC / Overall Project</t>
  </si>
  <si>
    <t>CENTRAL REGION UNIT</t>
  </si>
  <si>
    <t>SMP - O&amp;M 3 Yrs</t>
  </si>
  <si>
    <t>Central</t>
  </si>
  <si>
    <t>Riyadh</t>
  </si>
  <si>
    <t>All certification Received</t>
  </si>
  <si>
    <t>KHASM-AL-AAN BSP</t>
  </si>
  <si>
    <t>Partial TCC Received | Project on Hold</t>
  </si>
  <si>
    <t>GASCO - 2</t>
  </si>
  <si>
    <t>GASCO</t>
  </si>
  <si>
    <t>Initial Handing over received</t>
  </si>
  <si>
    <t>SVC QASSIM -2</t>
  </si>
  <si>
    <t>TCC Received.</t>
  </si>
  <si>
    <t>Tabarjal 380KV BSP Expn.</t>
  </si>
  <si>
    <t>Partial TCC received on 16-Jan-24</t>
  </si>
  <si>
    <t>Hail OHTL</t>
  </si>
  <si>
    <t>One line Energizaed. Another line by 20-Jun-26. Change Order approval is critical</t>
  </si>
  <si>
    <t>RIYADH SEDRA-2</t>
  </si>
  <si>
    <t>Roshn</t>
  </si>
  <si>
    <t>Partial TCC received &amp; 90% invoice approved</t>
  </si>
  <si>
    <t xml:space="preserve"> PP10 Conv.</t>
  </si>
  <si>
    <t xml:space="preserve">SEC </t>
  </si>
  <si>
    <t>TCC milestone achieved. Certification not receied. Punchlist Clearance is critical</t>
  </si>
  <si>
    <t>380kv D/C OHTL LILO SAAD OHTL</t>
  </si>
  <si>
    <t xml:space="preserve">1. Amendment for New circuit Arrangement at Tapping Point .
2. Outage requirements 
3. Hardware fittings material for re-route portion  </t>
  </si>
  <si>
    <t>Sudair PV 380KV BSP</t>
  </si>
  <si>
    <t xml:space="preserve">SS portion energized. Delay in Receiving Permit UGC works and inside PP9 works (MTO,LOA&amp; ARAMCO Permits) </t>
  </si>
  <si>
    <t>WAAD AL SHAMAAL 380KV BSP</t>
  </si>
  <si>
    <t>Paritally Energized on  09-Feb-26 | Delay in receiving outage to enrgize CKT 2 Wind to Waad Alshamaal &amp; Wind to TABARJAL energization (expected by Oct 26)</t>
  </si>
  <si>
    <t>TABARJAL-B 13213.8 KV S/S IN JOUF</t>
  </si>
  <si>
    <t>1.Total of four circuits are planned; two are scheduled for energization by June 2026.
2.SE confirmation is still pending for the remaining two circuits.</t>
  </si>
  <si>
    <t>AL-DAR AL-BAIDHA 132/13.8KV SUB</t>
  </si>
  <si>
    <t>Energized on 17-Mar-26 | Other Circuit depends on Outage | Expected - 31-Oct-26</t>
  </si>
  <si>
    <t>AL-MUNSIYAH 132/13.8KV SUB # 8273</t>
  </si>
  <si>
    <t>One Circuit Energized. Other Circuit depends on Outage | Expected - 31-Oct-26</t>
  </si>
  <si>
    <t>ALMANFOHA 132/13.8KV SUB # 8138</t>
  </si>
  <si>
    <t>One Circuit Energized on 21-Dec-25</t>
  </si>
  <si>
    <t>NASIRIYAH 132/13.8KV SUB # 8154</t>
  </si>
  <si>
    <t>One Energized on  11-Feb-26. TCC received with dated 31-Dec-2025</t>
  </si>
  <si>
    <t>380kV Diriyah Gate-2 BSP # 9080</t>
  </si>
  <si>
    <t>Progress based on Internal Baseline.
1-Delay in approval of water proofing VO &amp; removal of loose material, which affects the construction works.
2- Negative Cash flow.
3-Claim Approval 201 Mn for prolongation &amp; inflation costs.
4- Delivery for disconnector switch expected to be delayed.</t>
  </si>
  <si>
    <t>SHARAFIYAH 380 KV SS</t>
  </si>
  <si>
    <t>Partially Energized.
1.Taihan - Oil Joints
2.Design Approval - 6 Remote end ( 132 kV)
3.Gantry Foundation for Existing Substation 
4.Unclear Shutdown schedule for Power and Communication link with all remote ends
5. Delay in Micro Trenching of FOC 25km</t>
  </si>
  <si>
    <t>AL-NAZEEM 132/13.8KV SS # 8271</t>
  </si>
  <si>
    <t>Commissioing on Hold due to non-readiness of UG Contractor</t>
  </si>
  <si>
    <t>Reinf of 132KV Network of Baqaa</t>
  </si>
  <si>
    <t>1.OHTL S/C &amp; D/C crossing - Delay in HOT permits 
2.Cutting point outage at TEE OFF location.
3.ERS System &amp; TEE- OFF Tower Installation 
4.Design Approval of Flood Protection</t>
  </si>
  <si>
    <t xml:space="preserve">300 MVAR STATCOM </t>
  </si>
  <si>
    <t xml:space="preserve">1.Delay in delivery of AES scope material. (delay in these materials  ,impact the project completion )
2.Delay in 380 kv insulator (Lapp)
3.New fire pump-Delivery (change order),
4.Delay in delivery of MV grounding transformer </t>
  </si>
  <si>
    <t>NEW AL-ARED 380/132KV BSP</t>
  </si>
  <si>
    <t>1.Slow Punch list - Transformers ,GIS, AES
2.Delay in SEC UG Cable Vendor - New Line( Circuits 3 )</t>
  </si>
  <si>
    <t>Reliablity Enh.for SS of 9011 in Sudair</t>
  </si>
  <si>
    <t>Current issues
1.Delay in Plan &amp; Profile - OHTL
2.Delay in Plan &amp; Profile - UG Cable ( T- off Tower Location)
3.Delay in SE supply GIS Bays
4.Delay in Material :-  Tower, Hardware, Insulator
5. Delay in providing existing Design : Remote End, U/G 8500 to 8521, Basement &amp; Sleeves Details, Telecom Room, Control Room Layouts
6.Delay in Mobilization of Project Team OHTL Site Engr &amp; Project Engr, QA &amp; QC Civil &amp; Electrical
7. Unclear Shutdown for Project</t>
  </si>
  <si>
    <t>Al Shifa Housing 132/13.8KV SS</t>
  </si>
  <si>
    <t>1.Incomplete HV underground cable works under another contractor’s scope are impacting the substation energization activities.
2.STATCOM PQS approval remains pending with SEC/vendor, affecting material delivery and subsequent installation.
3.Delay in remote end (8131) works due to pending C1 work permit</t>
  </si>
  <si>
    <t>Shaqra Wind 380/132kV SS</t>
  </si>
  <si>
    <t>1-Delay in the delivery of 132kV and 380kV GIB and Hybrid GIS (SEC Direct purchase) beyond the scheduled dates, where the original plan was December 2025; however, only the 132kV GIB was delivered in end of May 2026, while the 380kV GIB and Hybrid GIS are still pending.
2-Delay in the supply of AC and DC panels from AES up to date.
3- Delay in obtaining ITP approvals for DSM and TFR systems AES prequalification to perform the FAT in AES factory.
4-Change order confirmation for the additional scope , which holding following activities (Civil work for Search facilities - Guard house - security building and along with all septic tank and water connections , HCIS stage 3 finalization and approval , Procurement of all  electrical , mechanical , security material related to this pending .
5-Delay in the approval of firefighting system designs due to changing multiple changes in the review process from SEC and adding new comments with each revision.
6- After approval of lightening panels design (MS Hawaa ) SEC insist to change the manufactural to new alternate as (MS hawaa )is currently suspended in the system 
7- Confirmation of EOT which submitted 9-Apr-26.</t>
  </si>
  <si>
    <t>Battery Energy (BESS) - Qaisumah</t>
  </si>
  <si>
    <t>Energized.</t>
  </si>
  <si>
    <t xml:space="preserve">Battery Energy (BESS) - Dawadmi </t>
  </si>
  <si>
    <t>Battery Energy (BESS) - Airport</t>
  </si>
  <si>
    <t>Battery Energy (BESS) - Jouf</t>
  </si>
  <si>
    <t>Jouf</t>
  </si>
  <si>
    <t>Construction of Hail-2 Substation for BESS</t>
  </si>
  <si>
    <t>Hail</t>
  </si>
  <si>
    <t>1-Delay in approving critical designs such as FF designs, &amp; Remote end AMI , with some submittals open for more than 3 months
2- Delay in design inputs has delayed grid studies submission &amp; approval cycles
3- Delay in Alfanar equipment delivery:
   - Auxiliary transformer
   - AC &amp; DC Panels
   - TFR &amp; DSM
   - Remote End AMI &amp; Metering
4- Delay in BESS Supplier fire fighting protion delivery (BESS gas pipes)
5- Delay in Firefighting pumps delivery
6- Delay in surge arrestors, and post insulators delivery
7- Delay in 33Kv SWGR termination kits delivery
8- Delay in HGIS Delivery: 1 out of 2 Bays delivered
9- Delay in UPS delivery</t>
  </si>
  <si>
    <t xml:space="preserve">Conv of Riyadh CC PP10 - Phase 2				</t>
  </si>
  <si>
    <t>1.Base Design Approval : Disagreement with SE on interpretation of the Contract.
2.Engineering Review Cycle Delays : Agreed timelines for review are not being adhered.
3.Delivery durations for critical  (LLIs) exceed the Contractual timeline, creating a significant risk to meeting the contractual milestones.
4.Accelerated Dec 2026 completion requested by SE for GT 1st Fire.
5.Site Access Gate Permits &amp; Work Permit issues.</t>
  </si>
  <si>
    <t>380KV OHTL | MAWQAQ BSP CONNECTION</t>
  </si>
  <si>
    <t xml:space="preserve">1) Revised Route with additional  change order.Revised Route under approval
2) Finalization of the route is pending for the portion that falls under KSRR.
3) Cost and time impact resulting from the increased transmission line route length and associated scope changes.
4) Delay in approval of plan and profile </t>
  </si>
  <si>
    <t>SMP|OPERATION &amp; PROF. SERVICES (HES&amp;HHU)</t>
  </si>
  <si>
    <t>Extension of 1 quarter received</t>
  </si>
  <si>
    <t>132KV SS |CONST. SPORTS BOULEVARD-RIYADH</t>
  </si>
  <si>
    <t>Delay in Site Handing Over. Not handed over yet</t>
  </si>
  <si>
    <t>HVDC-1 | COA-WOA | RUH-9022</t>
  </si>
  <si>
    <t>HVDC-2 | COA-SOA | RUH-9041</t>
  </si>
  <si>
    <t>SULYBIAH SS 8823 132/33KV</t>
  </si>
  <si>
    <t>Qassim</t>
  </si>
  <si>
    <t>1. Delay in Receiving Design for GIS Package Supplied by SEC Vendor
2. Delay in soil investigation activities due to one corner of the substation located on farmland
3. Terminal compound 1 location changed
4. Repetition of soil investigation activities due to the client's rejection of the proposed vendor</t>
  </si>
  <si>
    <t>AL-DWADMI SS 8618 132/33KV</t>
  </si>
  <si>
    <t xml:space="preserve">1.	Delay in approval of GEL
2.	Delay of Receiving Design for GIS Package Supplied by SEC (GIS Delivery delayed )
3.	Delay in municipality approval
4.	Delay in Issuance Of P.O Transformer </t>
  </si>
  <si>
    <t>NEW AL-GHADIR SS#8237 132/33K</t>
  </si>
  <si>
    <t>New Al- Wadi 132/13.8Kv  substation #8224 and its Connection in Riyadh City</t>
  </si>
  <si>
    <t>SEC-COA</t>
  </si>
  <si>
    <t>1- Civil construction and related engineering/design activities suspended due to site cavities discovered after Soil investigation report.
2- Under Ground cables radar scanning &amp; cable route layout submission.</t>
  </si>
  <si>
    <t>PE-389</t>
  </si>
  <si>
    <t>CONSTRUCTION OF AL-MAJMAA HOUSING 132/13.8KV SUBSTATION# 8534</t>
  </si>
  <si>
    <t>SE</t>
  </si>
  <si>
    <t xml:space="preserve">1-Soil investigation not started due to the final approval of Borehole location submittal
2- GIS design not finilzed yet with the designer </t>
  </si>
  <si>
    <t>PE-381</t>
  </si>
  <si>
    <t>CONSTRUCTION OF 132/13.8KV ALARIDH-3 SUBSTATION # 8363 IN RIYADH CITY</t>
  </si>
  <si>
    <t>PE-373</t>
  </si>
  <si>
    <t>Replacement of the existing 132/33/13.8kV Al-Githamiyah S/S # 8903 by Constructing of new 132/33/13.8kV Al-Githamiyah S/S # 8933-Hail Area</t>
  </si>
  <si>
    <t>1-MISSING C1 &amp; C2 CERTIFIED EMPLOYEE, WHICH AFFECTS SOIL INVESTIGATION WORKS.
2-DELAY IN REMOVAL OBSTACLES(LIVE TRANSFORMER &amp; UNDER GROUND CABLES PASSING BY THE MAIN BUILDING) BY SE.</t>
  </si>
  <si>
    <t>PE-393</t>
  </si>
  <si>
    <t>CONSTRUCTION OF NEW 132/13.8KV SUBSTATION # 8721 IN NORTH OF AL KHARJ</t>
  </si>
  <si>
    <t>PE-361</t>
  </si>
  <si>
    <t>Construction of New Al Sahafa 132/13.8KV S/S # 8316 and its connection in Riyadh city</t>
  </si>
  <si>
    <t>1- Baseline not approve yet ,try to fix comment and send it       2-Soil investigation not started due to the final approval of Borehole location submittal</t>
  </si>
  <si>
    <t>EASTERN REGION UNIT</t>
  </si>
  <si>
    <t>Performed %</t>
  </si>
  <si>
    <t>EPC OF PRIMARY ELECTRICAL SUSBSTATION #3</t>
  </si>
  <si>
    <t>RC</t>
  </si>
  <si>
    <t>NA</t>
  </si>
  <si>
    <t xml:space="preserve">All Certificates Recieved </t>
  </si>
  <si>
    <t>SPARK 380/115/13.8KV BSP</t>
  </si>
  <si>
    <t>Construction Of Hawayah 380 KV S/S</t>
  </si>
  <si>
    <t>HUW : 30-Jul-22
UQA : 30-Apr-23</t>
  </si>
  <si>
    <r>
      <rPr>
        <sz val="14"/>
        <rFont val="Arial"/>
        <family val="2"/>
      </rPr>
      <t>HUW :</t>
    </r>
    <r>
      <rPr>
        <sz val="14"/>
        <color theme="9"/>
        <rFont val="Arial"/>
        <family val="2"/>
      </rPr>
      <t xml:space="preserve"> 30-Sep-22
</t>
    </r>
    <r>
      <rPr>
        <sz val="14"/>
        <rFont val="Arial"/>
        <family val="2"/>
      </rPr>
      <t xml:space="preserve">UQA </t>
    </r>
    <r>
      <rPr>
        <sz val="14"/>
        <color theme="9"/>
        <rFont val="Arial"/>
        <family val="2"/>
      </rPr>
      <t>:</t>
    </r>
    <r>
      <rPr>
        <sz val="14"/>
        <rFont val="Arial"/>
        <family val="2"/>
      </rPr>
      <t>30-Aug-26</t>
    </r>
  </si>
  <si>
    <t>HUW : 30-Sep-22
UQA : 30-Jun-23</t>
  </si>
  <si>
    <r>
      <t xml:space="preserve">HUW : </t>
    </r>
    <r>
      <rPr>
        <sz val="14"/>
        <color theme="9"/>
        <rFont val="Arial"/>
        <family val="2"/>
      </rPr>
      <t>30-Sep-22</t>
    </r>
    <r>
      <rPr>
        <sz val="14"/>
        <rFont val="Arial"/>
        <family val="2"/>
      </rPr>
      <t xml:space="preserve">
UQA :30-Sep-26</t>
    </r>
  </si>
  <si>
    <t>HUW :31-Dec-22
UQA : 30-Sep-23</t>
  </si>
  <si>
    <r>
      <t>HUW :</t>
    </r>
    <r>
      <rPr>
        <sz val="14"/>
        <color theme="9"/>
        <rFont val="Arial"/>
        <family val="2"/>
      </rPr>
      <t>27-May-25</t>
    </r>
    <r>
      <rPr>
        <sz val="14"/>
        <rFont val="Arial"/>
        <family val="2"/>
      </rPr>
      <t xml:space="preserve">
UQA :30-Nov-26</t>
    </r>
  </si>
  <si>
    <t>P1: All Certificates Recieved 
P2: No Certificates Recieved</t>
  </si>
  <si>
    <t>JSWCC|OHTL Package</t>
  </si>
  <si>
    <t>PAC Partially Recieved 
Waiting for final approval of Time Extension on Etimad For FAC
Pending on PE-238</t>
  </si>
  <si>
    <t>UTHMANIYAH</t>
  </si>
  <si>
    <t>Aramco</t>
  </si>
  <si>
    <t xml:space="preserve">All Certificates Recieved 
FAC not Not applicable/MCC </t>
  </si>
  <si>
    <t>Ibn zahr Expn.</t>
  </si>
  <si>
    <t>SWCC | BSP Portion</t>
  </si>
  <si>
    <t>PAC Partially Recieved 
Waiting for final approval of Time Extension on Etimad For FAC</t>
  </si>
  <si>
    <t>SWCC | Solar Package</t>
  </si>
  <si>
    <t>Thuqbah BSP 380/115KV</t>
  </si>
  <si>
    <t>Thuqbah</t>
  </si>
  <si>
    <t>Repl. of Berry Gas Plant 230/115KV SS</t>
  </si>
  <si>
    <t>Not Yet</t>
  </si>
  <si>
    <t>OHTL Portion after 11 months from SS which is shown here</t>
  </si>
  <si>
    <t>AL RAMES 380/115 KV BSP</t>
  </si>
  <si>
    <t>Expected TCC will be on 13 Dec 26 due to delay of FOC readiness (31 Aug 2026) / Disconnector Switch</t>
  </si>
  <si>
    <t>Ghazlan-3 BSP</t>
  </si>
  <si>
    <t>Ghazlan</t>
  </si>
  <si>
    <t>Planned % is based on orginal baseline however we have a submitted revised schedule showing 80% used for internal reporting</t>
  </si>
  <si>
    <t>Nariyah BSP</t>
  </si>
  <si>
    <t>Delayed due to the delivery of GIS equipment Delayed 2times 
1st delay till 25-June-26
2nd Delay till 25-Aug-26</t>
  </si>
  <si>
    <t>Construction of King Saud Air Base Facilities</t>
  </si>
  <si>
    <t>RSAF</t>
  </si>
  <si>
    <t>Only Scope Alfanar / There is no FAC only based on the 40 Months Completion</t>
  </si>
  <si>
    <t>230/115kV SS | JUBAIL SW REPLACEMENT</t>
  </si>
  <si>
    <t>Delayed due to site accessibility issues and Water leakage incident</t>
  </si>
  <si>
    <t xml:space="preserve">Qulayyib 380 kV BSP </t>
  </si>
  <si>
    <t xml:space="preserve">MGC-Mutlaq Al Gowairi Company </t>
  </si>
  <si>
    <t>Qulayyib Area</t>
  </si>
  <si>
    <t>Construction of NEW VSC HVDC Overhead Transmission Line for EOA-COA Link 1</t>
  </si>
  <si>
    <t>WESTERN REGION UNIT</t>
  </si>
  <si>
    <t>Installation of Dynamic Reactive Power Compensation(DRPC) at Tabuk 380KV BSP</t>
  </si>
  <si>
    <t>Western</t>
  </si>
  <si>
    <t>Tabuk</t>
  </si>
  <si>
    <t>Energization done without TSC Panel, TCC received. Partial PAC (21-Jan-2026) also received; 
Balance PAC &amp; FAC upon delivery of remaining TSC Panel;
Alfanar requested for FAC invoice and under discussion with SEC.</t>
  </si>
  <si>
    <t xml:space="preserve">Expansion of Existing Yanbu Central (YCNT) </t>
  </si>
  <si>
    <t>Yanbu,Umluj&amp; Alwajh</t>
  </si>
  <si>
    <t>PAC received, not yet energized due to SE shutdown issues for all the area</t>
  </si>
  <si>
    <t>Expansions of Existing MHD 380 KV BSP</t>
  </si>
  <si>
    <t>Madinah</t>
  </si>
  <si>
    <t>As-built drawings under SEC review &amp; approval. FAC certification waiting from SE; Request for issuance of FAC / Commitment for Completion of Outstanding Work was submitted on 20-Jul-26.</t>
  </si>
  <si>
    <t>Taif East Governorate Project</t>
  </si>
  <si>
    <t>Taif</t>
  </si>
  <si>
    <t>1. EOT-1 Approved upto 14-Dec-24, EOT-2 submitted on 12th Aug 25, TCC upto 17th Jun 26. (Under SEC Approval). EOT to be resubmitted. 
2. SAS testing pending due to EWS V.O finalization and delivery (V.O)
3. OHTL Line readiness pending from SE, no clarity on readiness</t>
  </si>
  <si>
    <t>110/13.8KV  HARAZAT SUB JEDDAH</t>
  </si>
  <si>
    <t>Jeddah</t>
  </si>
  <si>
    <t>Remote End Works:
1.  Installation of Telecom Panels completed, testing will be done, once line readiness from client.
 (Dependent on Line Readiness from Client)
2. Final Settings of Line Protection Panels. (Dependent on Line Readiness from Client)
Punchlist &amp; As built works are in progress, completion date 30-Sep-26.
 Punchlist:Total 309 nos, 295 Completed, 5 nos ready to close.
Asbuilt: 90% completed.</t>
  </si>
  <si>
    <t>Fadelah 110/13.8KV SS - JEDDAH</t>
  </si>
  <si>
    <t>1) Energization done with temporary line, (Permanent line readiness Dependent on Client).
2) AMI integration with WRCC. (Dependent on Line Readiness from Client).
3) Modon GIS extension bays (Shutdown -Relay setting ) 85% completed.
Punchlist &amp; As built works are in progress, completion date 30-Sep-26.
Punch points : Out of 10, 2 completed, 3 ready to close.
As built status: out of 12, 12 ready to close.</t>
  </si>
  <si>
    <t>HENAKIYAH BSP 380 KV</t>
  </si>
  <si>
    <t>FAC received</t>
  </si>
  <si>
    <t>Sanabel con.at Jeddah</t>
  </si>
  <si>
    <t xml:space="preserve">SAS Configuration and testing pending, due to AES team mobilization pending </t>
  </si>
  <si>
    <t>Reinf. of Thuwal Town  KAUST 2</t>
  </si>
  <si>
    <t>SAS Configuration and testing pending</t>
  </si>
  <si>
    <t>Waly Alahad-4 110/13.8KV SS</t>
  </si>
  <si>
    <t>Makkah</t>
  </si>
  <si>
    <t>1) Line readiness pending from SEC</t>
  </si>
  <si>
    <t>110KV SS - KAEC-3</t>
  </si>
  <si>
    <t>TCC, PAC Received. FAC Letter Submitted to Client</t>
  </si>
  <si>
    <t>110KV SS - KAEC-2</t>
  </si>
  <si>
    <t>NG Taif</t>
  </si>
  <si>
    <t>NG</t>
  </si>
  <si>
    <t>EOT: Contract amendment approved,PCC on 14th Jul 25, EOT-2 submitted on 4th Nov 25, with 8 months (PCC: 14th Mar 26), Under SEC approval
1) All cable ceiling end joints works replacing works in progress, expected compeltion by 30th May 26.
2) Remote end-1 final setting done, Remote end 2 final setting completion by 10th May.
3) HV Test and end to end test pending expected completion by 15th Jun and 30th Jun</t>
  </si>
  <si>
    <t>CONST KAR 380 110KV BSP</t>
  </si>
  <si>
    <t>Masar</t>
  </si>
  <si>
    <t xml:space="preserve">1.Close loop test completed
2. HVAC Testing:  Completed
3. FF &amp; FA Testing: All testing is completed and Remaining Final testing with ISD is in progress. 
4. C04 modification work will be started after Energization of C06 Feeder as per SEC instruction. This will required 2 months to complete the task.
5. TCC received
6. New Change Order (confrimed) i.e. Duct Bank for future Area.-Completed
7.End to end test in progress, Expected engization by Aug'26 end. </t>
  </si>
  <si>
    <t>HAMRA AL ASAD 110/13.8 KV SUB</t>
  </si>
  <si>
    <t>1) TCC received on 21-May-26. PAC received on 30-Jul-26. (Energization done through the AZIZIA remote-end and TCC was obtained. Remaining interface works at the MICY remote end are ongoing and are expected to be completed by end of Aug 2026.)
2) Target is to energize both remaining feeders with remote end by 1st week of Sep. 2026</t>
  </si>
  <si>
    <t>Shoran-2 110/13.8 KV - Madinah</t>
  </si>
  <si>
    <t xml:space="preserve">1) TCC is requested , still not issued. Readiness of UGC circuits have delayed energization of the substation and TCC issuance. 
2) Expected energization by end of Aug. 2026 if the UGC Feeders passed ongoing Tests by Cable contractor. </t>
  </si>
  <si>
    <t>110KV Salam Royal Palace</t>
  </si>
  <si>
    <t>1) EOT-1 Submitted on 13th Aug 25, with TCC date on 23rd Jul 26. Under SEC approval
2) Energization actual date 15th Jan 26</t>
  </si>
  <si>
    <t>MOWAIH PV 380/110V BSP</t>
  </si>
  <si>
    <t>EOT is submitted with TCC and was approved on 21st Apr 26
Energization done, and TCC was received on 21st Apr 26</t>
  </si>
  <si>
    <t>UM-AL-JOUD BSP</t>
  </si>
  <si>
    <t>1) EOT-2 submitted to client on 8th Jan 25, Revised TCC date confirmation is pending by SEC (Due to no clarity in readiness of remote end i.e. Fahya SS). EOT-2 resubmitted on 14-June-26 for Revised TCC on 31-July-27. Once approved, TCC letter will be submitted.
2) Remote end protection desing approval pending from SEC. Holding the procurement of loose material &amp; modification work at remote end.
3) Protection scope for Fahya Substation is unknown: Due to which Design submission and approval for modification and procuring loose material is still not finalized
4) Restriction to work inside Rusifah Substation: No confirmation on Panel Installation is provided in Rusifah Substation due to limitations of space. Also, FOC cable pulling &amp; termination inside SS is on hold.
5) Testing of Fiber &amp; High Voltage cable is required to start. Waiting for SEC witness.
6) Shut down from SEC is required for Replacing Relay from Rushifah to Umaljoud. Still no clarity on shutdown also.</t>
  </si>
  <si>
    <t>110/33 KV ALMAHANI S/S IN TAIF</t>
  </si>
  <si>
    <t xml:space="preserve">EOT: EOT submitted TCC upto 30-Nov-26. Under SEC approval.
1) delay in final setting approval for SWGR and Capacitor bank and line protection delaying open loop Tests
2) Delayed HV kit for GIS HV test (was scheduled by Jul-26) now rescheduled to 20-Aug-26
3) Delayed installations of the (HV Terminations, CSE, MV Terminations) pending subcontractor. (PO Under finalization with SCD)
4) Delayed open loop tests for the major equipment due to non-availability of SAS engineer. (Will be mobilized after Approval of final settings)
5) OHTL Line readinees (AL-mahani to MAHD), No clarity on the completion by other contractor. </t>
  </si>
  <si>
    <t>EXT. OF THE EXIS. THAGEF &amp;ADAM</t>
  </si>
  <si>
    <t>EOT: EOT-2 submitted with TCC date of  27-Jul-26. (Under SEC Approval)
1) AES Control panel (Mosaic and Annciator) detail design still under approval &amp; no clarity on FAT date. (expected by Sep-26).
2) Missing BCU units for ADAM LCC (Hyundai), Provided by AES (Purchased from SIEMENS) Delayed since Feb-26, Latest provided date by AES is by Oct-26
3) Loose materials are required from AES for Protection, LCC Panels. To be compatible with existing systems and proceed commissioning activities
4) Delayed delivery of the PC Workstation (EWS) and the PO is still under Finalization with SCD
4) No Clarity of OHTL Line readiness.</t>
  </si>
  <si>
    <t>SEC Smart Distribution Control Centre</t>
  </si>
  <si>
    <t xml:space="preserve">1. SLD Submission for Downstream : CET/NARI Shortage on Manpower where current manpower is 28 and plan to be 39  by  31-Jul-26 , Target Completion Madinah : 05-Sep-26 , Jeddah :06-Oct-26 ,Makkah : 06-Oct-26 ,Abha :03-Sep-26 , Jizan : 16-Sep-26.
2. Abha ADMS System Crash: SLD NDesigner application crashed during implementation activities in Abha, resulting in delays to SLD preparation, submission, and validation activities.
3. Cyber Security Audit : Audit plan not yet Approved by SE and the PO (Third Party) has not been issued by NARI (affecting Cutover). The audit requires approximately 10 weeks after PO issuance.
4. NARI End-to-End Testing Team : A dedicated NARI team is required to focus exclusively on End-to-End testing activities. A total of nine engineers are expected to be mobilized by the  31 July 2026.
5. Delay in Telecom Panel Local Test for Remote End (MADINAH LDC).
6. Delay delivery of DWDM (PO issued to AES) – waiting the final confirmation for the recent traffic plan in Madina, Abha &amp; Jizan.
7.  All Submittal under review with FEC / HSSE.
8. Requirements from STC connectivity regarding IP Telephone (SIP) services.
9.1 ICT reviewer’s new comments regarding the passive scope and Beit Al Anzima rejection._x000B_9.2 ICT rejected the material in Rev-02 although no comments were received in Rev-01._x000B_9.3 The material has already been delivered and installed on site.
9.4 The ICT reviewer has been rejecting every submitted versions without providing any specific technical comments or justified reasons, Also rejecting both of the approved  Design Consultant and the Contractor. This repeated rejection practice is causing significant delays to the project and directly impacting the implementation and activation of critical ICT services, including Internet connectivity, IP Telephony, and system integrations. </t>
  </si>
  <si>
    <t>Exp. of YCNT BSP for Power to Neom</t>
  </si>
  <si>
    <t>NEOM / SEC</t>
  </si>
  <si>
    <t>Yanbu</t>
  </si>
  <si>
    <t>1) 2 Nos GIS breakers damaged due to heavy wind (Fell down, no major damage), need to close the issues with GE Team, Breakers are sent to France Factory to get the repaired materials expected Repaired materials delivery by End of Sep-26.
2) HV Test Equipment delivery pending from GE, due to lack of equipment (Used for other site)</t>
  </si>
  <si>
    <t>Airport C (KAIA) Interconnection REINF.</t>
  </si>
  <si>
    <t>1) TCC Received on 09-Aug-26 as per Contractual TCC Date i.e. 01-Feb-26.
2) Remaining work cannot be proceeded due to HV Cable issue from SE. Project currently onhold from SE so manpower to be demobilized accordingly. 
3) CSD refused to start T&amp;C Activities because of the unavailability of existing HV cable from SE. 
4) Change order (Approx.. 47 million) submitted to SE for additional HV cable work. Waiting for their approval.</t>
  </si>
  <si>
    <t>Interconnection of AJM-1 (New Jamoom)</t>
  </si>
  <si>
    <t xml:space="preserve">1) T.C.C received. 
2)Shutdown required for Connecting existing GIS to new GIS bay, expected in Aug-26.
</t>
  </si>
  <si>
    <t>Expansion of Mowaih PV 380kV BSP</t>
  </si>
  <si>
    <t>Mowaih</t>
  </si>
  <si>
    <t>1) EOT-1 submitted on 16th Oct 25, with TCC Date on 27-5-26. Rejected by SEC on 21-Oct-25, Resubmitted, under approval with SE. 
2) TCC delayed by SE, Due to SE-MOD time extension approval
2) 48 V DC system: FAT done delivery delayed expected delivery in Sep-26
3) Remote End Substations are not ready</t>
  </si>
  <si>
    <t>110kV SS Kar-2</t>
  </si>
  <si>
    <t>1) Delay in Mechanical materials i.e.  HVAC system (PACU), Expected material delivery by Mid Aug-26 due to current Geo-political instability.</t>
  </si>
  <si>
    <t>132/13.8KV Sub Industrial City Tabuk</t>
  </si>
  <si>
    <t>MODON</t>
  </si>
  <si>
    <t>Critical Issues: OLT &amp; CLT Completed and final testing like trip test, end to end test ongoing. However, PAC form signed after mutual site visit from SE, MODON &amp; Alfanar. All pending works to be completed to target energization.</t>
  </si>
  <si>
    <t xml:space="preserve">110KV Salam Royal </t>
  </si>
  <si>
    <t>1) Baldia Permit required to avoid any delay in civil activities. Discussion under process.
2) AES to expedite submission of remaining Telecom drawings &amp; also to close SE comments for submitted drawings to avoid any delay in material delivery.
3) AES to expedite to close SE comments for Protection Relay List to avoid any delay in material delivery. Protection Detail Design to be submitted.
4) AES to expedite submission of Switchgear Detail Design.</t>
  </si>
  <si>
    <t>Const of Southern 380KV BSP | Al Ula</t>
  </si>
  <si>
    <t>Al Ula</t>
  </si>
  <si>
    <t>1) TCC received. 
2) External road: Road marking
3) Testing 85% completed.
4)Finishing work and punch points in progress.</t>
  </si>
  <si>
    <t xml:space="preserve">Expansion of Tabuk BSP &amp; Duba BSP </t>
  </si>
  <si>
    <t>Tabuk &amp; Duba</t>
  </si>
  <si>
    <t>EOT: EOT approved with revised TCC date of 30-Nov-26.
1) Duba BSP: C5 Dia. SEC granted outage on 30-Apr-26. Dismantling of Reactor, dismantling civil foundation removal completed &amp; construction of new foundation under progress &amp; to be completed before 28-Sep-26. Energization as per revised TCC 30-Nov-26.
2) Tabuk BSP C02 Dia: Outage for bus-bar coupling submitted to SE, however SE informed outage will not be received during current season due to peak load. Expected outage will be around Sep’26. Hence, TCC Request submitted to SE for C02 Dia &amp; under review</t>
  </si>
  <si>
    <t>HVDC-4 | COA-WOA | JED-HHR1</t>
  </si>
  <si>
    <t>1) Remote end works.
2) Pole 1 &amp; Pole 2 valve hall equipment installation.
3) Pending materials delivery (CET partial materials and FF Materials).</t>
  </si>
  <si>
    <t>Stage-2 HVDC OHTL COA-WOA</t>
  </si>
  <si>
    <t>1) EOT has been submitted to SE on 07-Jul-26 with TCC date 22-Jan-27 under approval with SE.
2) Variation order for increase of Route length is in under approval stage with Rev TCC date 31-Dec-26.
3) Proposed FAT for remaining Combined Towers tentatively by 10-Aug which will affect TCC by 5 Months.
4) Delay in delivery of E &amp; D SPL Tower material (Proposed date by supplier Nov-26).
5) The outage for the diversion scope is expected to occur in October 2026, which is expected to delay the TCC completion to Feb 2027.</t>
  </si>
  <si>
    <t>SEC | 132KKV OHTL Tabuk</t>
  </si>
  <si>
    <t>1)TCC Received on 02-Aug-26
2)Acceleration in Mechanical works inside Tunnel Buhaira  BSP
3) Acceleration in Access road &amp; Structure Pad final layer</t>
  </si>
  <si>
    <t>UMM AL-QURA CEMENT OHTL</t>
  </si>
  <si>
    <t>1)Slow Rate in Tower Erection &amp; Stringing Works
2)Change order and EOT approvals to be expedited for new revised milestones.</t>
  </si>
  <si>
    <t>110KV OHTL FOR MAADEN-AL MAHAD</t>
  </si>
  <si>
    <t>1) Revised EOT Submitted to SEC on 21-Jun-26 with TCC date 10-Mar-27 under approval with SEC
2) SE notified of Required route deviation due to future plans for a factory, required reworks (Dismantling of erected towers) &amp; additional qty.
3) Foundation concrete works delayed due to late delivery of concrete.
4) Angle Towers erection should expedite to avoid further delay in stringing works					
5) Delay in Commencement of Stringing works due to Tower shortage material</t>
  </si>
  <si>
    <t>Battery Energy (BESS) -Rabigh</t>
  </si>
  <si>
    <t>Rabigh</t>
  </si>
  <si>
    <t>Energization done</t>
  </si>
  <si>
    <t>Arafat SS</t>
  </si>
  <si>
    <t>1. EOT submitted on  20-May-26 with TCC upto 8-Oct-26, SE comments received on 4th Jun 26 need to be resubmit the EOT.
2. Shutdown required from SE by Oct-26.</t>
  </si>
  <si>
    <t>Construction of Tabuk Substation for BESS</t>
  </si>
  <si>
    <t xml:space="preserve">1. Approval Detailed Design for switchgear, ACDB &amp; PDMS
2. Delay in Delivering HGIS from Hitachi for second bay 
3. Delay in Delivering for 125v DC System
4. Approval for FEED package
5. Delay in Inputs for Grid Studies from BYD 
6. FAT confirmation for Auxiliary Transformer, Lighting Panels, ACDB, DSM, TFR
7. PDC Support required for approval of DSM &amp; TFR.
8. AMI DESIGN APPROVAL
9. FIBER OPTIC ROUTE PLAN.
10. BASE DESIGN APPROVAL FOR TRANSFORMER.
11. DELIOVERY CONFRIATION OF FIRE PUMP MATERIAL </t>
  </si>
  <si>
    <t>CONSTRUCTION OF ALWESSAM TAIF 110/13.SKV SUBSTATION IN TAIF</t>
  </si>
  <si>
    <t>1) Delay notification sent to SEC, Due to delay in issuance of construction permit &amp; delay in design (08 Months)
2) Steel binding work &amp; formwork for Main Building wall in progress 
3) Structural design approval needs to be expedited</t>
  </si>
  <si>
    <t>CONSTRUCTION OF A NEW 132/13.8KV SUBSTATION RABIAH TABUK (RBTBK) &amp; ITS 132KV INTERCONNECTION IN TABUK</t>
  </si>
  <si>
    <t>1) Delay in commencement of OHTL works due to SE E&amp;DD's new requirements and involvement of SE S&amp;SD.
2) Power Transformer delivery requires advancement by at least two months to meet the energization target. The supplier is not agreeing to/confirming the expected FAT and delivery dates before Dec-26. Due to the current global situation, the supplier has indicated that the FAT/delivery may be delayed until Jan./Feb. 2027.
3) Delay in submission and approval of Remote End design and drawings due to delay from SE in providing the existing data.
4) OHTL Line Strings have a long delivery lead time, and SE has been requested to provide the material on a borrowing basis from the SE store, subject to availability.
5) Delay in OHTL Tower works.</t>
  </si>
  <si>
    <t>CONSTRUCTION OF A NEW 110/13.8 kV SUBSTATION Al-Arfa (ARFA-G) IN TAIF UNDER GRANT SCHEMES PROGRAM</t>
  </si>
  <si>
    <t xml:space="preserve">1) Construction Sub Structure forecast completion date: 23-Sep-26.
2) Construction Super Structure forecast completion date: 26-Nov-26.                   </t>
  </si>
  <si>
    <t>Installation of New STATCOM ±300MV AR At 132kV Level At Northern BSP</t>
  </si>
  <si>
    <t>1) Vendor finalization is pending for Lightning Protection, HVAC, and Cable Trays; respective design approvals/offers are under process. DPOs for Post Insulator and Crane are with SCD.
2) STATCOM Building foundation works are delayed due to delay in finalization of the STATCOM Building Architectural &amp; Precast drawings (inputs) by the designer (DAR).</t>
  </si>
  <si>
    <t>CONSTRUCTION OF A NEW 110KV D/C OHTL FOR A NEW 110/13.8KV SUBSTATION Al-Arfa (ARFA-G) IN TAIF UNDER GRANT SCHEMES PROGRAM</t>
  </si>
  <si>
    <t>1) Delay in GAFM for Insulator. 
2) Delay in GAFM for Hardware Fittings.
3) Delay in Soil investigation and Foundation work Design.</t>
  </si>
  <si>
    <t xml:space="preserve">CONSTRUCTION OF A NEW SUBSTATION KHR-1 380/110 KV BSP &amp; EXP OF EXISTING MHR BSP UNDER
RENEWABLE ENERGY </t>
  </si>
  <si>
    <t>1) P.O issued for GIS in expansion scope to Hitachi,BD modified after site visit and proposal of reactor location and GIB routing under review
2) Reactors BD with tbea, trench china Bushing under sec review waiting confirmation of delivery date
3) Substructure 110kv building-2  not yet approved.  
4) NGR P.O issuance pending due toNGR study</t>
  </si>
  <si>
    <t>CONSTRUCTION OF A NEW SUBSTATION KHR-2 380/110 KV BSP UNDER RENEWABLE ENERGY POWER PLANT (WOA)</t>
  </si>
  <si>
    <t>1) Reactors BD with tbea, TEBA as unified desing with SEC, but now changed the BD format it will take one month to modify, it will impact GAFM issues and delivery - TBEA confirmed to deliver equipment within time limit of PO issued.
2) Control Room Building Slab completed</t>
  </si>
  <si>
    <t>AL JAMOOM 110/33/13.8KV SUBSTATION (Te3830)</t>
  </si>
  <si>
    <t>1) SE delayed in site hand over and still site co-ordinate not yet confirmed by SE. It will impact the design submission and site commencing works.
2) Delay in issuing BD for main equipment 
3) Delay in engineering Phase</t>
  </si>
  <si>
    <t>CONSTRUCTION OF HENAKIYAH-3 PV</t>
  </si>
  <si>
    <t>1)BL submitted to SE for Approval
2) GLO Approval 
3) delay in site office preparations and mobilization</t>
  </si>
  <si>
    <t>PE-398</t>
  </si>
  <si>
    <t>CONSTRUCTION OF NEW 110KV D/C OHTL FOR NEW SUBSTATION BAHITAH HOUSING IN TAIF-WOA</t>
  </si>
  <si>
    <t>PE-391</t>
  </si>
  <si>
    <t>ADDITION OF TWO (2) 80/100MVA 132/33KV TRANSFORMERS AT DUBA-2 SUBSTATION.</t>
  </si>
  <si>
    <t>Contract Signed, Baseline Schedule under Preparation</t>
  </si>
  <si>
    <t>PE-371</t>
  </si>
  <si>
    <t>Replacement of Musayjid BSP By Expansion of PS-2 BSP in Western Operating Area.</t>
  </si>
  <si>
    <t>LOA received, Contract not yet signed</t>
  </si>
  <si>
    <t>SOUTHERN REGION UNIT</t>
  </si>
  <si>
    <t>2X25 MVAR 33KV STATCOM</t>
  </si>
  <si>
    <t>Southern</t>
  </si>
  <si>
    <t>Al Baha</t>
  </si>
  <si>
    <t>TCC Certificate Received, working on Punch list &amp; As-Buildt ongoing</t>
  </si>
  <si>
    <t>Al-Kara 132/33 kV SS in Baha Region</t>
  </si>
  <si>
    <t>Delayed in Delivery of GIS,Power Transformer,SIS,SAS, SWGR. Delayed in T&amp;C part where Remote end provision is yet to provided by Client, T&amp;C almost done waiting for some items which require Shutdown by SE</t>
  </si>
  <si>
    <t>Qilwah North 132-33kV SS in Tihama</t>
  </si>
  <si>
    <t>Delayed in Delivery of GIS,Power Transformer,SIS,SAS, SWGR. Delayed in T&amp;C part where Remote end provision is yet to provided by Client, T&amp;C almost done waiting for some items which require Shutdown by SE
TCC received in on 14-July with certificate date 12-March-2026</t>
  </si>
  <si>
    <t>132KV JCDPI- Jazan SS | RC</t>
  </si>
  <si>
    <t>Jizan</t>
  </si>
  <si>
    <t>Working now on T&amp;C and expected to be finished by Sep-26</t>
  </si>
  <si>
    <t>Battery Energy Storage for BISHA</t>
  </si>
  <si>
    <t>SEC Reject descoping spare part scope</t>
  </si>
  <si>
    <t>New Samtah-PV 380/132kV BSP &amp; OHTL</t>
  </si>
  <si>
    <t xml:space="preserve">Delay OHTL Road Crossing special towers approval ,Delay in lapp insulator FAT  , Delay in SP tower procurement </t>
  </si>
  <si>
    <t xml:space="preserve">New Dhahyah 380/132/13.8KV BSP </t>
  </si>
  <si>
    <t>Delay in delivery of main materials 132KV GIS, 132 Power transformers and CTs (all delivered on May-26), working on internal crashed plan to energize by end of Oct-2026</t>
  </si>
  <si>
    <t>Aqabah (PS-AQB) 380/132/13.8KV</t>
  </si>
  <si>
    <t>On Hold</t>
  </si>
  <si>
    <t>Abha</t>
  </si>
  <si>
    <t>Contract Not Signed (2Y From Signing Contract)</t>
  </si>
  <si>
    <t>Construction of New SS for Darb-PV</t>
  </si>
  <si>
    <t>Delay in OHTL change order , Delay in Civil design , Delay in AES material delivery , Delay in construction work.  after new plan for OHTL Expected TCC Date is 15-Dec-26</t>
  </si>
  <si>
    <t>132KV OHTL &amp; UGC Najran</t>
  </si>
  <si>
    <t>Najran</t>
  </si>
  <si>
    <t>1. Incomplete delivery of Angle towers from SE Energya will hinder the commencement stringing works in Portion -3 (&lt;30km)
2. Transposition tower technical submittals, design engineering, needs to be expidted for submission as  PO created on 17-May-2026,  impacts material testing &amp; delivery delay
3.UG Cable Construction needs to be start as it delayed.
4. Balance 20% material follow up with SE is required to prevent the project from delay.</t>
  </si>
  <si>
    <t>Const. Albaha | Add. Scope UG Cable</t>
  </si>
  <si>
    <t>Delay in removal of existing utilities &amp; blasting works for the remaining works</t>
  </si>
  <si>
    <t>NEW DHAHRAN ALJANOUB-2 SS</t>
  </si>
  <si>
    <t>Dhahran</t>
  </si>
  <si>
    <t>OHTL portion delayed due to change order and shutdown
Huge Delay in Delivery of Power Transformer, SAS &amp; Gantry</t>
  </si>
  <si>
    <t>EXP. THE EXISTING KHM, ABHE &amp; BISHA</t>
  </si>
  <si>
    <t>For Civil works :
-Delay in Gatepasses issuance, working 5 days a week for risky civil activities.
-Low Manpower deployment from FGC (Civil Subcontractor) side
-GIS Building opennings design delay approval for bisha which delays GIS Modification works
For Electrical Installation :
-Delay delivery schedule from  Hitachi for : (Reactors in Abha -Delayed FAT for GIS in bisha as it was planned on 4-Jun-26)
-Delay fdelivery schedule from trench for (NGR - FS CT)
-Delay delivery schedule from GE for HGIS (30-Sep-26) in Khamis and delay in FAT for LCC as it was planned to be on 19-May-268 (most critical)</t>
  </si>
  <si>
    <t>JIZAN OHTL | 132 KV LINE</t>
  </si>
  <si>
    <t xml:space="preserve">1.Delay in FAT conduction for GIS with variance 5 months than planned FAT date.
2.Delay in submission &amp; approval of foundation design which is affecting start of foundation works.
3.Delay in submission &amp; approval of full plan &amp; profile.
4.Delay in access road &amp; structure pad progress. </t>
  </si>
  <si>
    <t>Refurbishment of 132kV Najran East Substation in SOA &amp; Refurbishment of 132/33 kV Salwah Substation in SOA.</t>
  </si>
  <si>
    <t>1- Delay of start manufacturing of Protection
2- PO of Batteries &amp; Battery Chargers issued with long Manufacturing Duration (35 weeks)
3- Delay in shifting live MV cables to start construction activities
4- Delay in site handing over</t>
  </si>
  <si>
    <t>Construction of OTOUD (Khamis South-2) 132/13.8KV SS &amp; Interconnections in Asir Region SOA</t>
  </si>
  <si>
    <t>KHM</t>
  </si>
  <si>
    <t>*Long Manufacturing Duration of Power Transformers (SPTC) due to Non-Unified Design 
*Delay in All UGC Scope due to Municipality Permit Rejection for Single Circuit and Design Submittal for Double Circuit
*Civil Readiness Delay due to Delayed Municipality Permits and Improper Store Location at Site</t>
  </si>
  <si>
    <t>Construction 132kv OHTL between baish west and ss1a at Jazan economic city in Jazan region-SOA</t>
  </si>
  <si>
    <t>1.Delay in access road &amp; structure pads works.
2. Delay in GAFM for Gantry Structure material
3.Delay in GAFM for Protection 
4. Delay in delivery of Tower structure Material
5. Dealy in PO issuance for Earthing &amp; Bonding cables</t>
  </si>
  <si>
    <t>PE-222: Najran DRPC</t>
  </si>
  <si>
    <t>PE-230: Wadi Eldawasser</t>
  </si>
  <si>
    <t>Wadi Eldawasser</t>
  </si>
  <si>
    <t>PE-237:  Al BAHA</t>
  </si>
  <si>
    <t>ALBAHA</t>
  </si>
  <si>
    <t xml:space="preserve">PE-234: Najran-2 </t>
  </si>
  <si>
    <t>shutdown received and work ongoing for the works during shutdown</t>
  </si>
  <si>
    <t>PE-236: New Sharorah</t>
  </si>
  <si>
    <t>Sharorah</t>
  </si>
  <si>
    <t>HVDC-3 | COA-SOA | KUDMI</t>
  </si>
  <si>
    <t>jazan</t>
  </si>
  <si>
    <t>380kV OHTL Between 1A BSP &amp; Kudmi BSP (Approx. 47Km)| JCPDI P-4007 1A</t>
  </si>
  <si>
    <t>- Plan &amp; Profile submission &amp; Approval delayed.
- Foundation design drawing submission delayed due to Geo-tech soil investigation on going.
- Access road  and structure PAD works on hold due to trees cutting/NCEC permit.
- Delay in Delivery of Insulator by Mar-27</t>
  </si>
  <si>
    <t>Design and construction of a buried cable to feed the industrial area</t>
  </si>
  <si>
    <t xml:space="preserve">.Key Rout plan approval finilaiz &amp; need to expdite reamining material POs &amp; Power cable Manfufacturing </t>
  </si>
  <si>
    <t>Design &amp; Construction of Electricity Substation 5E - Residential Area 132KV GIS + UGC</t>
  </si>
  <si>
    <t>L1</t>
  </si>
  <si>
    <t>Power supply to Saad water facility Project (new 132 kV substation project)</t>
  </si>
  <si>
    <t>PE364 - 380KV OHTL HDN-2 &amp; BAHA BSP</t>
  </si>
  <si>
    <t>TAIF - BAHA</t>
  </si>
  <si>
    <t xml:space="preserve">- Contract Amendment of Rerouting Received 19-Aug that will require Change Order &amp; Impact on time and cost.
- On-Hold shipping for the Insulators &amp; Hardware due to the additional shipping cost imposed by the vendor is impacting stringing start by Oct-26.
- Manpower shortage for Assembly / Erection works impacting the site productivity.
- Delayed finalization of Stringing Subcontractor, impacting the readiness for stringing activities by Oct-26
- Delayed concreting readiness in the western area due to the availability of a batching plant (First, under relocation / Second, PO under finalization)  
</t>
  </si>
  <si>
    <t>132KV Ad Dayir SS</t>
  </si>
  <si>
    <t xml:space="preserve">-Delay in mobilization and site works as site handover given on 12-Feb-26
-Delay in RFM for protection,SST, HV Cables, and MV Cables due to delay in design submission from AES for SST &amp; Protection
-Delay in power source identification for auxiliary transformers which delay relocation of existing transformers and delays excavation works for the main building
-Delay in precast supplier confirmation as for using precast slap or cast in situ, due to hard access to the site as it is on a mountainous area which will hinder supplying of precast slap. late confirmation impacts civil design and civil works.
-Delay in manpower supplier prequalification approval for civil works
-GIS GAFM released 1.5 months later than planned and no manufacturing schedule received yet from siemens  </t>
  </si>
  <si>
    <t>132KV Ayban SS</t>
  </si>
  <si>
    <t>Presence of existing feeders, dead Gantry structures and cables causing delay in start of excavation</t>
  </si>
  <si>
    <t>132KV Al-Haqu SS</t>
  </si>
  <si>
    <t xml:space="preserve">REFURBISHMENT OF 132 KV ASIR CPS SUBSTATION IN SOUTHERN OPERATING AREA </t>
  </si>
  <si>
    <t>CONVERT SAMAKH SUBSTATION TO A CONVENTIONAL SUBSTATION IN BISHA REGION-SOA</t>
  </si>
  <si>
    <t>CONST. NEW AD‑DARB S/S 132/33KV</t>
  </si>
  <si>
    <t>PE-392</t>
  </si>
  <si>
    <t>New 380KV Shunt Reactors at JRP 380KV SS &amp; Abha 380KV BSP in SOA</t>
  </si>
  <si>
    <t>132KV OHTL BETWEEN SAMITAH PV AND MOKTARA SUBSTATION IN JAZAN– SOA</t>
  </si>
  <si>
    <t>INFRA UNIT</t>
  </si>
  <si>
    <t>Steel Factory - DOOSAN</t>
  </si>
  <si>
    <t>Doosan</t>
  </si>
  <si>
    <t>NEOM Village NRC-11</t>
  </si>
  <si>
    <t>AGD</t>
  </si>
  <si>
    <t>NEOM</t>
  </si>
  <si>
    <t>NEOM Village NRC-13</t>
  </si>
  <si>
    <t>NEOM Village NRC-17</t>
  </si>
  <si>
    <t>NEOM Village NRC-19</t>
  </si>
  <si>
    <t>NEOM Village NRC-26</t>
  </si>
  <si>
    <t>SEVEN JIZAN Project</t>
  </si>
  <si>
    <t>SEVEN</t>
  </si>
  <si>
    <t>NEOM Community 1 expansion</t>
  </si>
  <si>
    <t xml:space="preserve">NEOM  </t>
  </si>
  <si>
    <t>SABGS - Phase IV Schools-Central</t>
  </si>
  <si>
    <t xml:space="preserve">SABGS - Phase IV Schools-Southern </t>
  </si>
  <si>
    <t>Hofuf</t>
  </si>
  <si>
    <t>SWRO Des. Plant | Shoaibha PP</t>
  </si>
  <si>
    <t>Shoaibha</t>
  </si>
  <si>
    <r>
      <rPr>
        <sz val="14"/>
        <color rgb="FF000000"/>
        <rFont val="Arial"/>
        <family val="2"/>
      </rPr>
      <t>* Conditions Approval received TCC 30-Aug-26 
*</t>
    </r>
    <r>
      <rPr>
        <b/>
        <sz val="14"/>
        <color rgb="FF000000"/>
        <rFont val="Arial"/>
        <family val="2"/>
      </rPr>
      <t>Neutralization Pit</t>
    </r>
    <r>
      <rPr>
        <sz val="14"/>
        <color rgb="FF000000"/>
        <rFont val="Arial"/>
        <family val="2"/>
      </rPr>
      <t xml:space="preserve"> : SE to review and approve the required Variation Order
* </t>
    </r>
    <r>
      <rPr>
        <b/>
        <sz val="14"/>
        <color rgb="FF000000"/>
        <rFont val="Arial"/>
        <family val="2"/>
      </rPr>
      <t>PO for Existing MV switchgear C</t>
    </r>
    <r>
      <rPr>
        <sz val="14"/>
        <color rgb="FF000000"/>
        <rFont val="Arial"/>
        <family val="2"/>
      </rPr>
      <t>T :  Expedite the delivery of the CT
*</t>
    </r>
    <r>
      <rPr>
        <b/>
        <sz val="14"/>
        <color rgb="FF000000"/>
        <rFont val="Arial"/>
        <family val="2"/>
      </rPr>
      <t xml:space="preserve">Outdoor Works Permit </t>
    </r>
    <r>
      <rPr>
        <sz val="14"/>
        <color rgb="FF000000"/>
        <rFont val="Arial"/>
        <family val="2"/>
      </rPr>
      <t>: approve 24h working outside the fence. Pipe and cable routing activities are delayed 
*</t>
    </r>
    <r>
      <rPr>
        <b/>
        <sz val="14"/>
        <color rgb="FF000000"/>
        <rFont val="Arial"/>
        <family val="2"/>
      </rPr>
      <t>Tank No. 3 Outage Required</t>
    </r>
    <r>
      <rPr>
        <sz val="14"/>
        <color rgb="FF000000"/>
        <rFont val="Arial"/>
        <family val="2"/>
      </rPr>
      <t>: Delay on tie-in works</t>
    </r>
  </si>
  <si>
    <t>SWRO Des. Plant- Shuqaiq Power Plant</t>
  </si>
  <si>
    <t>Shuqaiq</t>
  </si>
  <si>
    <r>
      <rPr>
        <sz val="11"/>
        <color rgb="FF000000"/>
        <rFont val="Consolas, Monaco, Menlo, Courie"/>
      </rPr>
      <t>*</t>
    </r>
    <r>
      <rPr>
        <b/>
        <sz val="11"/>
        <color rgb="FF000000"/>
        <rFont val="Consolas, Monaco, Menlo, Courie"/>
      </rPr>
      <t>Outdoor Works Permit</t>
    </r>
    <r>
      <rPr>
        <sz val="11"/>
        <color rgb="FF000000"/>
        <rFont val="Consolas, Monaco, Menlo, Courie"/>
      </rPr>
      <t xml:space="preserve"> : approve 24h working outside the fence
</t>
    </r>
    <r>
      <rPr>
        <b/>
        <sz val="11"/>
        <color rgb="FF000000"/>
        <rFont val="Consolas, Monaco, Menlo, Courie"/>
      </rPr>
      <t xml:space="preserve">*Conflict Regarding Chemical Bulk Storage Tanks:
</t>
    </r>
    <r>
      <rPr>
        <sz val="11"/>
        <color rgb="FF000000"/>
        <rFont val="Consolas, Monaco, Menlo, Courie"/>
      </rPr>
      <t xml:space="preserve">There exists a direct and material conflict between the two documents: 
Schedule B (Cl. 5.1.10) – Contractor to utilise existing bulk tanks; no new tanks required. 
Post-Bid Clarification (Point 2) – Contractor to supply new NaOH and H₂SO₄ bulk storage tanks with all associated equipment. 
* </t>
    </r>
    <r>
      <rPr>
        <b/>
        <sz val="11"/>
        <color rgb="FF000000"/>
        <rFont val="Consolas, Monaco, Menlo, Courie"/>
      </rPr>
      <t>AES arabia Material Delivery:  AES to officially confirm and expedite delivery dates no later than 20-Aug-26.</t>
    </r>
  </si>
  <si>
    <t>Water Treatment Plant &amp; Tank - Jeddah</t>
  </si>
  <si>
    <r>
      <rPr>
        <sz val="14"/>
        <color rgb="FF000000"/>
        <rFont val="Arial"/>
        <family val="2"/>
      </rPr>
      <t>*Revised Schedule Submitted with TCC 30-Oct-26, Under SEC approval
*</t>
    </r>
    <r>
      <rPr>
        <b/>
        <sz val="14"/>
        <color rgb="FF000000"/>
        <rFont val="Arial"/>
        <family val="2"/>
      </rPr>
      <t xml:space="preserve">Pipe and cable routing activities are currently slow due to pending outdoor work permits: </t>
    </r>
    <r>
      <rPr>
        <sz val="14"/>
        <color rgb="FF000000"/>
        <rFont val="Arial"/>
        <family val="2"/>
      </rPr>
      <t xml:space="preserve">SE to expedite the issuance of all required permits for outdoor works &amp; Allow working 24h for outdoor works
</t>
    </r>
    <r>
      <rPr>
        <b/>
        <sz val="14"/>
        <color rgb="FF000000"/>
        <rFont val="Arial"/>
        <family val="2"/>
      </rPr>
      <t>*</t>
    </r>
    <r>
      <rPr>
        <sz val="14"/>
        <color rgb="FF000000"/>
        <rFont val="Arial"/>
        <family val="2"/>
      </rPr>
      <t xml:space="preserve"> </t>
    </r>
    <r>
      <rPr>
        <b/>
        <sz val="14"/>
        <color rgb="FF000000"/>
        <rFont val="Arial"/>
        <family val="2"/>
      </rPr>
      <t xml:space="preserve">NAOH Pipeline Hold: </t>
    </r>
    <r>
      <rPr>
        <sz val="14"/>
        <color rgb="FF000000"/>
        <rFont val="Arial"/>
        <family val="2"/>
      </rPr>
      <t>Finalize the pending technical decision to release the activity.</t>
    </r>
  </si>
  <si>
    <t>Main Construction Work for Al Ahsa Entertainment Complex</t>
  </si>
  <si>
    <t>Alahsa</t>
  </si>
  <si>
    <t>MEP UNIT</t>
  </si>
  <si>
    <t>Rehab &amp; Development of Ohud Hospital</t>
  </si>
  <si>
    <t>MOH</t>
  </si>
  <si>
    <t>CONST OF COLLEGE -Faculty of Science – Univ of Tabuk.</t>
  </si>
  <si>
    <t>University of Tabuk</t>
  </si>
  <si>
    <t>Tabuk - KSA.</t>
  </si>
  <si>
    <t>Four Season Resort, Triple Bay, Amaala</t>
  </si>
  <si>
    <t>AMAALA</t>
  </si>
  <si>
    <t>Al Wajh</t>
  </si>
  <si>
    <t>NEOM MEP | NRC-11</t>
  </si>
  <si>
    <t>Alfanar EC</t>
  </si>
  <si>
    <t>NEOM MEP | NRC-13</t>
  </si>
  <si>
    <t>NEOM MEP | NRC-17</t>
  </si>
  <si>
    <t>NEOM MEP | NRC-19</t>
  </si>
  <si>
    <t>NEOM MEP | NRC-26</t>
  </si>
  <si>
    <t>MEP Works for AMAALA YACHT CLUB</t>
  </si>
  <si>
    <t>NEOM  - BMS FOR 5 VILLAGES</t>
  </si>
  <si>
    <t>ALFANAR - AGD</t>
  </si>
  <si>
    <t xml:space="preserve">ALFANAR HEALTH CARE - BIM SERVICE				</t>
  </si>
  <si>
    <t>Alfanar Health Care</t>
  </si>
  <si>
    <t>Amaala</t>
  </si>
  <si>
    <t>NEOM Expansion - (PE-269 Project)</t>
  </si>
  <si>
    <t>HVDC-1 | COA-WOA | RUH-9022 - MEP WORKS</t>
  </si>
  <si>
    <t>Dhurma</t>
  </si>
  <si>
    <t>HVDC-2 | COA-SOA | RUH-9041 - MEP WORKS</t>
  </si>
  <si>
    <t>Kharj</t>
  </si>
  <si>
    <t>HVDC-3 | COA-SOA | KUDMI - MEP WORKS</t>
  </si>
  <si>
    <t>Kudmi</t>
  </si>
  <si>
    <t>HVDC-4 | COA-WOA | JED-HHR1 - MEP WORKS</t>
  </si>
  <si>
    <t>MEP WORKS FOR SEVEN - AL AHSA   (Same as PE-352)</t>
  </si>
  <si>
    <t xml:space="preserve">MEP WORKS Amaala Wellness 				</t>
  </si>
  <si>
    <t>Mohamed Sabri</t>
  </si>
  <si>
    <t>Amin El Sayed</t>
  </si>
  <si>
    <t>Fathi Mohamed</t>
  </si>
  <si>
    <t>Hany Kamal</t>
  </si>
  <si>
    <t>Malik Qarioutyee</t>
  </si>
  <si>
    <t xml:space="preserve">Rafa Awad Al Hassan </t>
  </si>
  <si>
    <t xml:space="preserve">Anas Derzy </t>
  </si>
  <si>
    <t>Rabei Mohamed Mohamed Attia Daoud</t>
  </si>
  <si>
    <t>Malik Al Qaryotee</t>
  </si>
  <si>
    <t>Tariq Mahmoud Ali Alsheyab</t>
  </si>
  <si>
    <t>Muhannad Ibrahim Al Heh</t>
  </si>
  <si>
    <t>Khalid Mohamed Aql</t>
  </si>
  <si>
    <t>Hassan Ayloti</t>
  </si>
  <si>
    <t>Mohamed El hag</t>
  </si>
  <si>
    <t>Omar Samman</t>
  </si>
  <si>
    <t>Nedal Alkhatib</t>
  </si>
  <si>
    <t>Yousef AlMohtaseb</t>
  </si>
  <si>
    <t>Ibrahim Jaradat</t>
  </si>
  <si>
    <t>Munther Elkhatib</t>
  </si>
  <si>
    <t>Mohsin Arshad</t>
  </si>
  <si>
    <t>Meshari Alqarni</t>
  </si>
  <si>
    <t>Ahmed Mosaad Abdel Nabi Hussein</t>
  </si>
  <si>
    <t>Mohamed Ahmed Abdellatif Abdelkader</t>
  </si>
  <si>
    <t>Tarig Mohammed</t>
  </si>
  <si>
    <t>Muhannad Badawi</t>
  </si>
  <si>
    <t>Hazem Mahmoud</t>
  </si>
  <si>
    <t>Mirza Ikramullah</t>
  </si>
  <si>
    <t>Youssef Al Mohtaesab</t>
  </si>
  <si>
    <t>Mohamed Azhar</t>
  </si>
  <si>
    <t>Osama Mahood</t>
  </si>
  <si>
    <t>Munther Alkhatib</t>
  </si>
  <si>
    <t>Walid Khater</t>
  </si>
  <si>
    <t>Sami Abdou Sayed Atta</t>
  </si>
  <si>
    <t>Mohammed Kutkut</t>
  </si>
  <si>
    <t>Moath Ahmad Mahmoud Almousa</t>
  </si>
  <si>
    <t>Mohamed Ali Hafez Aman</t>
  </si>
  <si>
    <t>Mahmoud Abdelaal</t>
  </si>
  <si>
    <t>Mohamed Elhag</t>
  </si>
  <si>
    <t>Sami Atta</t>
  </si>
  <si>
    <t>Walid Ahmed Khater</t>
  </si>
  <si>
    <t>Shafqat Zia</t>
  </si>
  <si>
    <t>Zohaib Iqbal</t>
  </si>
  <si>
    <t>Mahmoud Sobhy El Sayed</t>
  </si>
  <si>
    <t>Muhammad Ilyas</t>
  </si>
  <si>
    <t>Khaled Abdelaty Hassan Emara Shehata</t>
  </si>
  <si>
    <t>Abdelazeem Morsy</t>
  </si>
  <si>
    <t>Moustafa Elkayyal</t>
  </si>
  <si>
    <t>Hossam Amin</t>
  </si>
  <si>
    <t xml:space="preserve">Bander Khalid Al Qalah </t>
  </si>
  <si>
    <t>Mohamed Omar</t>
  </si>
  <si>
    <t>Ahmad Faisal</t>
  </si>
  <si>
    <t>Mohammed Fathy</t>
  </si>
  <si>
    <t>Mudasir Sheikh</t>
  </si>
  <si>
    <t>Sohaib Afdal</t>
  </si>
  <si>
    <t>Ahmed Aboelseoud</t>
  </si>
  <si>
    <t>Ahmed Faizal</t>
  </si>
  <si>
    <t>Pervaiz Akbar</t>
  </si>
  <si>
    <t>Ahmed Radwan</t>
  </si>
  <si>
    <t>Mohan</t>
  </si>
  <si>
    <t>Sudhakar</t>
  </si>
  <si>
    <t>Mohamed Elmazawy</t>
  </si>
  <si>
    <t>Mostafa Ayop</t>
  </si>
  <si>
    <t>Amin  El sayed</t>
  </si>
  <si>
    <t>Mostafa Elkayal</t>
  </si>
  <si>
    <t>Ahmed Abdel Hady Sayed</t>
  </si>
  <si>
    <t>Ahmed Hussein</t>
  </si>
  <si>
    <t>Khawaja Fayyaz</t>
  </si>
  <si>
    <t>Nadim Shaikh</t>
  </si>
  <si>
    <t>Ahmad Abdel Hady</t>
  </si>
  <si>
    <t>Amr Sennara</t>
  </si>
  <si>
    <t>Ahmed Sadek</t>
  </si>
  <si>
    <t>Musab Ismail</t>
  </si>
  <si>
    <t>Ayman Elattar</t>
  </si>
  <si>
    <t>Hany Kamal Elsherbini</t>
  </si>
  <si>
    <t>Mohammad Monawwar Eqbal</t>
  </si>
  <si>
    <t>Shawkat Alrjoub</t>
  </si>
  <si>
    <t>Amir Aboumansour</t>
  </si>
  <si>
    <t>Akram Kamal</t>
  </si>
  <si>
    <t>Adil Bashir</t>
  </si>
  <si>
    <t>Ahmed Abdelhady</t>
  </si>
  <si>
    <t>Mohamed Eltohfa</t>
  </si>
  <si>
    <t>Moazam Ali Sayed</t>
  </si>
  <si>
    <t>Ahmed Shebl</t>
  </si>
  <si>
    <t>Kamran Ali</t>
  </si>
  <si>
    <t>Mohammd Elshafie</t>
  </si>
  <si>
    <t>Abdelhadi Abdulhalim Kassem</t>
  </si>
  <si>
    <t>Fahed Al Malki</t>
  </si>
  <si>
    <t>Mohamed Shokry</t>
  </si>
  <si>
    <t>Khalid Khalil</t>
  </si>
  <si>
    <t>Mohammed Khurbush</t>
  </si>
  <si>
    <t>Fathi Mousa</t>
  </si>
  <si>
    <t>Ghaleb</t>
  </si>
  <si>
    <t>AbdelHafez Mousa</t>
  </si>
  <si>
    <t>Raja Naveed</t>
  </si>
  <si>
    <t xml:space="preserve">Hashem Mohamed </t>
  </si>
  <si>
    <r>
      <rPr>
        <sz val="26"/>
        <color rgb="FF000000"/>
        <rFont val="Aptos Display"/>
        <family val="2"/>
        <scheme val="major"/>
      </rPr>
      <t xml:space="preserve">ALFANAR 
</t>
    </r>
    <r>
      <rPr>
        <sz val="20"/>
        <color rgb="FF000000"/>
        <rFont val="Aptos Display"/>
        <family val="2"/>
        <scheme val="major"/>
      </rPr>
      <t>COMPLETED MILESTONES - MAY-26 UPDATE</t>
    </r>
  </si>
  <si>
    <t>Year</t>
  </si>
  <si>
    <t>S.N</t>
  </si>
  <si>
    <t>TOTAL PER YEAR</t>
  </si>
  <si>
    <t>NUMBER OF PROJECTS UPTO APRIL26</t>
  </si>
  <si>
    <t>Center</t>
  </si>
  <si>
    <t xml:space="preserve">PE-212 </t>
  </si>
  <si>
    <t>PE-212</t>
  </si>
  <si>
    <t>PE-231</t>
  </si>
  <si>
    <t>PE-235</t>
  </si>
  <si>
    <t>PE-232</t>
  </si>
  <si>
    <t xml:space="preserve">PE-216 </t>
  </si>
  <si>
    <t>PE-216</t>
  </si>
  <si>
    <t>PE-211</t>
  </si>
  <si>
    <t xml:space="preserve">PE-232 </t>
  </si>
  <si>
    <t>TOTAL</t>
  </si>
  <si>
    <t xml:space="preserve">PE-235 </t>
  </si>
  <si>
    <t>East</t>
  </si>
  <si>
    <t>PE-224</t>
  </si>
  <si>
    <t>PE-225</t>
  </si>
  <si>
    <t xml:space="preserve">PE-214 </t>
  </si>
  <si>
    <t xml:space="preserve">PE-229 </t>
  </si>
  <si>
    <t>PE-239”Jubai”</t>
  </si>
  <si>
    <t>South</t>
  </si>
  <si>
    <t>West</t>
  </si>
  <si>
    <t>PE-242</t>
  </si>
  <si>
    <t>PE-221</t>
  </si>
  <si>
    <t>PE-261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</si>
</sst>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409]dd\-mmm\-yy;@"/>
  </numFmts>
  <fonts count="34">
    <font>
      <sz val="11"/>
      <color theme="1"/>
      <name val="Aptos Narrow"/>
      <family val="2"/>
      <scheme val="minor"/>
    </font>
    <font>
      <b/>
      <sz val="14"/>
      <color theme="1"/>
      <name val="Arial"/>
      <family val="2"/>
    </font>
    <font>
      <b/>
      <sz val="18"/>
      <color theme="1"/>
      <name val="Arial"/>
      <family val="2"/>
    </font>
    <font>
      <sz val="14"/>
      <color theme="1"/>
      <name val="Arial"/>
      <family val="2"/>
    </font>
    <font>
      <sz val="14"/>
      <color theme="0"/>
      <name val="Arial"/>
      <family val="2"/>
    </font>
    <font>
      <b/>
      <sz val="14"/>
      <color theme="0"/>
      <name val="Arial"/>
      <family val="2"/>
    </font>
    <font>
      <sz val="14"/>
      <name val="Arial"/>
      <family val="2"/>
    </font>
    <font>
      <sz val="14"/>
      <color rgb="FF000000"/>
      <name val="Arial"/>
      <family val="2"/>
    </font>
    <font>
      <sz val="11"/>
      <color theme="0"/>
      <name val="Aptos Narrow"/>
      <family val="2"/>
      <scheme val="minor"/>
    </font>
    <font>
      <b/>
      <sz val="11"/>
      <color theme="1"/>
      <name val="Aptos Narrow"/>
      <family val="2"/>
      <scheme val="minor"/>
    </font>
    <font>
      <sz val="16"/>
      <color theme="1"/>
      <name val="Aptos Narrow"/>
      <family val="2"/>
      <scheme val="minor"/>
    </font>
    <font>
      <sz val="18"/>
      <color theme="1"/>
      <name val="Arial"/>
      <family val="2"/>
    </font>
    <font>
      <b/>
      <sz val="14"/>
      <color theme="1"/>
      <name val="Aptos Narrow"/>
      <family val="2"/>
      <scheme val="minor"/>
    </font>
    <font>
      <sz val="20"/>
      <color theme="1"/>
      <name val="Aptos Display"/>
      <family val="2"/>
      <scheme val="major"/>
    </font>
    <font>
      <b/>
      <sz val="14"/>
      <color rgb="FF000000"/>
      <name val="Andalus"/>
      <family val="1"/>
    </font>
    <font>
      <b/>
      <sz val="20"/>
      <color rgb="FF000000"/>
      <name val="Bell MT"/>
      <family val="1"/>
    </font>
    <font>
      <b/>
      <sz val="10"/>
      <color rgb="FF000000"/>
      <name val="Aptos Narrow"/>
      <family val="2"/>
    </font>
    <font>
      <sz val="10"/>
      <color rgb="FF000000"/>
      <name val="Aptos Narrow"/>
      <family val="2"/>
    </font>
    <font>
      <b/>
      <sz val="24"/>
      <color theme="1"/>
      <name val="Arial"/>
      <family val="2"/>
    </font>
    <font>
      <sz val="14"/>
      <color theme="1"/>
      <name val="Aptos Narrow"/>
      <family val="2"/>
      <scheme val="minor"/>
    </font>
    <font>
      <sz val="26"/>
      <color rgb="FF000000"/>
      <name val="Aptos Display"/>
      <family val="2"/>
      <scheme val="major"/>
    </font>
    <font>
      <sz val="20"/>
      <color rgb="FF000000"/>
      <name val="Aptos Display"/>
      <family val="2"/>
      <scheme val="major"/>
    </font>
    <font>
      <b/>
      <sz val="11"/>
      <color theme="0"/>
      <name val="Aptos Narrow"/>
      <family val="2"/>
      <scheme val="minor"/>
    </font>
    <font>
      <sz val="14"/>
      <name val="Aptos Narrow"/>
      <family val="2"/>
    </font>
    <font>
      <sz val="16"/>
      <name val="Aptos Narrow"/>
      <family val="2"/>
    </font>
    <font>
      <sz val="11"/>
      <name val="Arial"/>
      <family val="2"/>
    </font>
    <font>
      <sz val="14"/>
      <color theme="9"/>
      <name val="Arial"/>
      <family val="2"/>
    </font>
    <font>
      <sz val="8"/>
      <name val="Aptos Narrow"/>
      <family val="2"/>
      <scheme val="minor"/>
    </font>
    <font>
      <sz val="11"/>
      <color theme="1"/>
      <name val="Aptos Narrow"/>
      <family val="2"/>
      <scheme val="minor"/>
    </font>
    <font>
      <b/>
      <sz val="11"/>
      <color rgb="FFFF0000"/>
      <name val="Aptos Narrow"/>
      <family val="2"/>
      <scheme val="minor"/>
    </font>
    <font>
      <b/>
      <sz val="14"/>
      <color rgb="FF000000"/>
      <name val="Arial"/>
      <family val="2"/>
    </font>
    <font>
      <sz val="11"/>
      <color rgb="FF000000"/>
      <name val="Consolas, Monaco, Menlo, Courie"/>
    </font>
    <font>
      <b/>
      <sz val="11"/>
      <color rgb="FF000000"/>
      <name val="Consolas, Monaco, Menlo, Courie"/>
    </font>
    <font>
      <sz val="14"/>
      <color rgb="FF00B050"/>
      <name val="Arial"/>
      <family val="2"/>
    </font>
  </fonts>
  <fills count="21">
    <fill>
      <patternFill patternType="none"/>
    </fill>
    <fill>
      <patternFill patternType="gray125"/>
    </fill>
    <fill>
      <patternFill patternType="solid">
        <fgColor theme="0" tint="-0.14999847407452621"/>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499984740745262"/>
        <bgColor indexed="64"/>
      </patternFill>
    </fill>
    <fill>
      <patternFill patternType="solid">
        <fgColor theme="0"/>
        <bgColor indexed="64"/>
      </patternFill>
    </fill>
    <fill>
      <patternFill patternType="solid">
        <fgColor rgb="FFFFFF00"/>
        <bgColor indexed="64"/>
      </patternFill>
    </fill>
    <fill>
      <patternFill patternType="solid">
        <fgColor theme="0"/>
        <bgColor rgb="FF000000"/>
      </patternFill>
    </fill>
    <fill>
      <patternFill patternType="solid">
        <fgColor rgb="FFFFFFFF"/>
        <bgColor rgb="FF000000"/>
      </patternFill>
    </fill>
    <fill>
      <patternFill patternType="solid">
        <fgColor rgb="FFFF0000"/>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1"/>
        <bgColor indexed="64"/>
      </patternFill>
    </fill>
    <fill>
      <patternFill patternType="solid">
        <fgColor theme="9" tint="0.59999389629810485"/>
        <bgColor indexed="64"/>
      </patternFill>
    </fill>
    <fill>
      <patternFill patternType="solid">
        <fgColor theme="5"/>
        <bgColor indexed="64"/>
      </patternFill>
    </fill>
    <fill>
      <patternFill patternType="solid">
        <fgColor rgb="FF92D050"/>
        <bgColor indexed="64"/>
      </patternFill>
    </fill>
    <fill>
      <patternFill patternType="solid">
        <fgColor theme="5" tint="0.59999389629810485"/>
        <bgColor indexed="64"/>
      </patternFill>
    </fill>
  </fills>
  <borders count="107">
    <border>
      <left/>
      <right/>
      <top/>
      <bottom/>
      <diagonal/>
    </border>
    <border>
      <left style="thin">
        <color indexed="64"/>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medium">
        <color indexed="64"/>
      </right>
      <top/>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bottom/>
      <diagonal/>
    </border>
    <border>
      <left/>
      <right/>
      <top style="thin">
        <color indexed="64"/>
      </top>
      <bottom/>
      <diagonal/>
    </border>
    <border>
      <left/>
      <right/>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bottom style="thin">
        <color indexed="64"/>
      </bottom>
      <diagonal/>
    </border>
    <border>
      <left style="medium">
        <color indexed="64"/>
      </left>
      <right style="medium">
        <color indexed="64"/>
      </right>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right style="thin">
        <color indexed="64"/>
      </right>
      <top/>
      <bottom style="medium">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indexed="64"/>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right style="thin">
        <color indexed="64"/>
      </right>
      <top style="thin">
        <color rgb="FF000000"/>
      </top>
      <bottom style="thin">
        <color rgb="FF000000"/>
      </bottom>
      <diagonal/>
    </border>
    <border>
      <left style="medium">
        <color indexed="64"/>
      </left>
      <right style="thin">
        <color indexed="64"/>
      </right>
      <top style="medium">
        <color indexed="64"/>
      </top>
      <bottom/>
      <diagonal/>
    </border>
    <border>
      <left/>
      <right style="thin">
        <color indexed="64"/>
      </right>
      <top/>
      <bottom style="thin">
        <color rgb="FF000000"/>
      </bottom>
      <diagonal/>
    </border>
    <border>
      <left style="thin">
        <color rgb="FF000000"/>
      </left>
      <right/>
      <top/>
      <bottom/>
      <diagonal/>
    </border>
    <border>
      <left style="thin">
        <color rgb="FF000000"/>
      </left>
      <right style="medium">
        <color indexed="64"/>
      </right>
      <top/>
      <bottom/>
      <diagonal/>
    </border>
    <border>
      <left style="thin">
        <color rgb="FF000000"/>
      </left>
      <right style="medium">
        <color indexed="64"/>
      </right>
      <top/>
      <bottom style="thin">
        <color indexed="64"/>
      </bottom>
      <diagonal/>
    </border>
    <border>
      <left style="thin">
        <color rgb="FF000000"/>
      </left>
      <right/>
      <top style="thin">
        <color indexed="64"/>
      </top>
      <bottom style="thin">
        <color indexed="64"/>
      </bottom>
      <diagonal/>
    </border>
    <border>
      <left style="thin">
        <color rgb="FF000000"/>
      </left>
      <right/>
      <top style="thin">
        <color indexed="64"/>
      </top>
      <bottom/>
      <diagonal/>
    </border>
    <border>
      <left style="thin">
        <color rgb="FF000000"/>
      </left>
      <right/>
      <top/>
      <bottom style="thin">
        <color indexed="64"/>
      </bottom>
      <diagonal/>
    </border>
    <border>
      <left/>
      <right style="medium">
        <color indexed="64"/>
      </right>
      <top/>
      <bottom/>
      <diagonal/>
    </border>
    <border>
      <left style="medium">
        <color rgb="FF000000"/>
      </left>
      <right style="thin">
        <color indexed="64"/>
      </right>
      <top/>
      <bottom style="thin">
        <color indexed="64"/>
      </bottom>
      <diagonal/>
    </border>
    <border>
      <left style="thin">
        <color indexed="64"/>
      </left>
      <right style="medium">
        <color rgb="FF000000"/>
      </right>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right style="medium">
        <color rgb="FF000000"/>
      </right>
      <top style="thin">
        <color indexed="64"/>
      </top>
      <bottom style="thin">
        <color indexed="64"/>
      </bottom>
      <diagonal/>
    </border>
    <border>
      <left/>
      <right style="medium">
        <color rgb="FF000000"/>
      </right>
      <top/>
      <bottom style="thin">
        <color indexed="64"/>
      </bottom>
      <diagonal/>
    </border>
    <border>
      <left style="medium">
        <color rgb="FF000000"/>
      </left>
      <right style="thin">
        <color indexed="64"/>
      </right>
      <top/>
      <bottom/>
      <diagonal/>
    </border>
    <border>
      <left style="medium">
        <color rgb="FF000000"/>
      </left>
      <right style="thin">
        <color indexed="64"/>
      </right>
      <top style="thin">
        <color indexed="64"/>
      </top>
      <bottom/>
      <diagonal/>
    </border>
    <border>
      <left/>
      <right style="medium">
        <color rgb="FF000000"/>
      </right>
      <top style="thin">
        <color indexed="64"/>
      </top>
      <bottom/>
      <diagonal/>
    </border>
    <border>
      <left style="medium">
        <color rgb="FF000000"/>
      </left>
      <right/>
      <top style="thin">
        <color indexed="64"/>
      </top>
      <bottom style="thin">
        <color indexed="64"/>
      </bottom>
      <diagonal/>
    </border>
    <border>
      <left style="medium">
        <color indexed="64"/>
      </left>
      <right/>
      <top style="medium">
        <color indexed="64"/>
      </top>
      <bottom style="medium">
        <color indexed="64"/>
      </bottom>
      <diagonal/>
    </border>
    <border>
      <left style="thin">
        <color rgb="FF000000"/>
      </left>
      <right style="thin">
        <color rgb="FF000000"/>
      </right>
      <top/>
      <bottom style="thin">
        <color rgb="FF000000"/>
      </bottom>
      <diagonal/>
    </border>
    <border>
      <left style="medium">
        <color rgb="FF000000"/>
      </left>
      <right/>
      <top style="thin">
        <color indexed="64"/>
      </top>
      <bottom/>
      <diagonal/>
    </border>
    <border>
      <left style="thin">
        <color rgb="FF000000"/>
      </left>
      <right style="thin">
        <color rgb="FF000000"/>
      </right>
      <top style="thin">
        <color rgb="FF000000"/>
      </top>
      <bottom/>
      <diagonal/>
    </border>
  </borders>
  <cellStyleXfs count="2">
    <xf numFmtId="0" fontId="0" fillId="0" borderId="0"/>
    <xf numFmtId="9" fontId="28" fillId="0" borderId="0" applyFont="0" applyFill="0" applyBorder="0" applyAlignment="0" applyProtection="0"/>
  </cellStyleXfs>
  <cellXfs count="496">
    <xf numFmtId="0" fontId="0" fillId="0" borderId="0" xfId="0"/>
    <xf numFmtId="164" fontId="3" fillId="2" borderId="5" xfId="0" applyNumberFormat="1" applyFont="1" applyFill="1" applyBorder="1" applyAlignment="1" applyProtection="1">
      <alignment horizontal="center" vertical="center" wrapText="1"/>
      <protection locked="0"/>
    </xf>
    <xf numFmtId="164" fontId="3" fillId="2" borderId="6" xfId="0" applyNumberFormat="1" applyFont="1" applyFill="1" applyBorder="1" applyAlignment="1" applyProtection="1">
      <alignment horizontal="center" vertical="center" wrapText="1"/>
      <protection locked="0"/>
    </xf>
    <xf numFmtId="164" fontId="3" fillId="2" borderId="7" xfId="0" applyNumberFormat="1" applyFont="1" applyFill="1" applyBorder="1" applyAlignment="1" applyProtection="1">
      <alignment horizontal="center" vertical="center" wrapText="1"/>
      <protection locked="0"/>
    </xf>
    <xf numFmtId="0" fontId="4" fillId="6" borderId="6" xfId="0" applyFont="1" applyFill="1" applyBorder="1" applyAlignment="1" applyProtection="1">
      <alignment horizontal="center" vertical="center" wrapText="1"/>
      <protection locked="0"/>
    </xf>
    <xf numFmtId="0" fontId="5" fillId="6" borderId="6" xfId="0" applyFont="1" applyFill="1" applyBorder="1" applyAlignment="1" applyProtection="1">
      <alignment vertical="center" wrapText="1"/>
      <protection locked="0"/>
    </xf>
    <xf numFmtId="164" fontId="4" fillId="6" borderId="6" xfId="0" applyNumberFormat="1" applyFont="1" applyFill="1" applyBorder="1" applyAlignment="1" applyProtection="1">
      <alignment horizontal="center" vertical="center" wrapText="1"/>
      <protection locked="0"/>
    </xf>
    <xf numFmtId="0" fontId="3" fillId="7" borderId="6" xfId="0" applyFont="1" applyFill="1" applyBorder="1" applyAlignment="1" applyProtection="1">
      <alignment horizontal="center" vertical="center" wrapText="1"/>
      <protection locked="0"/>
    </xf>
    <xf numFmtId="0" fontId="3" fillId="0" borderId="6" xfId="0" applyFont="1" applyBorder="1" applyAlignment="1" applyProtection="1">
      <alignment horizontal="left" vertical="center" wrapText="1"/>
      <protection locked="0"/>
    </xf>
    <xf numFmtId="164" fontId="6" fillId="7" borderId="6" xfId="0" applyNumberFormat="1" applyFont="1" applyFill="1" applyBorder="1" applyAlignment="1" applyProtection="1">
      <alignment horizontal="center" vertical="center" wrapText="1"/>
      <protection locked="0"/>
    </xf>
    <xf numFmtId="164" fontId="3" fillId="7" borderId="6" xfId="0" applyNumberFormat="1" applyFont="1" applyFill="1" applyBorder="1" applyAlignment="1" applyProtection="1">
      <alignment horizontal="center" vertical="center" wrapText="1"/>
      <protection locked="0"/>
    </xf>
    <xf numFmtId="0" fontId="3" fillId="7" borderId="6" xfId="0" applyFont="1" applyFill="1" applyBorder="1" applyAlignment="1" applyProtection="1">
      <alignment horizontal="left" vertical="center" wrapText="1"/>
      <protection locked="0"/>
    </xf>
    <xf numFmtId="164" fontId="6" fillId="6" borderId="6" xfId="0" applyNumberFormat="1" applyFont="1" applyFill="1" applyBorder="1" applyAlignment="1" applyProtection="1">
      <alignment horizontal="center" vertical="center" wrapText="1"/>
      <protection locked="0"/>
    </xf>
    <xf numFmtId="0" fontId="3" fillId="0" borderId="6" xfId="0" applyFont="1" applyBorder="1" applyAlignment="1" applyProtection="1">
      <alignment horizontal="center" vertical="center" wrapText="1"/>
      <protection locked="0"/>
    </xf>
    <xf numFmtId="165" fontId="3" fillId="7" borderId="6" xfId="0" applyNumberFormat="1" applyFont="1" applyFill="1" applyBorder="1" applyAlignment="1" applyProtection="1">
      <alignment horizontal="center" vertical="center" wrapText="1"/>
      <protection locked="0"/>
    </xf>
    <xf numFmtId="165" fontId="4" fillId="6" borderId="6" xfId="0" applyNumberFormat="1" applyFont="1" applyFill="1" applyBorder="1" applyAlignment="1" applyProtection="1">
      <alignment horizontal="center" vertical="center" wrapText="1"/>
      <protection locked="0"/>
    </xf>
    <xf numFmtId="165" fontId="0" fillId="0" borderId="0" xfId="0" applyNumberFormat="1"/>
    <xf numFmtId="0" fontId="3" fillId="7" borderId="11" xfId="0" applyFont="1" applyFill="1" applyBorder="1" applyAlignment="1" applyProtection="1">
      <alignment horizontal="center" vertical="center" wrapText="1"/>
      <protection locked="0"/>
    </xf>
    <xf numFmtId="10" fontId="3" fillId="7" borderId="6" xfId="0" applyNumberFormat="1" applyFont="1" applyFill="1" applyBorder="1" applyAlignment="1" applyProtection="1">
      <alignment horizontal="center" vertical="center" wrapText="1"/>
      <protection locked="0"/>
    </xf>
    <xf numFmtId="16" fontId="8" fillId="0" borderId="0" xfId="0" applyNumberFormat="1" applyFont="1"/>
    <xf numFmtId="0" fontId="6" fillId="7" borderId="6" xfId="0" applyFont="1" applyFill="1" applyBorder="1" applyAlignment="1" applyProtection="1">
      <alignment horizontal="left" vertical="center" wrapText="1"/>
      <protection locked="0"/>
    </xf>
    <xf numFmtId="164" fontId="2" fillId="3" borderId="3" xfId="0" applyNumberFormat="1" applyFont="1" applyFill="1" applyBorder="1" applyAlignment="1" applyProtection="1">
      <alignment horizontal="center" vertical="center" wrapText="1"/>
      <protection locked="0"/>
    </xf>
    <xf numFmtId="164" fontId="2" fillId="4" borderId="3" xfId="0" applyNumberFormat="1" applyFont="1" applyFill="1" applyBorder="1" applyAlignment="1" applyProtection="1">
      <alignment horizontal="center" vertical="center" wrapText="1"/>
      <protection locked="0"/>
    </xf>
    <xf numFmtId="164" fontId="2" fillId="3" borderId="2" xfId="0" applyNumberFormat="1" applyFont="1" applyFill="1" applyBorder="1" applyAlignment="1" applyProtection="1">
      <alignment vertical="center" wrapText="1"/>
      <protection locked="0"/>
    </xf>
    <xf numFmtId="164" fontId="2" fillId="4" borderId="2" xfId="0" applyNumberFormat="1" applyFont="1" applyFill="1" applyBorder="1" applyAlignment="1" applyProtection="1">
      <alignment vertical="center" wrapText="1"/>
      <protection locked="0"/>
    </xf>
    <xf numFmtId="164" fontId="3" fillId="2" borderId="4" xfId="0" applyNumberFormat="1" applyFont="1" applyFill="1" applyBorder="1" applyAlignment="1" applyProtection="1">
      <alignment horizontal="center" vertical="center" wrapText="1"/>
      <protection locked="0"/>
    </xf>
    <xf numFmtId="2" fontId="0" fillId="0" borderId="0" xfId="0" applyNumberFormat="1"/>
    <xf numFmtId="2" fontId="9" fillId="0" borderId="0" xfId="0" applyNumberFormat="1" applyFont="1"/>
    <xf numFmtId="0" fontId="10" fillId="0" borderId="0" xfId="0" applyFont="1"/>
    <xf numFmtId="0" fontId="3" fillId="0" borderId="6" xfId="0" applyFont="1" applyBorder="1" applyAlignment="1" applyProtection="1">
      <alignment horizontal="center" vertical="center" wrapText="1"/>
      <protection hidden="1"/>
    </xf>
    <xf numFmtId="2" fontId="9" fillId="0" borderId="0" xfId="0" applyNumberFormat="1" applyFont="1" applyAlignment="1">
      <alignment wrapText="1"/>
    </xf>
    <xf numFmtId="0" fontId="4" fillId="6" borderId="18" xfId="0" applyFont="1" applyFill="1" applyBorder="1" applyAlignment="1" applyProtection="1">
      <alignment horizontal="center" vertical="center" wrapText="1"/>
      <protection locked="0"/>
    </xf>
    <xf numFmtId="0" fontId="3" fillId="7" borderId="18" xfId="0" applyFont="1" applyFill="1" applyBorder="1" applyAlignment="1" applyProtection="1">
      <alignment horizontal="center" vertical="center" wrapText="1"/>
      <protection locked="0"/>
    </xf>
    <xf numFmtId="0" fontId="3" fillId="0" borderId="11" xfId="0" applyFont="1" applyBorder="1" applyAlignment="1" applyProtection="1">
      <alignment horizontal="center" vertical="center" wrapText="1"/>
      <protection locked="0"/>
    </xf>
    <xf numFmtId="0" fontId="4" fillId="6" borderId="28" xfId="0" applyFont="1" applyFill="1" applyBorder="1" applyAlignment="1" applyProtection="1">
      <alignment horizontal="center" vertical="center" wrapText="1"/>
      <protection locked="0"/>
    </xf>
    <xf numFmtId="0" fontId="3" fillId="7" borderId="29" xfId="0" applyFont="1" applyFill="1" applyBorder="1" applyAlignment="1" applyProtection="1">
      <alignment horizontal="center" vertical="center" wrapText="1"/>
      <protection locked="0"/>
    </xf>
    <xf numFmtId="0" fontId="4" fillId="6" borderId="29" xfId="0" applyFont="1" applyFill="1" applyBorder="1" applyAlignment="1" applyProtection="1">
      <alignment horizontal="center" vertical="center" wrapText="1"/>
      <protection locked="0"/>
    </xf>
    <xf numFmtId="0" fontId="3" fillId="0" borderId="18" xfId="0" applyFont="1" applyBorder="1" applyAlignment="1" applyProtection="1">
      <alignment horizontal="center" vertical="center" wrapText="1"/>
      <protection locked="0"/>
    </xf>
    <xf numFmtId="164" fontId="3" fillId="2" borderId="13" xfId="0" applyNumberFormat="1" applyFont="1" applyFill="1" applyBorder="1" applyAlignment="1" applyProtection="1">
      <alignment horizontal="center" vertical="center" wrapText="1"/>
      <protection locked="0"/>
    </xf>
    <xf numFmtId="164" fontId="3" fillId="2" borderId="1" xfId="0" applyNumberFormat="1" applyFont="1" applyFill="1" applyBorder="1" applyAlignment="1" applyProtection="1">
      <alignment horizontal="center" vertical="center" wrapText="1"/>
      <protection locked="0"/>
    </xf>
    <xf numFmtId="164" fontId="3" fillId="2" borderId="23" xfId="0" applyNumberFormat="1" applyFont="1" applyFill="1" applyBorder="1" applyAlignment="1" applyProtection="1">
      <alignment horizontal="center" vertical="center" wrapText="1"/>
      <protection locked="0"/>
    </xf>
    <xf numFmtId="164" fontId="3" fillId="2" borderId="17" xfId="0" applyNumberFormat="1" applyFont="1" applyFill="1" applyBorder="1" applyAlignment="1" applyProtection="1">
      <alignment horizontal="center" vertical="center" wrapText="1"/>
      <protection locked="0"/>
    </xf>
    <xf numFmtId="164" fontId="2" fillId="4" borderId="32" xfId="0" applyNumberFormat="1" applyFont="1" applyFill="1" applyBorder="1" applyAlignment="1" applyProtection="1">
      <alignment vertical="center" wrapText="1"/>
      <protection locked="0"/>
    </xf>
    <xf numFmtId="164" fontId="6" fillId="5" borderId="11" xfId="0" applyNumberFormat="1" applyFont="1" applyFill="1" applyBorder="1" applyAlignment="1" applyProtection="1">
      <alignment horizontal="center" vertical="center" wrapText="1"/>
      <protection locked="0"/>
    </xf>
    <xf numFmtId="164" fontId="6" fillId="5" borderId="7" xfId="0" applyNumberFormat="1" applyFont="1" applyFill="1" applyBorder="1" applyAlignment="1" applyProtection="1">
      <alignment horizontal="center" vertical="center" wrapText="1"/>
      <protection locked="0"/>
    </xf>
    <xf numFmtId="164" fontId="6" fillId="5" borderId="6" xfId="0" applyNumberFormat="1" applyFont="1" applyFill="1" applyBorder="1" applyAlignment="1" applyProtection="1">
      <alignment horizontal="center" vertical="center" wrapText="1"/>
      <protection locked="0"/>
    </xf>
    <xf numFmtId="0" fontId="3" fillId="0" borderId="1" xfId="0" applyFont="1" applyBorder="1" applyAlignment="1" applyProtection="1">
      <alignment horizontal="center" vertical="center" wrapText="1"/>
      <protection locked="0"/>
    </xf>
    <xf numFmtId="0" fontId="3" fillId="7" borderId="1" xfId="0" applyFont="1" applyFill="1" applyBorder="1" applyAlignment="1" applyProtection="1">
      <alignment horizontal="center" vertical="center" wrapText="1"/>
      <protection locked="0"/>
    </xf>
    <xf numFmtId="10" fontId="3" fillId="7" borderId="1" xfId="0" applyNumberFormat="1" applyFont="1" applyFill="1" applyBorder="1" applyAlignment="1" applyProtection="1">
      <alignment horizontal="center" vertical="center" wrapText="1"/>
      <protection locked="0"/>
    </xf>
    <xf numFmtId="0" fontId="3" fillId="7" borderId="28" xfId="0" applyFont="1" applyFill="1" applyBorder="1" applyAlignment="1" applyProtection="1">
      <alignment horizontal="center" vertical="center" wrapText="1"/>
      <protection locked="0"/>
    </xf>
    <xf numFmtId="164" fontId="3" fillId="7" borderId="1" xfId="0" applyNumberFormat="1" applyFont="1" applyFill="1" applyBorder="1" applyAlignment="1" applyProtection="1">
      <alignment horizontal="center" vertical="center" wrapText="1"/>
      <protection locked="0"/>
    </xf>
    <xf numFmtId="164" fontId="6" fillId="7" borderId="1" xfId="0" applyNumberFormat="1" applyFont="1" applyFill="1" applyBorder="1" applyAlignment="1" applyProtection="1">
      <alignment horizontal="center" vertical="center" wrapText="1"/>
      <protection locked="0"/>
    </xf>
    <xf numFmtId="10" fontId="3" fillId="7" borderId="0" xfId="0" applyNumberFormat="1" applyFont="1" applyFill="1" applyAlignment="1" applyProtection="1">
      <alignment horizontal="center" vertical="center" wrapText="1"/>
      <protection locked="0"/>
    </xf>
    <xf numFmtId="0" fontId="0" fillId="0" borderId="0" xfId="0" applyAlignment="1">
      <alignment horizontal="center" vertical="center"/>
    </xf>
    <xf numFmtId="0" fontId="14" fillId="13" borderId="37" xfId="0" applyFont="1" applyFill="1" applyBorder="1" applyAlignment="1">
      <alignment horizontal="center" vertical="center"/>
    </xf>
    <xf numFmtId="0" fontId="14" fillId="13" borderId="39" xfId="0" applyFont="1" applyFill="1" applyBorder="1" applyAlignment="1">
      <alignment horizontal="center" vertical="center"/>
    </xf>
    <xf numFmtId="0" fontId="14" fillId="13" borderId="9" xfId="0" applyFont="1" applyFill="1" applyBorder="1" applyAlignment="1">
      <alignment horizontal="center" vertical="center"/>
    </xf>
    <xf numFmtId="0" fontId="14" fillId="13" borderId="41" xfId="0" applyFont="1" applyFill="1" applyBorder="1" applyAlignment="1">
      <alignment horizontal="center" vertical="center"/>
    </xf>
    <xf numFmtId="0" fontId="14" fillId="13" borderId="10" xfId="0" applyFont="1" applyFill="1" applyBorder="1" applyAlignment="1">
      <alignment horizontal="center" vertical="center"/>
    </xf>
    <xf numFmtId="0" fontId="14" fillId="13" borderId="42" xfId="0" applyFont="1" applyFill="1" applyBorder="1" applyAlignment="1">
      <alignment horizontal="center" vertical="center"/>
    </xf>
    <xf numFmtId="0" fontId="16" fillId="14" borderId="47" xfId="0" applyFont="1" applyFill="1" applyBorder="1" applyAlignment="1">
      <alignment horizontal="center" vertical="center"/>
    </xf>
    <xf numFmtId="0" fontId="17" fillId="14" borderId="12" xfId="0" applyFont="1" applyFill="1" applyBorder="1" applyAlignment="1">
      <alignment horizontal="center" vertical="center" wrapText="1"/>
    </xf>
    <xf numFmtId="0" fontId="17" fillId="14" borderId="4" xfId="0" applyFont="1" applyFill="1" applyBorder="1" applyAlignment="1">
      <alignment horizontal="center" vertical="center" wrapText="1"/>
    </xf>
    <xf numFmtId="0" fontId="17" fillId="14" borderId="16" xfId="0" applyFont="1" applyFill="1" applyBorder="1" applyAlignment="1">
      <alignment horizontal="center" vertical="center" wrapText="1"/>
    </xf>
    <xf numFmtId="0" fontId="17" fillId="14" borderId="17" xfId="0" applyFont="1" applyFill="1" applyBorder="1" applyAlignment="1">
      <alignment horizontal="center" vertical="center" wrapText="1"/>
    </xf>
    <xf numFmtId="0" fontId="17" fillId="14" borderId="48" xfId="0" applyFont="1" applyFill="1" applyBorder="1" applyAlignment="1">
      <alignment horizontal="center" vertical="center" wrapText="1"/>
    </xf>
    <xf numFmtId="0" fontId="9" fillId="2" borderId="49" xfId="0" applyFont="1" applyFill="1" applyBorder="1" applyAlignment="1">
      <alignment horizontal="center" vertical="center"/>
    </xf>
    <xf numFmtId="0" fontId="9" fillId="2" borderId="50" xfId="0" applyFont="1" applyFill="1" applyBorder="1" applyAlignment="1">
      <alignment horizontal="center" vertical="center"/>
    </xf>
    <xf numFmtId="0" fontId="9" fillId="2" borderId="51" xfId="0" applyFont="1" applyFill="1" applyBorder="1" applyAlignment="1">
      <alignment horizontal="center" vertical="center"/>
    </xf>
    <xf numFmtId="0" fontId="16" fillId="14" borderId="52" xfId="0" applyFont="1" applyFill="1" applyBorder="1" applyAlignment="1">
      <alignment horizontal="center" vertical="center"/>
    </xf>
    <xf numFmtId="0" fontId="17" fillId="14" borderId="5" xfId="0" applyFont="1" applyFill="1" applyBorder="1" applyAlignment="1">
      <alignment horizontal="center" vertical="center" wrapText="1"/>
    </xf>
    <xf numFmtId="0" fontId="17" fillId="14" borderId="6" xfId="0" applyFont="1" applyFill="1" applyBorder="1" applyAlignment="1">
      <alignment horizontal="center" vertical="center" wrapText="1"/>
    </xf>
    <xf numFmtId="0" fontId="17" fillId="14" borderId="7" xfId="0" applyFont="1" applyFill="1" applyBorder="1" applyAlignment="1">
      <alignment horizontal="center" vertical="center" wrapText="1"/>
    </xf>
    <xf numFmtId="0" fontId="17" fillId="14" borderId="8" xfId="0" applyFont="1" applyFill="1" applyBorder="1" applyAlignment="1">
      <alignment horizontal="center" vertical="center" wrapText="1"/>
    </xf>
    <xf numFmtId="0" fontId="17" fillId="14" borderId="30" xfId="0" applyFont="1" applyFill="1" applyBorder="1" applyAlignment="1">
      <alignment horizontal="center" vertical="center" wrapText="1"/>
    </xf>
    <xf numFmtId="0" fontId="9" fillId="0" borderId="47" xfId="0" applyFont="1" applyBorder="1" applyAlignment="1">
      <alignment horizontal="center" vertical="center"/>
    </xf>
    <xf numFmtId="0" fontId="0" fillId="0" borderId="17" xfId="0" applyBorder="1" applyAlignment="1">
      <alignment horizontal="center" vertical="center"/>
    </xf>
    <xf numFmtId="0" fontId="9" fillId="8" borderId="53" xfId="0" applyFont="1" applyFill="1" applyBorder="1" applyAlignment="1">
      <alignment horizontal="center" vertical="center"/>
    </xf>
    <xf numFmtId="0" fontId="9" fillId="8" borderId="49" xfId="0" applyFont="1" applyFill="1" applyBorder="1" applyAlignment="1">
      <alignment horizontal="center" vertical="center"/>
    </xf>
    <xf numFmtId="0" fontId="9" fillId="8" borderId="50" xfId="0" applyFont="1" applyFill="1" applyBorder="1" applyAlignment="1">
      <alignment horizontal="center" vertical="center"/>
    </xf>
    <xf numFmtId="0" fontId="9" fillId="8" borderId="51" xfId="0" applyFont="1" applyFill="1" applyBorder="1" applyAlignment="1">
      <alignment horizontal="center" vertical="center"/>
    </xf>
    <xf numFmtId="0" fontId="16" fillId="14" borderId="54" xfId="0" applyFont="1" applyFill="1" applyBorder="1" applyAlignment="1">
      <alignment horizontal="center" vertical="center"/>
    </xf>
    <xf numFmtId="0" fontId="17" fillId="14" borderId="9" xfId="0" applyFont="1" applyFill="1" applyBorder="1" applyAlignment="1">
      <alignment horizontal="center" vertical="center" wrapText="1"/>
    </xf>
    <xf numFmtId="0" fontId="17" fillId="14" borderId="41" xfId="0" applyFont="1" applyFill="1" applyBorder="1" applyAlignment="1">
      <alignment horizontal="center" vertical="center" wrapText="1"/>
    </xf>
    <xf numFmtId="0" fontId="17" fillId="14" borderId="10" xfId="0" applyFont="1" applyFill="1" applyBorder="1" applyAlignment="1">
      <alignment horizontal="center" vertical="center" wrapText="1"/>
    </xf>
    <xf numFmtId="0" fontId="17" fillId="14" borderId="42" xfId="0" applyFont="1" applyFill="1" applyBorder="1" applyAlignment="1">
      <alignment horizontal="center" vertical="center" wrapText="1"/>
    </xf>
    <xf numFmtId="0" fontId="17" fillId="14" borderId="55" xfId="0" applyFont="1" applyFill="1" applyBorder="1" applyAlignment="1">
      <alignment horizontal="center" vertical="center" wrapText="1"/>
    </xf>
    <xf numFmtId="0" fontId="16" fillId="5" borderId="56" xfId="0" applyFont="1" applyFill="1" applyBorder="1" applyAlignment="1">
      <alignment horizontal="center" vertical="center"/>
    </xf>
    <xf numFmtId="0" fontId="17" fillId="5" borderId="22"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17" fillId="5" borderId="57" xfId="0" applyFont="1" applyFill="1" applyBorder="1" applyAlignment="1">
      <alignment horizontal="center" vertical="center" wrapText="1"/>
    </xf>
    <xf numFmtId="0" fontId="17" fillId="5" borderId="32" xfId="0" applyFont="1" applyFill="1" applyBorder="1" applyAlignment="1">
      <alignment horizontal="center" vertical="center" wrapText="1"/>
    </xf>
    <xf numFmtId="0" fontId="16" fillId="5" borderId="52" xfId="0" applyFont="1" applyFill="1" applyBorder="1" applyAlignment="1">
      <alignment horizontal="center" vertical="center"/>
    </xf>
    <xf numFmtId="0" fontId="17" fillId="5" borderId="5" xfId="0" applyFont="1" applyFill="1" applyBorder="1" applyAlignment="1">
      <alignment horizontal="center" vertical="center" wrapText="1"/>
    </xf>
    <xf numFmtId="0" fontId="17" fillId="5" borderId="6" xfId="0" applyFont="1" applyFill="1" applyBorder="1" applyAlignment="1">
      <alignment horizontal="center" vertical="center" wrapText="1"/>
    </xf>
    <xf numFmtId="0" fontId="17" fillId="5" borderId="7" xfId="0" applyFont="1" applyFill="1" applyBorder="1" applyAlignment="1">
      <alignment horizontal="center" vertical="center" wrapText="1"/>
    </xf>
    <xf numFmtId="0" fontId="17" fillId="5" borderId="8" xfId="0" applyFont="1" applyFill="1" applyBorder="1" applyAlignment="1">
      <alignment horizontal="center" vertical="center" wrapText="1"/>
    </xf>
    <xf numFmtId="0" fontId="17" fillId="5" borderId="30" xfId="0" applyFont="1" applyFill="1" applyBorder="1" applyAlignment="1">
      <alignment horizontal="center" vertical="center" wrapText="1"/>
    </xf>
    <xf numFmtId="0" fontId="16" fillId="5" borderId="54" xfId="0" applyFont="1" applyFill="1" applyBorder="1" applyAlignment="1">
      <alignment horizontal="center" vertical="center"/>
    </xf>
    <xf numFmtId="0" fontId="17" fillId="5" borderId="9" xfId="0" applyFont="1" applyFill="1" applyBorder="1" applyAlignment="1">
      <alignment horizontal="center" vertical="center" wrapText="1"/>
    </xf>
    <xf numFmtId="0" fontId="17" fillId="5" borderId="41" xfId="0" applyFont="1" applyFill="1" applyBorder="1" applyAlignment="1">
      <alignment horizontal="center" vertical="center" wrapText="1"/>
    </xf>
    <xf numFmtId="0" fontId="17" fillId="5" borderId="10" xfId="0" applyFont="1" applyFill="1" applyBorder="1" applyAlignment="1">
      <alignment horizontal="center" vertical="center" wrapText="1"/>
    </xf>
    <xf numFmtId="0" fontId="17" fillId="5" borderId="42" xfId="0" applyFont="1" applyFill="1" applyBorder="1" applyAlignment="1">
      <alignment horizontal="center" vertical="center" wrapText="1"/>
    </xf>
    <xf numFmtId="0" fontId="17" fillId="5" borderId="58" xfId="0" applyFont="1" applyFill="1" applyBorder="1" applyAlignment="1">
      <alignment horizontal="center" vertical="center" wrapText="1"/>
    </xf>
    <xf numFmtId="0" fontId="16" fillId="15" borderId="56" xfId="0" applyFont="1" applyFill="1" applyBorder="1" applyAlignment="1">
      <alignment horizontal="center" vertical="center"/>
    </xf>
    <xf numFmtId="0" fontId="17" fillId="15" borderId="22" xfId="0" applyFont="1" applyFill="1" applyBorder="1" applyAlignment="1">
      <alignment horizontal="center" vertical="center" wrapText="1"/>
    </xf>
    <xf numFmtId="0" fontId="17" fillId="15" borderId="20" xfId="0" applyFont="1" applyFill="1" applyBorder="1" applyAlignment="1">
      <alignment horizontal="center" vertical="center" wrapText="1"/>
    </xf>
    <xf numFmtId="0" fontId="17" fillId="15" borderId="21" xfId="0" applyFont="1" applyFill="1" applyBorder="1" applyAlignment="1">
      <alignment horizontal="center" vertical="center" wrapText="1"/>
    </xf>
    <xf numFmtId="0" fontId="17" fillId="15" borderId="31" xfId="0" applyFont="1" applyFill="1" applyBorder="1" applyAlignment="1">
      <alignment horizontal="center" vertical="center" wrapText="1"/>
    </xf>
    <xf numFmtId="0" fontId="16" fillId="15" borderId="52" xfId="0" applyFont="1" applyFill="1" applyBorder="1" applyAlignment="1">
      <alignment horizontal="center" vertical="center"/>
    </xf>
    <xf numFmtId="0" fontId="17" fillId="15" borderId="5" xfId="0" applyFont="1" applyFill="1" applyBorder="1" applyAlignment="1">
      <alignment horizontal="center" vertical="center" wrapText="1"/>
    </xf>
    <xf numFmtId="0" fontId="17" fillId="15" borderId="6" xfId="0" applyFont="1" applyFill="1" applyBorder="1" applyAlignment="1">
      <alignment horizontal="center" vertical="center" wrapText="1"/>
    </xf>
    <xf numFmtId="0" fontId="17" fillId="15" borderId="7" xfId="0" applyFont="1" applyFill="1" applyBorder="1" applyAlignment="1">
      <alignment horizontal="center" vertical="center" wrapText="1"/>
    </xf>
    <xf numFmtId="0" fontId="17" fillId="15" borderId="30" xfId="0" applyFont="1" applyFill="1" applyBorder="1" applyAlignment="1">
      <alignment horizontal="center" vertical="center" wrapText="1"/>
    </xf>
    <xf numFmtId="0" fontId="17" fillId="15" borderId="8" xfId="0" applyFont="1" applyFill="1" applyBorder="1" applyAlignment="1">
      <alignment horizontal="center" vertical="center" wrapText="1"/>
    </xf>
    <xf numFmtId="0" fontId="16" fillId="15" borderId="54" xfId="0" applyFont="1" applyFill="1" applyBorder="1" applyAlignment="1">
      <alignment horizontal="center" vertical="center"/>
    </xf>
    <xf numFmtId="0" fontId="17" fillId="15" borderId="9" xfId="0" applyFont="1" applyFill="1" applyBorder="1" applyAlignment="1">
      <alignment horizontal="center" vertical="center" wrapText="1"/>
    </xf>
    <xf numFmtId="0" fontId="17" fillId="15" borderId="41" xfId="0" applyFont="1" applyFill="1" applyBorder="1" applyAlignment="1">
      <alignment horizontal="center" vertical="center" wrapText="1"/>
    </xf>
    <xf numFmtId="0" fontId="17" fillId="15" borderId="10" xfId="0" applyFont="1" applyFill="1" applyBorder="1" applyAlignment="1">
      <alignment horizontal="center" vertical="center" wrapText="1"/>
    </xf>
    <xf numFmtId="0" fontId="17" fillId="15" borderId="42" xfId="0" applyFont="1" applyFill="1" applyBorder="1" applyAlignment="1">
      <alignment horizontal="center" vertical="center" wrapText="1"/>
    </xf>
    <xf numFmtId="0" fontId="17" fillId="15" borderId="55" xfId="0" applyFont="1" applyFill="1" applyBorder="1" applyAlignment="1">
      <alignment horizontal="center" vertical="center" wrapText="1"/>
    </xf>
    <xf numFmtId="0" fontId="16" fillId="4" borderId="56" xfId="0" applyFont="1" applyFill="1" applyBorder="1" applyAlignment="1">
      <alignment horizontal="center" vertical="center"/>
    </xf>
    <xf numFmtId="0" fontId="17" fillId="4" borderId="20"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7" fillId="4" borderId="32" xfId="0" applyFont="1" applyFill="1" applyBorder="1" applyAlignment="1">
      <alignment horizontal="center" vertical="center" wrapText="1"/>
    </xf>
    <xf numFmtId="0" fontId="16" fillId="4" borderId="52" xfId="0" applyFont="1" applyFill="1" applyBorder="1" applyAlignment="1">
      <alignment horizontal="center" vertical="center"/>
    </xf>
    <xf numFmtId="0" fontId="17" fillId="4" borderId="5" xfId="0" applyFont="1" applyFill="1" applyBorder="1" applyAlignment="1">
      <alignment horizontal="center" vertical="center" wrapText="1"/>
    </xf>
    <xf numFmtId="0" fontId="17" fillId="4" borderId="6" xfId="0" applyFont="1" applyFill="1" applyBorder="1" applyAlignment="1">
      <alignment horizontal="center" vertical="center" wrapText="1"/>
    </xf>
    <xf numFmtId="0" fontId="17" fillId="4" borderId="7" xfId="0" applyFont="1" applyFill="1" applyBorder="1" applyAlignment="1">
      <alignment horizontal="center" vertical="center" wrapText="1"/>
    </xf>
    <xf numFmtId="0" fontId="17" fillId="4" borderId="8" xfId="0" applyFont="1" applyFill="1" applyBorder="1" applyAlignment="1">
      <alignment horizontal="center" vertical="center" wrapText="1"/>
    </xf>
    <xf numFmtId="0" fontId="17" fillId="4" borderId="30" xfId="0" applyFont="1" applyFill="1" applyBorder="1" applyAlignment="1">
      <alignment horizontal="center" vertical="center" wrapText="1"/>
    </xf>
    <xf numFmtId="0" fontId="16" fillId="4" borderId="54" xfId="0" applyFont="1" applyFill="1" applyBorder="1" applyAlignment="1">
      <alignment horizontal="center" vertical="center"/>
    </xf>
    <xf numFmtId="0" fontId="17" fillId="4" borderId="9" xfId="0" applyFont="1" applyFill="1" applyBorder="1" applyAlignment="1">
      <alignment horizontal="center" vertical="center" wrapText="1"/>
    </xf>
    <xf numFmtId="0" fontId="17" fillId="4" borderId="41" xfId="0" applyFont="1" applyFill="1" applyBorder="1" applyAlignment="1">
      <alignment horizontal="center" vertical="center" wrapText="1"/>
    </xf>
    <xf numFmtId="0" fontId="17" fillId="4" borderId="10" xfId="0" applyFont="1" applyFill="1" applyBorder="1" applyAlignment="1">
      <alignment horizontal="center" vertical="center" wrapText="1"/>
    </xf>
    <xf numFmtId="0" fontId="17" fillId="4" borderId="42" xfId="0" applyFont="1" applyFill="1" applyBorder="1" applyAlignment="1">
      <alignment horizontal="center" vertical="center" wrapText="1"/>
    </xf>
    <xf numFmtId="164" fontId="6" fillId="7" borderId="26" xfId="0" applyNumberFormat="1" applyFont="1" applyFill="1" applyBorder="1" applyAlignment="1" applyProtection="1">
      <alignment horizontal="center" vertical="center" wrapText="1"/>
      <protection locked="0"/>
    </xf>
    <xf numFmtId="0" fontId="9" fillId="0" borderId="38" xfId="0" applyFont="1" applyBorder="1" applyAlignment="1">
      <alignment horizontal="center" vertical="center"/>
    </xf>
    <xf numFmtId="0" fontId="0" fillId="0" borderId="60" xfId="0" applyBorder="1" applyAlignment="1">
      <alignment horizontal="center" vertical="center"/>
    </xf>
    <xf numFmtId="0" fontId="0" fillId="7" borderId="75" xfId="0" applyFill="1" applyBorder="1" applyAlignment="1">
      <alignment horizontal="center" vertical="center"/>
    </xf>
    <xf numFmtId="0" fontId="0" fillId="7" borderId="76" xfId="0" applyFill="1" applyBorder="1" applyAlignment="1">
      <alignment horizontal="center" vertical="center"/>
    </xf>
    <xf numFmtId="0" fontId="0" fillId="7" borderId="77" xfId="0" applyFill="1" applyBorder="1" applyAlignment="1">
      <alignment horizontal="center" vertical="center"/>
    </xf>
    <xf numFmtId="0" fontId="0" fillId="0" borderId="76" xfId="0" applyBorder="1" applyAlignment="1">
      <alignment horizontal="center" vertical="center"/>
    </xf>
    <xf numFmtId="0" fontId="0" fillId="0" borderId="78" xfId="0" applyBorder="1" applyAlignment="1">
      <alignment horizontal="center" vertical="center"/>
    </xf>
    <xf numFmtId="15" fontId="6" fillId="0" borderId="17" xfId="0" applyNumberFormat="1" applyFont="1" applyBorder="1" applyAlignment="1">
      <alignment horizontal="center" wrapText="1"/>
    </xf>
    <xf numFmtId="15" fontId="6" fillId="0" borderId="48" xfId="0" applyNumberFormat="1" applyFont="1" applyBorder="1" applyAlignment="1">
      <alignment horizontal="center" wrapText="1"/>
    </xf>
    <xf numFmtId="0" fontId="9" fillId="0" borderId="52" xfId="0" applyFont="1" applyBorder="1" applyAlignment="1">
      <alignment horizontal="center" vertical="center"/>
    </xf>
    <xf numFmtId="0" fontId="0" fillId="0" borderId="8" xfId="0" applyBorder="1" applyAlignment="1">
      <alignment horizontal="center" vertical="center"/>
    </xf>
    <xf numFmtId="0" fontId="6" fillId="7" borderId="6" xfId="0" applyFont="1" applyFill="1" applyBorder="1" applyAlignment="1" applyProtection="1">
      <alignment horizontal="center" vertical="center" wrapText="1"/>
      <protection locked="0"/>
    </xf>
    <xf numFmtId="0" fontId="3" fillId="7" borderId="26" xfId="0" applyFont="1" applyFill="1" applyBorder="1" applyAlignment="1" applyProtection="1">
      <alignment horizontal="center" vertical="center" wrapText="1"/>
      <protection locked="0"/>
    </xf>
    <xf numFmtId="0" fontId="3" fillId="0" borderId="26" xfId="0" applyFont="1" applyBorder="1" applyAlignment="1" applyProtection="1">
      <alignment horizontal="center" vertical="center" wrapText="1"/>
      <protection locked="0"/>
    </xf>
    <xf numFmtId="0" fontId="5" fillId="6" borderId="1" xfId="0" applyFont="1" applyFill="1" applyBorder="1" applyAlignment="1" applyProtection="1">
      <alignment vertical="center" wrapText="1"/>
      <protection locked="0"/>
    </xf>
    <xf numFmtId="0" fontId="5" fillId="6" borderId="4" xfId="0" applyFont="1" applyFill="1" applyBorder="1" applyAlignment="1" applyProtection="1">
      <alignment vertical="center" wrapText="1"/>
      <protection locked="0"/>
    </xf>
    <xf numFmtId="49" fontId="4" fillId="6" borderId="6" xfId="0" applyNumberFormat="1" applyFont="1" applyFill="1" applyBorder="1" applyAlignment="1" applyProtection="1">
      <alignment horizontal="center" vertical="center" wrapText="1"/>
      <protection locked="0"/>
    </xf>
    <xf numFmtId="49" fontId="3" fillId="7" borderId="6" xfId="0" applyNumberFormat="1" applyFont="1" applyFill="1" applyBorder="1" applyAlignment="1" applyProtection="1">
      <alignment horizontal="center" vertical="center" wrapText="1"/>
      <protection locked="0"/>
    </xf>
    <xf numFmtId="49" fontId="3" fillId="7" borderId="26" xfId="0" applyNumberFormat="1" applyFont="1" applyFill="1" applyBorder="1" applyAlignment="1" applyProtection="1">
      <alignment horizontal="center" vertical="center" wrapText="1"/>
      <protection locked="0"/>
    </xf>
    <xf numFmtId="49" fontId="3" fillId="0" borderId="6" xfId="0" applyNumberFormat="1" applyFont="1" applyBorder="1" applyAlignment="1" applyProtection="1">
      <alignment horizontal="center" vertical="center" wrapText="1"/>
      <protection locked="0"/>
    </xf>
    <xf numFmtId="49" fontId="0" fillId="0" borderId="0" xfId="0" applyNumberFormat="1"/>
    <xf numFmtId="49" fontId="3" fillId="0" borderId="6" xfId="0" applyNumberFormat="1" applyFont="1" applyBorder="1" applyAlignment="1" applyProtection="1">
      <alignment horizontal="center" vertical="center" wrapText="1"/>
      <protection hidden="1"/>
    </xf>
    <xf numFmtId="49" fontId="3" fillId="7" borderId="1" xfId="0" applyNumberFormat="1" applyFont="1" applyFill="1" applyBorder="1" applyAlignment="1" applyProtection="1">
      <alignment horizontal="center" vertical="center" wrapText="1"/>
      <protection locked="0"/>
    </xf>
    <xf numFmtId="49" fontId="0" fillId="0" borderId="0" xfId="0" applyNumberFormat="1" applyAlignment="1">
      <alignment horizontal="left"/>
    </xf>
    <xf numFmtId="164" fontId="3" fillId="2" borderId="24" xfId="0" applyNumberFormat="1" applyFont="1" applyFill="1" applyBorder="1" applyAlignment="1" applyProtection="1">
      <alignment horizontal="center" vertical="center" wrapText="1"/>
      <protection locked="0"/>
    </xf>
    <xf numFmtId="164" fontId="6" fillId="7" borderId="79" xfId="0" applyNumberFormat="1" applyFont="1" applyFill="1" applyBorder="1" applyAlignment="1" applyProtection="1">
      <alignment horizontal="center" vertical="center" wrapText="1"/>
      <protection locked="0"/>
    </xf>
    <xf numFmtId="0" fontId="12" fillId="0" borderId="80" xfId="0" applyFont="1" applyBorder="1" applyAlignment="1">
      <alignment horizontal="left" vertical="center" wrapText="1"/>
    </xf>
    <xf numFmtId="0" fontId="12" fillId="0" borderId="80" xfId="0" applyFont="1" applyBorder="1" applyAlignment="1">
      <alignment horizontal="center" vertical="center"/>
    </xf>
    <xf numFmtId="164" fontId="6" fillId="0" borderId="6" xfId="0" applyNumberFormat="1" applyFont="1" applyBorder="1" applyAlignment="1" applyProtection="1">
      <alignment horizontal="center" vertical="center" wrapText="1"/>
      <protection locked="0"/>
    </xf>
    <xf numFmtId="0" fontId="0" fillId="0" borderId="0" xfId="0" applyAlignment="1">
      <alignment horizontal="center"/>
    </xf>
    <xf numFmtId="0" fontId="0" fillId="0" borderId="0" xfId="0" applyAlignment="1">
      <alignment vertical="center"/>
    </xf>
    <xf numFmtId="2" fontId="0" fillId="0" borderId="0" xfId="0" applyNumberFormat="1" applyAlignment="1">
      <alignment vertical="center"/>
    </xf>
    <xf numFmtId="0" fontId="0" fillId="0" borderId="0" xfId="0" applyAlignment="1">
      <alignment vertical="top"/>
    </xf>
    <xf numFmtId="2" fontId="0" fillId="0" borderId="0" xfId="0" applyNumberFormat="1" applyAlignment="1">
      <alignment vertical="top"/>
    </xf>
    <xf numFmtId="2" fontId="9" fillId="0" borderId="0" xfId="0" applyNumberFormat="1" applyFont="1" applyAlignment="1">
      <alignment vertical="top"/>
    </xf>
    <xf numFmtId="16" fontId="8" fillId="0" borderId="0" xfId="0" applyNumberFormat="1" applyFont="1" applyAlignment="1">
      <alignment vertical="top"/>
    </xf>
    <xf numFmtId="0" fontId="10" fillId="0" borderId="0" xfId="0" applyFont="1" applyAlignment="1">
      <alignment vertical="top"/>
    </xf>
    <xf numFmtId="0" fontId="17" fillId="4" borderId="83" xfId="0" applyFont="1" applyFill="1" applyBorder="1" applyAlignment="1">
      <alignment horizontal="center" vertical="center" wrapText="1"/>
    </xf>
    <xf numFmtId="0" fontId="17" fillId="4" borderId="84" xfId="0" applyFont="1" applyFill="1" applyBorder="1" applyAlignment="1">
      <alignment horizontal="center" vertical="center" wrapText="1"/>
    </xf>
    <xf numFmtId="0" fontId="17" fillId="4" borderId="17" xfId="0" applyFont="1" applyFill="1" applyBorder="1" applyAlignment="1">
      <alignment horizontal="center" vertical="center" wrapText="1"/>
    </xf>
    <xf numFmtId="164" fontId="0" fillId="0" borderId="0" xfId="0" applyNumberFormat="1" applyAlignment="1">
      <alignment horizontal="center"/>
    </xf>
    <xf numFmtId="0" fontId="0" fillId="0" borderId="86" xfId="0" applyBorder="1"/>
    <xf numFmtId="0" fontId="4" fillId="6" borderId="6" xfId="0" applyFont="1" applyFill="1" applyBorder="1" applyAlignment="1" applyProtection="1">
      <alignment horizontal="left" vertical="center" wrapText="1"/>
      <protection locked="0"/>
    </xf>
    <xf numFmtId="0" fontId="3" fillId="8" borderId="6" xfId="0" applyFont="1" applyFill="1" applyBorder="1" applyAlignment="1" applyProtection="1">
      <alignment horizontal="left" vertical="center" wrapText="1"/>
      <protection locked="0"/>
    </xf>
    <xf numFmtId="0" fontId="3" fillId="0" borderId="6" xfId="0" applyFont="1" applyBorder="1" applyAlignment="1" applyProtection="1">
      <alignment horizontal="left" vertical="top" wrapText="1"/>
      <protection locked="0"/>
    </xf>
    <xf numFmtId="0" fontId="7" fillId="0" borderId="18" xfId="0" applyFont="1" applyBorder="1" applyAlignment="1">
      <alignment horizontal="left" wrapText="1"/>
    </xf>
    <xf numFmtId="0" fontId="7" fillId="0" borderId="29" xfId="0" applyFont="1" applyBorder="1" applyAlignment="1">
      <alignment horizontal="left" wrapText="1"/>
    </xf>
    <xf numFmtId="0" fontId="19" fillId="0" borderId="6" xfId="0" applyFont="1" applyBorder="1" applyAlignment="1">
      <alignment horizontal="left" wrapText="1"/>
    </xf>
    <xf numFmtId="0" fontId="19" fillId="0" borderId="1" xfId="0" applyFont="1" applyBorder="1" applyAlignment="1">
      <alignment horizontal="left" wrapText="1"/>
    </xf>
    <xf numFmtId="0" fontId="4" fillId="6" borderId="6" xfId="0" applyFont="1" applyFill="1" applyBorder="1" applyAlignment="1" applyProtection="1">
      <alignment horizontal="left" vertical="center"/>
      <protection locked="0"/>
    </xf>
    <xf numFmtId="0" fontId="3" fillId="7" borderId="6" xfId="0" applyFont="1" applyFill="1" applyBorder="1" applyAlignment="1" applyProtection="1">
      <alignment horizontal="left" vertical="center"/>
      <protection locked="0"/>
    </xf>
    <xf numFmtId="0" fontId="0" fillId="0" borderId="0" xfId="0" applyAlignment="1">
      <alignment horizontal="left"/>
    </xf>
    <xf numFmtId="164" fontId="3" fillId="16" borderId="6" xfId="0" applyNumberFormat="1" applyFont="1" applyFill="1" applyBorder="1" applyAlignment="1" applyProtection="1">
      <alignment horizontal="center" vertical="center" wrapText="1"/>
      <protection locked="0"/>
    </xf>
    <xf numFmtId="164" fontId="6" fillId="16" borderId="6" xfId="0" applyNumberFormat="1" applyFont="1" applyFill="1" applyBorder="1" applyAlignment="1" applyProtection="1">
      <alignment horizontal="center" vertical="center" wrapText="1"/>
      <protection locked="0"/>
    </xf>
    <xf numFmtId="0" fontId="3" fillId="16" borderId="6" xfId="0" applyFont="1" applyFill="1" applyBorder="1" applyAlignment="1" applyProtection="1">
      <alignment horizontal="left" vertical="center"/>
      <protection locked="0"/>
    </xf>
    <xf numFmtId="0" fontId="6" fillId="0" borderId="6" xfId="0" applyFont="1" applyBorder="1" applyAlignment="1" applyProtection="1">
      <alignment horizontal="left" vertical="center" wrapText="1"/>
      <protection locked="0"/>
    </xf>
    <xf numFmtId="49" fontId="6" fillId="7" borderId="6" xfId="0" applyNumberFormat="1" applyFont="1" applyFill="1" applyBorder="1" applyAlignment="1" applyProtection="1">
      <alignment horizontal="left" vertical="center" wrapText="1"/>
      <protection locked="0"/>
    </xf>
    <xf numFmtId="165" fontId="6" fillId="7" borderId="8" xfId="0" applyNumberFormat="1" applyFont="1" applyFill="1" applyBorder="1" applyAlignment="1" applyProtection="1">
      <alignment horizontal="center" vertical="center" wrapText="1"/>
      <protection locked="0"/>
    </xf>
    <xf numFmtId="10" fontId="6" fillId="7" borderId="6" xfId="0" applyNumberFormat="1" applyFont="1" applyFill="1" applyBorder="1" applyAlignment="1" applyProtection="1">
      <alignment horizontal="center" vertical="center" wrapText="1"/>
      <protection locked="0"/>
    </xf>
    <xf numFmtId="0" fontId="6" fillId="7" borderId="11" xfId="0" applyFont="1" applyFill="1" applyBorder="1" applyAlignment="1" applyProtection="1">
      <alignment horizontal="center" vertical="center" wrapText="1"/>
      <protection locked="0"/>
    </xf>
    <xf numFmtId="0" fontId="6" fillId="7" borderId="89" xfId="0" applyFont="1" applyFill="1" applyBorder="1" applyAlignment="1" applyProtection="1">
      <alignment horizontal="center" vertical="center" wrapText="1"/>
      <protection locked="0"/>
    </xf>
    <xf numFmtId="164" fontId="6" fillId="0" borderId="5" xfId="0" applyNumberFormat="1" applyFont="1" applyBorder="1" applyAlignment="1" applyProtection="1">
      <alignment horizontal="center" vertical="center" wrapText="1"/>
      <protection locked="0"/>
    </xf>
    <xf numFmtId="164" fontId="6" fillId="0" borderId="7" xfId="0" applyNumberFormat="1" applyFont="1" applyBorder="1" applyAlignment="1" applyProtection="1">
      <alignment horizontal="center" vertical="center" wrapText="1"/>
      <protection locked="0"/>
    </xf>
    <xf numFmtId="164" fontId="6" fillId="0" borderId="8" xfId="0" applyNumberFormat="1" applyFont="1" applyBorder="1" applyAlignment="1" applyProtection="1">
      <alignment horizontal="center" vertical="center" wrapText="1"/>
      <protection locked="0"/>
    </xf>
    <xf numFmtId="164" fontId="6" fillId="0" borderId="11" xfId="0" applyNumberFormat="1" applyFont="1" applyBorder="1" applyAlignment="1" applyProtection="1">
      <alignment horizontal="center" vertical="center" wrapText="1"/>
      <protection locked="0"/>
    </xf>
    <xf numFmtId="15" fontId="6" fillId="7" borderId="11" xfId="0" applyNumberFormat="1" applyFont="1" applyFill="1" applyBorder="1" applyAlignment="1" applyProtection="1">
      <alignment horizontal="center" vertical="center" wrapText="1"/>
      <protection locked="0"/>
    </xf>
    <xf numFmtId="0" fontId="6" fillId="7" borderId="6" xfId="0" applyFont="1" applyFill="1" applyBorder="1" applyAlignment="1" applyProtection="1">
      <alignment horizontal="left" vertical="center" wrapText="1"/>
      <protection hidden="1"/>
    </xf>
    <xf numFmtId="0" fontId="6" fillId="7" borderId="18" xfId="0" applyFont="1" applyFill="1" applyBorder="1" applyAlignment="1" applyProtection="1">
      <alignment horizontal="center" vertical="center" wrapText="1"/>
      <protection locked="0"/>
    </xf>
    <xf numFmtId="10" fontId="6" fillId="10" borderId="4" xfId="0" applyNumberFormat="1" applyFont="1" applyFill="1" applyBorder="1" applyAlignment="1">
      <alignment horizontal="center" vertical="center" wrapText="1"/>
    </xf>
    <xf numFmtId="10" fontId="6" fillId="10" borderId="17" xfId="0" applyNumberFormat="1" applyFont="1" applyFill="1" applyBorder="1" applyAlignment="1">
      <alignment horizontal="center" vertical="center" wrapText="1"/>
    </xf>
    <xf numFmtId="10" fontId="6" fillId="10" borderId="4" xfId="0" applyNumberFormat="1" applyFont="1" applyFill="1" applyBorder="1" applyAlignment="1">
      <alignment horizontal="center" wrapText="1"/>
    </xf>
    <xf numFmtId="10" fontId="6" fillId="10" borderId="17" xfId="0" applyNumberFormat="1" applyFont="1" applyFill="1" applyBorder="1" applyAlignment="1">
      <alignment horizontal="center" wrapText="1"/>
    </xf>
    <xf numFmtId="0" fontId="6" fillId="7" borderId="26" xfId="0" applyFont="1" applyFill="1" applyBorder="1" applyAlignment="1" applyProtection="1">
      <alignment horizontal="center" vertical="center" wrapText="1"/>
      <protection locked="0"/>
    </xf>
    <xf numFmtId="49" fontId="6" fillId="7" borderId="26" xfId="0" applyNumberFormat="1" applyFont="1" applyFill="1" applyBorder="1" applyAlignment="1" applyProtection="1">
      <alignment horizontal="left" vertical="center" wrapText="1"/>
      <protection locked="0"/>
    </xf>
    <xf numFmtId="0" fontId="6" fillId="0" borderId="26" xfId="0" applyFont="1" applyBorder="1" applyAlignment="1" applyProtection="1">
      <alignment horizontal="left" vertical="center" wrapText="1"/>
      <protection locked="0"/>
    </xf>
    <xf numFmtId="165" fontId="6" fillId="7" borderId="26" xfId="0" applyNumberFormat="1" applyFont="1" applyFill="1" applyBorder="1" applyAlignment="1" applyProtection="1">
      <alignment horizontal="center" vertical="center" wrapText="1"/>
      <protection locked="0"/>
    </xf>
    <xf numFmtId="10" fontId="6" fillId="7" borderId="26" xfId="0" applyNumberFormat="1" applyFont="1" applyFill="1" applyBorder="1" applyAlignment="1" applyProtection="1">
      <alignment horizontal="center" vertical="center" wrapText="1"/>
      <protection locked="0"/>
    </xf>
    <xf numFmtId="164" fontId="6" fillId="7" borderId="62" xfId="0" applyNumberFormat="1" applyFont="1" applyFill="1" applyBorder="1" applyAlignment="1" applyProtection="1">
      <alignment horizontal="center" vertical="center" wrapText="1"/>
      <protection locked="0"/>
    </xf>
    <xf numFmtId="164" fontId="6" fillId="7" borderId="63" xfId="0" applyNumberFormat="1" applyFont="1" applyFill="1" applyBorder="1" applyAlignment="1" applyProtection="1">
      <alignment horizontal="center" vertical="center" wrapText="1"/>
      <protection locked="0"/>
    </xf>
    <xf numFmtId="164" fontId="6" fillId="7" borderId="64" xfId="0" applyNumberFormat="1" applyFont="1" applyFill="1" applyBorder="1" applyAlignment="1" applyProtection="1">
      <alignment horizontal="center" vertical="center" wrapText="1"/>
      <protection locked="0"/>
    </xf>
    <xf numFmtId="164" fontId="6" fillId="7" borderId="65" xfId="0" applyNumberFormat="1" applyFont="1" applyFill="1" applyBorder="1" applyAlignment="1" applyProtection="1">
      <alignment horizontal="center" vertical="center" wrapText="1"/>
      <protection locked="0"/>
    </xf>
    <xf numFmtId="164" fontId="6" fillId="7" borderId="66" xfId="0" applyNumberFormat="1" applyFont="1" applyFill="1" applyBorder="1" applyAlignment="1" applyProtection="1">
      <alignment horizontal="center" vertical="center" wrapText="1"/>
      <protection locked="0"/>
    </xf>
    <xf numFmtId="15" fontId="23" fillId="0" borderId="65" xfId="0" applyNumberFormat="1" applyFont="1" applyBorder="1" applyAlignment="1">
      <alignment horizontal="center" vertical="center" wrapText="1"/>
    </xf>
    <xf numFmtId="15" fontId="23" fillId="0" borderId="26" xfId="0" applyNumberFormat="1" applyFont="1" applyBorder="1" applyAlignment="1">
      <alignment horizontal="center" vertical="center" wrapText="1"/>
    </xf>
    <xf numFmtId="0" fontId="6" fillId="0" borderId="26" xfId="0" applyFont="1" applyBorder="1" applyAlignment="1" applyProtection="1">
      <alignment horizontal="center" vertical="center" wrapText="1"/>
      <protection locked="0"/>
    </xf>
    <xf numFmtId="49" fontId="6" fillId="0" borderId="26" xfId="0" applyNumberFormat="1" applyFont="1" applyBorder="1" applyAlignment="1" applyProtection="1">
      <alignment horizontal="left" vertical="center" wrapText="1"/>
      <protection locked="0"/>
    </xf>
    <xf numFmtId="164" fontId="6" fillId="0" borderId="26" xfId="0" applyNumberFormat="1" applyFont="1" applyBorder="1" applyAlignment="1" applyProtection="1">
      <alignment horizontal="center" vertical="center" wrapText="1"/>
      <protection locked="0"/>
    </xf>
    <xf numFmtId="49" fontId="6" fillId="0" borderId="6" xfId="0" applyNumberFormat="1" applyFont="1" applyBorder="1" applyAlignment="1" applyProtection="1">
      <alignment horizontal="left" vertical="center" wrapText="1"/>
      <protection locked="0"/>
    </xf>
    <xf numFmtId="0" fontId="24" fillId="0" borderId="6" xfId="0" applyFont="1" applyBorder="1" applyAlignment="1">
      <alignment wrapText="1"/>
    </xf>
    <xf numFmtId="0" fontId="6" fillId="0" borderId="6" xfId="0" applyFont="1" applyBorder="1" applyAlignment="1" applyProtection="1">
      <alignment horizontal="center" vertical="center" wrapText="1"/>
      <protection locked="0"/>
    </xf>
    <xf numFmtId="0" fontId="24" fillId="0" borderId="4" xfId="0" applyFont="1" applyBorder="1" applyAlignment="1">
      <alignment wrapText="1"/>
    </xf>
    <xf numFmtId="0" fontId="24" fillId="0" borderId="4" xfId="0" applyFont="1" applyBorder="1" applyAlignment="1">
      <alignment vertical="center" wrapText="1"/>
    </xf>
    <xf numFmtId="15" fontId="6" fillId="0" borderId="5" xfId="0" applyNumberFormat="1" applyFont="1" applyBorder="1" applyAlignment="1">
      <alignment horizontal="center" vertical="center" wrapText="1"/>
    </xf>
    <xf numFmtId="164" fontId="6" fillId="7" borderId="6" xfId="0" applyNumberFormat="1" applyFont="1" applyFill="1" applyBorder="1" applyAlignment="1" applyProtection="1">
      <alignment horizontal="center" vertical="center" wrapText="1"/>
      <protection hidden="1"/>
    </xf>
    <xf numFmtId="10" fontId="6" fillId="10" borderId="6" xfId="0" applyNumberFormat="1" applyFont="1" applyFill="1" applyBorder="1" applyAlignment="1">
      <alignment horizontal="center" wrapText="1"/>
    </xf>
    <xf numFmtId="10" fontId="6" fillId="10" borderId="8" xfId="0" applyNumberFormat="1" applyFont="1" applyFill="1" applyBorder="1" applyAlignment="1">
      <alignment horizontal="center" wrapText="1"/>
    </xf>
    <xf numFmtId="0" fontId="6" fillId="0" borderId="6" xfId="0" applyFont="1" applyBorder="1" applyAlignment="1" applyProtection="1">
      <alignment horizontal="left" vertical="top" wrapText="1"/>
      <protection locked="0"/>
    </xf>
    <xf numFmtId="165" fontId="6" fillId="7" borderId="8" xfId="0" applyNumberFormat="1" applyFont="1" applyFill="1" applyBorder="1" applyAlignment="1" applyProtection="1">
      <alignment horizontal="center" vertical="top" wrapText="1"/>
      <protection locked="0"/>
    </xf>
    <xf numFmtId="10" fontId="6" fillId="10" borderId="4" xfId="0" applyNumberFormat="1" applyFont="1" applyFill="1" applyBorder="1" applyAlignment="1">
      <alignment horizontal="center" vertical="top" wrapText="1"/>
    </xf>
    <xf numFmtId="10" fontId="6" fillId="10" borderId="17" xfId="0" applyNumberFormat="1" applyFont="1" applyFill="1" applyBorder="1" applyAlignment="1">
      <alignment horizontal="center" vertical="top" wrapText="1"/>
    </xf>
    <xf numFmtId="0" fontId="6" fillId="7" borderId="6" xfId="0" applyFont="1" applyFill="1" applyBorder="1" applyAlignment="1" applyProtection="1">
      <alignment horizontal="center" vertical="top" wrapText="1"/>
      <protection locked="0"/>
    </xf>
    <xf numFmtId="0" fontId="6" fillId="7" borderId="89" xfId="0" applyFont="1" applyFill="1" applyBorder="1" applyAlignment="1" applyProtection="1">
      <alignment horizontal="center" vertical="top" wrapText="1"/>
      <protection locked="0"/>
    </xf>
    <xf numFmtId="10" fontId="6" fillId="10" borderId="85" xfId="0" applyNumberFormat="1" applyFont="1" applyFill="1" applyBorder="1" applyAlignment="1">
      <alignment horizontal="center" wrapText="1"/>
    </xf>
    <xf numFmtId="15" fontId="6" fillId="0" borderId="12" xfId="0" applyNumberFormat="1" applyFont="1" applyBorder="1" applyAlignment="1">
      <alignment horizontal="center" wrapText="1"/>
    </xf>
    <xf numFmtId="0" fontId="6" fillId="0" borderId="6" xfId="0" applyFont="1" applyBorder="1" applyAlignment="1" applyProtection="1">
      <alignment vertical="center" wrapText="1"/>
      <protection locked="0"/>
    </xf>
    <xf numFmtId="10" fontId="6" fillId="10" borderId="4" xfId="0" applyNumberFormat="1" applyFont="1" applyFill="1" applyBorder="1" applyAlignment="1">
      <alignment vertical="center" wrapText="1"/>
    </xf>
    <xf numFmtId="0" fontId="6" fillId="7" borderId="89" xfId="0" applyFont="1" applyFill="1" applyBorder="1" applyAlignment="1" applyProtection="1">
      <alignment vertical="center" wrapText="1"/>
      <protection locked="0"/>
    </xf>
    <xf numFmtId="15" fontId="6" fillId="7" borderId="6" xfId="0" applyNumberFormat="1" applyFont="1" applyFill="1" applyBorder="1" applyAlignment="1" applyProtection="1">
      <alignment horizontal="center" vertical="center" wrapText="1"/>
      <protection hidden="1"/>
    </xf>
    <xf numFmtId="0" fontId="6" fillId="0" borderId="8" xfId="0" applyFont="1" applyBorder="1" applyAlignment="1" applyProtection="1">
      <alignment vertical="center" wrapText="1"/>
      <protection hidden="1"/>
    </xf>
    <xf numFmtId="15" fontId="6" fillId="7" borderId="8" xfId="0" applyNumberFormat="1" applyFont="1" applyFill="1" applyBorder="1" applyAlignment="1" applyProtection="1">
      <alignment horizontal="center" vertical="center" wrapText="1"/>
      <protection hidden="1"/>
    </xf>
    <xf numFmtId="10" fontId="6" fillId="9" borderId="4" xfId="0" applyNumberFormat="1" applyFont="1" applyFill="1" applyBorder="1" applyAlignment="1">
      <alignment horizontal="center" vertical="center" wrapText="1"/>
    </xf>
    <xf numFmtId="10" fontId="6" fillId="9" borderId="17" xfId="0" applyNumberFormat="1" applyFont="1" applyFill="1" applyBorder="1" applyAlignment="1">
      <alignment horizontal="center" vertical="center" wrapText="1"/>
    </xf>
    <xf numFmtId="0" fontId="6" fillId="7" borderId="28" xfId="0" applyFont="1" applyFill="1" applyBorder="1" applyAlignment="1" applyProtection="1">
      <alignment horizontal="center" vertical="center" wrapText="1"/>
      <protection locked="0"/>
    </xf>
    <xf numFmtId="164" fontId="6" fillId="7" borderId="6" xfId="0" applyNumberFormat="1" applyFont="1" applyFill="1" applyBorder="1" applyAlignment="1" applyProtection="1">
      <alignment horizontal="left" vertical="center" wrapText="1"/>
      <protection locked="0"/>
    </xf>
    <xf numFmtId="164" fontId="25" fillId="7" borderId="6" xfId="0" applyNumberFormat="1" applyFont="1" applyFill="1" applyBorder="1" applyAlignment="1" applyProtection="1">
      <alignment horizontal="center" vertical="center" wrapText="1"/>
      <protection locked="0"/>
    </xf>
    <xf numFmtId="0" fontId="6" fillId="0" borderId="11" xfId="0" applyFont="1" applyBorder="1" applyAlignment="1" applyProtection="1">
      <alignment horizontal="center" vertical="center" wrapText="1"/>
      <protection locked="0"/>
    </xf>
    <xf numFmtId="164" fontId="6" fillId="7" borderId="6" xfId="0" applyNumberFormat="1" applyFont="1" applyFill="1" applyBorder="1" applyAlignment="1" applyProtection="1">
      <alignment horizontal="left" vertical="top" wrapText="1"/>
      <protection locked="0"/>
    </xf>
    <xf numFmtId="165" fontId="6" fillId="7" borderId="6" xfId="0" applyNumberFormat="1" applyFont="1" applyFill="1" applyBorder="1" applyAlignment="1" applyProtection="1">
      <alignment horizontal="center" vertical="center" wrapText="1"/>
      <protection locked="0"/>
    </xf>
    <xf numFmtId="0" fontId="6" fillId="0" borderId="6" xfId="0" applyFont="1" applyBorder="1" applyAlignment="1">
      <alignment horizontal="center" vertical="center"/>
    </xf>
    <xf numFmtId="164" fontId="6" fillId="5" borderId="26" xfId="0" applyNumberFormat="1" applyFont="1" applyFill="1" applyBorder="1" applyAlignment="1" applyProtection="1">
      <alignment horizontal="center" vertical="center" wrapText="1"/>
      <protection locked="0"/>
    </xf>
    <xf numFmtId="164" fontId="6" fillId="5" borderId="79" xfId="0" applyNumberFormat="1" applyFont="1" applyFill="1" applyBorder="1" applyAlignment="1" applyProtection="1">
      <alignment horizontal="center" vertical="center" wrapText="1"/>
      <protection locked="0"/>
    </xf>
    <xf numFmtId="164" fontId="6" fillId="7" borderId="26" xfId="0" applyNumberFormat="1" applyFont="1" applyFill="1" applyBorder="1" applyAlignment="1" applyProtection="1">
      <alignment horizontal="center" vertical="center" wrapText="1"/>
      <protection hidden="1"/>
    </xf>
    <xf numFmtId="164" fontId="6" fillId="5" borderId="26" xfId="0" applyNumberFormat="1" applyFont="1" applyFill="1" applyBorder="1" applyAlignment="1" applyProtection="1">
      <alignment horizontal="center" vertical="center" wrapText="1"/>
      <protection hidden="1"/>
    </xf>
    <xf numFmtId="164" fontId="6" fillId="5" borderId="79" xfId="0" applyNumberFormat="1" applyFont="1" applyFill="1" applyBorder="1" applyAlignment="1" applyProtection="1">
      <alignment horizontal="center" vertical="center" wrapText="1"/>
      <protection hidden="1"/>
    </xf>
    <xf numFmtId="164" fontId="6" fillId="5" borderId="6" xfId="0" applyNumberFormat="1" applyFont="1" applyFill="1" applyBorder="1" applyAlignment="1" applyProtection="1">
      <alignment horizontal="center" vertical="center" wrapText="1"/>
      <protection hidden="1"/>
    </xf>
    <xf numFmtId="15" fontId="6" fillId="0" borderId="22" xfId="0" applyNumberFormat="1" applyFont="1" applyBorder="1" applyAlignment="1">
      <alignment horizontal="center" wrapText="1"/>
    </xf>
    <xf numFmtId="15" fontId="6" fillId="0" borderId="32" xfId="0" applyNumberFormat="1" applyFont="1" applyBorder="1" applyAlignment="1">
      <alignment horizontal="center" wrapText="1"/>
    </xf>
    <xf numFmtId="15" fontId="6" fillId="0" borderId="57" xfId="0" applyNumberFormat="1" applyFont="1" applyBorder="1" applyAlignment="1">
      <alignment horizontal="center" wrapText="1"/>
    </xf>
    <xf numFmtId="15" fontId="6" fillId="0" borderId="81" xfId="0" applyNumberFormat="1" applyFont="1" applyBorder="1" applyAlignment="1">
      <alignment horizontal="center" wrapText="1"/>
    </xf>
    <xf numFmtId="15" fontId="6" fillId="0" borderId="82" xfId="0" applyNumberFormat="1" applyFont="1" applyBorder="1" applyAlignment="1">
      <alignment horizontal="center" wrapText="1"/>
    </xf>
    <xf numFmtId="15" fontId="6" fillId="0" borderId="61" xfId="0" applyNumberFormat="1" applyFont="1" applyBorder="1" applyAlignment="1">
      <alignment horizontal="center" wrapText="1"/>
    </xf>
    <xf numFmtId="164" fontId="6" fillId="7" borderId="79" xfId="0" applyNumberFormat="1" applyFont="1" applyFill="1" applyBorder="1" applyAlignment="1" applyProtection="1">
      <alignment horizontal="center" vertical="center" wrapText="1"/>
      <protection hidden="1"/>
    </xf>
    <xf numFmtId="165" fontId="6" fillId="0" borderId="6" xfId="0" applyNumberFormat="1" applyFont="1" applyBorder="1" applyAlignment="1" applyProtection="1">
      <alignment horizontal="center" vertical="center" wrapText="1"/>
      <protection locked="0"/>
    </xf>
    <xf numFmtId="10" fontId="6" fillId="0" borderId="6" xfId="0" applyNumberFormat="1" applyFont="1" applyBorder="1" applyAlignment="1" applyProtection="1">
      <alignment horizontal="center" vertical="center" wrapText="1"/>
      <protection locked="0"/>
    </xf>
    <xf numFmtId="0" fontId="6" fillId="0" borderId="89" xfId="0" applyFont="1" applyBorder="1" applyAlignment="1" applyProtection="1">
      <alignment horizontal="center" vertical="center" wrapText="1"/>
      <protection locked="0"/>
    </xf>
    <xf numFmtId="164" fontId="6" fillId="0" borderId="65" xfId="0" applyNumberFormat="1" applyFont="1" applyBorder="1" applyAlignment="1" applyProtection="1">
      <alignment horizontal="center" vertical="center" wrapText="1"/>
      <protection locked="0"/>
    </xf>
    <xf numFmtId="164" fontId="6" fillId="0" borderId="66" xfId="0" applyNumberFormat="1" applyFont="1" applyBorder="1" applyAlignment="1" applyProtection="1">
      <alignment horizontal="center" vertical="center" wrapText="1"/>
      <protection locked="0"/>
    </xf>
    <xf numFmtId="0" fontId="6" fillId="0" borderId="18" xfId="0" applyFont="1" applyBorder="1" applyAlignment="1" applyProtection="1">
      <alignment horizontal="center" vertical="center" wrapText="1"/>
      <protection locked="0"/>
    </xf>
    <xf numFmtId="164" fontId="6" fillId="0" borderId="67" xfId="0" applyNumberFormat="1" applyFont="1" applyBorder="1" applyAlignment="1" applyProtection="1">
      <alignment horizontal="center" vertical="center" wrapText="1"/>
      <protection locked="0"/>
    </xf>
    <xf numFmtId="164" fontId="6" fillId="0" borderId="68" xfId="0" applyNumberFormat="1" applyFont="1" applyBorder="1" applyAlignment="1" applyProtection="1">
      <alignment horizontal="center" vertical="center" wrapText="1"/>
      <protection locked="0"/>
    </xf>
    <xf numFmtId="164" fontId="6" fillId="0" borderId="69" xfId="0" applyNumberFormat="1" applyFont="1" applyBorder="1" applyAlignment="1" applyProtection="1">
      <alignment horizontal="center" vertical="center" wrapText="1"/>
      <protection locked="0"/>
    </xf>
    <xf numFmtId="164" fontId="6" fillId="0" borderId="95" xfId="0" applyNumberFormat="1" applyFont="1" applyBorder="1" applyAlignment="1" applyProtection="1">
      <alignment horizontal="center" vertical="center" wrapText="1"/>
      <protection locked="0"/>
    </xf>
    <xf numFmtId="15" fontId="6" fillId="0" borderId="95" xfId="0" applyNumberFormat="1" applyFont="1" applyBorder="1" applyAlignment="1">
      <alignment horizontal="center" wrapText="1"/>
    </xf>
    <xf numFmtId="15" fontId="6" fillId="0" borderId="8" xfId="0" applyNumberFormat="1" applyFont="1" applyBorder="1" applyAlignment="1">
      <alignment horizontal="center" wrapText="1"/>
    </xf>
    <xf numFmtId="15" fontId="6" fillId="0" borderId="93" xfId="0" applyNumberFormat="1" applyFont="1" applyBorder="1" applyAlignment="1">
      <alignment horizontal="center" wrapText="1"/>
    </xf>
    <xf numFmtId="15" fontId="6" fillId="0" borderId="98" xfId="0" applyNumberFormat="1" applyFont="1" applyBorder="1" applyAlignment="1">
      <alignment horizontal="center" wrapText="1"/>
    </xf>
    <xf numFmtId="15" fontId="6" fillId="0" borderId="29" xfId="0" applyNumberFormat="1" applyFont="1" applyBorder="1" applyAlignment="1">
      <alignment horizontal="center" wrapText="1"/>
    </xf>
    <xf numFmtId="0" fontId="6" fillId="0" borderId="93" xfId="0" applyFont="1" applyBorder="1" applyAlignment="1">
      <alignment horizontal="center" wrapText="1"/>
    </xf>
    <xf numFmtId="0" fontId="6" fillId="0" borderId="17" xfId="0" applyFont="1" applyBorder="1" applyAlignment="1">
      <alignment horizontal="center" wrapText="1"/>
    </xf>
    <xf numFmtId="0" fontId="6" fillId="0" borderId="98" xfId="0" applyFont="1" applyBorder="1" applyAlignment="1">
      <alignment horizontal="center" wrapText="1"/>
    </xf>
    <xf numFmtId="15" fontId="6" fillId="0" borderId="93" xfId="0" applyNumberFormat="1" applyFont="1" applyBorder="1" applyAlignment="1">
      <alignment horizontal="center" vertical="center" wrapText="1"/>
    </xf>
    <xf numFmtId="15" fontId="6" fillId="0" borderId="17" xfId="0" applyNumberFormat="1" applyFont="1" applyBorder="1" applyAlignment="1">
      <alignment horizontal="center" vertical="center" wrapText="1"/>
    </xf>
    <xf numFmtId="15" fontId="6" fillId="0" borderId="48" xfId="0" applyNumberFormat="1" applyFont="1" applyBorder="1" applyAlignment="1">
      <alignment horizontal="center" vertical="center" wrapText="1"/>
    </xf>
    <xf numFmtId="15" fontId="6" fillId="0" borderId="29" xfId="0" applyNumberFormat="1" applyFont="1" applyBorder="1" applyAlignment="1">
      <alignment horizontal="center" vertical="center" wrapText="1"/>
    </xf>
    <xf numFmtId="15" fontId="6" fillId="0" borderId="98" xfId="0" applyNumberFormat="1" applyFont="1" applyBorder="1" applyAlignment="1">
      <alignment horizontal="center" vertical="center" wrapText="1"/>
    </xf>
    <xf numFmtId="15" fontId="6" fillId="0" borderId="93" xfId="0" applyNumberFormat="1" applyFont="1" applyBorder="1" applyAlignment="1">
      <alignment horizontal="center" vertical="top" wrapText="1"/>
    </xf>
    <xf numFmtId="15" fontId="6" fillId="0" borderId="17" xfId="0" applyNumberFormat="1" applyFont="1" applyBorder="1" applyAlignment="1">
      <alignment horizontal="center" vertical="top" wrapText="1"/>
    </xf>
    <xf numFmtId="15" fontId="6" fillId="0" borderId="98" xfId="0" applyNumberFormat="1" applyFont="1" applyBorder="1" applyAlignment="1">
      <alignment horizontal="center" vertical="top" wrapText="1"/>
    </xf>
    <xf numFmtId="15" fontId="6" fillId="0" borderId="48" xfId="0" applyNumberFormat="1" applyFont="1" applyBorder="1" applyAlignment="1">
      <alignment horizontal="center" vertical="top" wrapText="1"/>
    </xf>
    <xf numFmtId="15" fontId="6" fillId="0" borderId="29" xfId="0" applyNumberFormat="1" applyFont="1" applyBorder="1" applyAlignment="1">
      <alignment horizontal="center" vertical="top" wrapText="1"/>
    </xf>
    <xf numFmtId="15" fontId="6" fillId="0" borderId="100" xfId="0" applyNumberFormat="1" applyFont="1" applyBorder="1" applyAlignment="1">
      <alignment horizontal="center" vertical="center" wrapText="1"/>
    </xf>
    <xf numFmtId="15" fontId="6" fillId="0" borderId="14" xfId="0" applyNumberFormat="1" applyFont="1" applyBorder="1" applyAlignment="1">
      <alignment horizontal="center" vertical="center" wrapText="1"/>
    </xf>
    <xf numFmtId="15" fontId="6" fillId="0" borderId="101" xfId="0" applyNumberFormat="1" applyFont="1" applyBorder="1" applyAlignment="1">
      <alignment horizontal="center" vertical="center" wrapText="1"/>
    </xf>
    <xf numFmtId="15" fontId="6" fillId="0" borderId="100" xfId="0" applyNumberFormat="1" applyFont="1" applyBorder="1" applyAlignment="1">
      <alignment horizontal="center" wrapText="1"/>
    </xf>
    <xf numFmtId="15" fontId="6" fillId="0" borderId="14" xfId="0" applyNumberFormat="1" applyFont="1" applyBorder="1" applyAlignment="1">
      <alignment horizontal="center" wrapText="1"/>
    </xf>
    <xf numFmtId="15" fontId="6" fillId="0" borderId="101" xfId="0" applyNumberFormat="1" applyFont="1" applyBorder="1" applyAlignment="1">
      <alignment horizontal="center" wrapText="1"/>
    </xf>
    <xf numFmtId="15" fontId="6" fillId="0" borderId="60" xfId="0" applyNumberFormat="1" applyFont="1" applyBorder="1" applyAlignment="1">
      <alignment horizontal="center" vertical="center" wrapText="1"/>
    </xf>
    <xf numFmtId="15" fontId="6" fillId="0" borderId="92" xfId="0" applyNumberFormat="1" applyFont="1" applyBorder="1" applyAlignment="1">
      <alignment horizontal="center" vertical="center" wrapText="1"/>
    </xf>
    <xf numFmtId="15" fontId="6" fillId="0" borderId="0" xfId="0" applyNumberFormat="1" applyFont="1" applyAlignment="1">
      <alignment horizontal="center" vertical="center" wrapText="1"/>
    </xf>
    <xf numFmtId="0" fontId="6" fillId="7" borderId="6" xfId="0" applyFont="1" applyFill="1" applyBorder="1" applyAlignment="1" applyProtection="1">
      <alignment horizontal="left" vertical="top" wrapText="1"/>
      <protection locked="0"/>
    </xf>
    <xf numFmtId="0" fontId="5" fillId="6" borderId="4" xfId="0" applyFont="1" applyFill="1" applyBorder="1" applyAlignment="1" applyProtection="1">
      <alignment horizontal="center" vertical="center" wrapText="1"/>
      <protection locked="0"/>
    </xf>
    <xf numFmtId="49" fontId="5" fillId="6" borderId="4" xfId="0" applyNumberFormat="1" applyFont="1" applyFill="1" applyBorder="1" applyAlignment="1" applyProtection="1">
      <alignment horizontal="left" vertical="center" wrapText="1"/>
      <protection locked="0"/>
    </xf>
    <xf numFmtId="165" fontId="5" fillId="6" borderId="17" xfId="0" applyNumberFormat="1" applyFont="1" applyFill="1" applyBorder="1" applyAlignment="1" applyProtection="1">
      <alignment horizontal="center" vertical="center" wrapText="1"/>
      <protection locked="0"/>
    </xf>
    <xf numFmtId="10" fontId="5" fillId="6" borderId="4" xfId="0" applyNumberFormat="1" applyFont="1" applyFill="1" applyBorder="1" applyAlignment="1" applyProtection="1">
      <alignment horizontal="center" vertical="center" wrapText="1"/>
      <protection locked="0"/>
    </xf>
    <xf numFmtId="0" fontId="5" fillId="6" borderId="29" xfId="0" applyFont="1" applyFill="1" applyBorder="1" applyAlignment="1" applyProtection="1">
      <alignment horizontal="center" vertical="center" wrapText="1"/>
      <protection locked="0"/>
    </xf>
    <xf numFmtId="0" fontId="5" fillId="6" borderId="91" xfId="0" applyFont="1" applyFill="1" applyBorder="1" applyAlignment="1" applyProtection="1">
      <alignment horizontal="center" vertical="center" wrapText="1"/>
      <protection locked="0"/>
    </xf>
    <xf numFmtId="164" fontId="5" fillId="6" borderId="93" xfId="0" applyNumberFormat="1" applyFont="1" applyFill="1" applyBorder="1" applyAlignment="1" applyProtection="1">
      <alignment horizontal="center" vertical="center" wrapText="1"/>
      <protection locked="0"/>
    </xf>
    <xf numFmtId="164" fontId="5" fillId="6" borderId="4" xfId="0" applyNumberFormat="1" applyFont="1" applyFill="1" applyBorder="1" applyAlignment="1" applyProtection="1">
      <alignment horizontal="center" vertical="center" wrapText="1"/>
      <protection locked="0"/>
    </xf>
    <xf numFmtId="164" fontId="5" fillId="6" borderId="94" xfId="0" applyNumberFormat="1" applyFont="1" applyFill="1" applyBorder="1" applyAlignment="1" applyProtection="1">
      <alignment horizontal="center" vertical="center" wrapText="1"/>
      <protection locked="0"/>
    </xf>
    <xf numFmtId="164" fontId="5" fillId="6" borderId="12" xfId="0" applyNumberFormat="1" applyFont="1" applyFill="1" applyBorder="1" applyAlignment="1" applyProtection="1">
      <alignment horizontal="center" vertical="center" wrapText="1"/>
      <protection locked="0"/>
    </xf>
    <xf numFmtId="164" fontId="5" fillId="6" borderId="16" xfId="0" applyNumberFormat="1" applyFont="1" applyFill="1" applyBorder="1" applyAlignment="1" applyProtection="1">
      <alignment horizontal="center" vertical="center" wrapText="1"/>
      <protection locked="0"/>
    </xf>
    <xf numFmtId="164" fontId="5" fillId="6" borderId="17" xfId="0" applyNumberFormat="1" applyFont="1" applyFill="1" applyBorder="1" applyAlignment="1" applyProtection="1">
      <alignment horizontal="center" vertical="center" wrapText="1"/>
      <protection locked="0"/>
    </xf>
    <xf numFmtId="164" fontId="5" fillId="6" borderId="24" xfId="0" applyNumberFormat="1" applyFont="1" applyFill="1" applyBorder="1" applyAlignment="1" applyProtection="1">
      <alignment horizontal="center" vertical="center" wrapText="1"/>
      <protection locked="0"/>
    </xf>
    <xf numFmtId="164" fontId="5" fillId="6" borderId="6" xfId="0" applyNumberFormat="1" applyFont="1" applyFill="1" applyBorder="1" applyAlignment="1" applyProtection="1">
      <alignment horizontal="center" vertical="center" wrapText="1"/>
      <protection locked="0"/>
    </xf>
    <xf numFmtId="0" fontId="22" fillId="0" borderId="0" xfId="0" applyFont="1"/>
    <xf numFmtId="0" fontId="5" fillId="6" borderId="1" xfId="0" applyFont="1" applyFill="1" applyBorder="1" applyAlignment="1" applyProtection="1">
      <alignment horizontal="center" vertical="center" wrapText="1"/>
      <protection locked="0"/>
    </xf>
    <xf numFmtId="49" fontId="5" fillId="6" borderId="1" xfId="0" applyNumberFormat="1" applyFont="1" applyFill="1" applyBorder="1" applyAlignment="1" applyProtection="1">
      <alignment horizontal="left" vertical="center" wrapText="1"/>
      <protection locked="0"/>
    </xf>
    <xf numFmtId="165" fontId="5" fillId="6" borderId="14" xfId="0" applyNumberFormat="1" applyFont="1" applyFill="1" applyBorder="1" applyAlignment="1" applyProtection="1">
      <alignment horizontal="center" vertical="center" wrapText="1"/>
      <protection locked="0"/>
    </xf>
    <xf numFmtId="10" fontId="5" fillId="6" borderId="1" xfId="0" applyNumberFormat="1" applyFont="1" applyFill="1" applyBorder="1" applyAlignment="1" applyProtection="1">
      <alignment horizontal="center" vertical="center" wrapText="1"/>
      <protection locked="0"/>
    </xf>
    <xf numFmtId="0" fontId="5" fillId="6" borderId="28" xfId="0" applyFont="1" applyFill="1" applyBorder="1" applyAlignment="1" applyProtection="1">
      <alignment horizontal="center" vertical="center" wrapText="1"/>
      <protection locked="0"/>
    </xf>
    <xf numFmtId="0" fontId="5" fillId="6" borderId="90" xfId="0" applyFont="1" applyFill="1" applyBorder="1" applyAlignment="1" applyProtection="1">
      <alignment horizontal="center" vertical="center" wrapText="1"/>
      <protection locked="0"/>
    </xf>
    <xf numFmtId="164" fontId="5" fillId="6" borderId="13" xfId="0" applyNumberFormat="1" applyFont="1" applyFill="1" applyBorder="1" applyAlignment="1" applyProtection="1">
      <alignment horizontal="center" vertical="center" wrapText="1"/>
      <protection locked="0"/>
    </xf>
    <xf numFmtId="164" fontId="5" fillId="6" borderId="1" xfId="0" applyNumberFormat="1" applyFont="1" applyFill="1" applyBorder="1" applyAlignment="1" applyProtection="1">
      <alignment horizontal="center" vertical="center" wrapText="1"/>
      <protection locked="0"/>
    </xf>
    <xf numFmtId="164" fontId="5" fillId="6" borderId="23" xfId="0" applyNumberFormat="1" applyFont="1" applyFill="1" applyBorder="1" applyAlignment="1" applyProtection="1">
      <alignment horizontal="center" vertical="center" wrapText="1"/>
      <protection locked="0"/>
    </xf>
    <xf numFmtId="164" fontId="5" fillId="6" borderId="15" xfId="0" applyNumberFormat="1" applyFont="1" applyFill="1" applyBorder="1" applyAlignment="1" applyProtection="1">
      <alignment horizontal="center" vertical="center" wrapText="1"/>
      <protection locked="0"/>
    </xf>
    <xf numFmtId="164" fontId="5" fillId="6" borderId="14" xfId="0" applyNumberFormat="1" applyFont="1" applyFill="1" applyBorder="1" applyAlignment="1" applyProtection="1">
      <alignment horizontal="center" vertical="center" wrapText="1"/>
      <protection locked="0"/>
    </xf>
    <xf numFmtId="0" fontId="5" fillId="6" borderId="6" xfId="0" applyFont="1" applyFill="1" applyBorder="1" applyAlignment="1" applyProtection="1">
      <alignment horizontal="center" vertical="center" wrapText="1"/>
      <protection locked="0"/>
    </xf>
    <xf numFmtId="49" fontId="5" fillId="6" borderId="6" xfId="0" applyNumberFormat="1" applyFont="1" applyFill="1" applyBorder="1" applyAlignment="1" applyProtection="1">
      <alignment horizontal="left" vertical="center" wrapText="1"/>
      <protection locked="0"/>
    </xf>
    <xf numFmtId="165" fontId="5" fillId="6" borderId="8" xfId="0" applyNumberFormat="1" applyFont="1" applyFill="1" applyBorder="1" applyAlignment="1" applyProtection="1">
      <alignment horizontal="center" vertical="center" wrapText="1"/>
      <protection locked="0"/>
    </xf>
    <xf numFmtId="9" fontId="5" fillId="6" borderId="6" xfId="0" applyNumberFormat="1" applyFont="1" applyFill="1" applyBorder="1" applyAlignment="1" applyProtection="1">
      <alignment horizontal="center" vertical="center" wrapText="1"/>
      <protection locked="0"/>
    </xf>
    <xf numFmtId="0" fontId="5" fillId="6" borderId="18" xfId="0" applyFont="1" applyFill="1" applyBorder="1" applyAlignment="1" applyProtection="1">
      <alignment horizontal="center" vertical="center" wrapText="1"/>
      <protection locked="0"/>
    </xf>
    <xf numFmtId="0" fontId="5" fillId="6" borderId="89" xfId="0" applyFont="1" applyFill="1" applyBorder="1" applyAlignment="1" applyProtection="1">
      <alignment horizontal="center" vertical="center" wrapText="1"/>
      <protection locked="0"/>
    </xf>
    <xf numFmtId="164" fontId="5" fillId="6" borderId="22" xfId="0" applyNumberFormat="1" applyFont="1" applyFill="1" applyBorder="1" applyAlignment="1" applyProtection="1">
      <alignment horizontal="center" vertical="center" wrapText="1"/>
      <protection locked="0"/>
    </xf>
    <xf numFmtId="164" fontId="5" fillId="6" borderId="20" xfId="0" applyNumberFormat="1" applyFont="1" applyFill="1" applyBorder="1" applyAlignment="1" applyProtection="1">
      <alignment horizontal="center" vertical="center" wrapText="1"/>
      <protection locked="0"/>
    </xf>
    <xf numFmtId="164" fontId="5" fillId="6" borderId="31" xfId="0" applyNumberFormat="1" applyFont="1" applyFill="1" applyBorder="1" applyAlignment="1" applyProtection="1">
      <alignment horizontal="center" vertical="center" wrapText="1"/>
      <protection locked="0"/>
    </xf>
    <xf numFmtId="164" fontId="5" fillId="6" borderId="5" xfId="0" applyNumberFormat="1" applyFont="1" applyFill="1" applyBorder="1" applyAlignment="1" applyProtection="1">
      <alignment horizontal="center" vertical="center" wrapText="1"/>
      <protection locked="0"/>
    </xf>
    <xf numFmtId="164" fontId="5" fillId="6" borderId="7" xfId="0" applyNumberFormat="1" applyFont="1" applyFill="1" applyBorder="1" applyAlignment="1" applyProtection="1">
      <alignment horizontal="center" vertical="center" wrapText="1"/>
      <protection locked="0"/>
    </xf>
    <xf numFmtId="164" fontId="5" fillId="6" borderId="8" xfId="0" applyNumberFormat="1" applyFont="1" applyFill="1" applyBorder="1" applyAlignment="1" applyProtection="1">
      <alignment horizontal="center" vertical="center" wrapText="1"/>
      <protection locked="0"/>
    </xf>
    <xf numFmtId="164" fontId="5" fillId="6" borderId="11" xfId="0" applyNumberFormat="1" applyFont="1" applyFill="1" applyBorder="1" applyAlignment="1" applyProtection="1">
      <alignment horizontal="center" vertical="center" wrapText="1"/>
      <protection locked="0"/>
    </xf>
    <xf numFmtId="10" fontId="5" fillId="6" borderId="6" xfId="0" applyNumberFormat="1" applyFont="1" applyFill="1" applyBorder="1" applyAlignment="1" applyProtection="1">
      <alignment horizontal="center" vertical="center" wrapText="1"/>
      <protection locked="0"/>
    </xf>
    <xf numFmtId="164" fontId="5" fillId="6" borderId="27" xfId="0" applyNumberFormat="1" applyFont="1" applyFill="1" applyBorder="1" applyAlignment="1" applyProtection="1">
      <alignment horizontal="center" vertical="center" wrapText="1"/>
      <protection locked="0"/>
    </xf>
    <xf numFmtId="164" fontId="5" fillId="6" borderId="33" xfId="0" applyNumberFormat="1" applyFont="1" applyFill="1" applyBorder="1" applyAlignment="1" applyProtection="1">
      <alignment horizontal="center" vertical="center" wrapText="1"/>
      <protection locked="0"/>
    </xf>
    <xf numFmtId="164" fontId="5" fillId="6" borderId="25" xfId="0" applyNumberFormat="1" applyFont="1" applyFill="1" applyBorder="1" applyAlignment="1" applyProtection="1">
      <alignment horizontal="center" vertical="center" wrapText="1"/>
      <protection locked="0"/>
    </xf>
    <xf numFmtId="164" fontId="5" fillId="6" borderId="59" xfId="0" applyNumberFormat="1" applyFont="1" applyFill="1" applyBorder="1" applyAlignment="1" applyProtection="1">
      <alignment horizontal="center" vertical="center" wrapText="1"/>
      <protection locked="0"/>
    </xf>
    <xf numFmtId="165" fontId="5" fillId="6" borderId="6" xfId="0" applyNumberFormat="1" applyFont="1" applyFill="1" applyBorder="1" applyAlignment="1" applyProtection="1">
      <alignment horizontal="center" vertical="center" wrapText="1"/>
      <protection locked="0"/>
    </xf>
    <xf numFmtId="164" fontId="5" fillId="6" borderId="60" xfId="0" applyNumberFormat="1" applyFont="1" applyFill="1" applyBorder="1" applyAlignment="1" applyProtection="1">
      <alignment horizontal="center" vertical="center" wrapText="1"/>
      <protection locked="0"/>
    </xf>
    <xf numFmtId="49" fontId="3" fillId="7" borderId="0" xfId="0" applyNumberFormat="1" applyFont="1" applyFill="1" applyAlignment="1" applyProtection="1">
      <alignment horizontal="center" vertical="center" wrapText="1"/>
      <protection locked="0"/>
    </xf>
    <xf numFmtId="0" fontId="3" fillId="0" borderId="0" xfId="0" applyFont="1" applyAlignment="1" applyProtection="1">
      <alignment horizontal="center" vertical="center" wrapText="1"/>
      <protection locked="0"/>
    </xf>
    <xf numFmtId="0" fontId="3" fillId="8" borderId="6" xfId="0" applyFont="1" applyFill="1" applyBorder="1" applyAlignment="1" applyProtection="1">
      <alignment horizontal="center" vertical="center" wrapText="1"/>
      <protection locked="0"/>
    </xf>
    <xf numFmtId="0" fontId="7" fillId="0" borderId="29" xfId="0" applyFont="1" applyBorder="1" applyAlignment="1">
      <alignment horizontal="center" vertical="center" wrapText="1"/>
    </xf>
    <xf numFmtId="0" fontId="7" fillId="0" borderId="0" xfId="0" applyFont="1" applyAlignment="1">
      <alignment horizontal="center" vertical="center"/>
    </xf>
    <xf numFmtId="0" fontId="19" fillId="0" borderId="6" xfId="0" applyFont="1" applyBorder="1" applyAlignment="1">
      <alignment horizontal="center" vertical="center" wrapText="1"/>
    </xf>
    <xf numFmtId="0" fontId="19" fillId="0" borderId="0" xfId="0" applyFont="1" applyAlignment="1">
      <alignment horizontal="center" vertical="center" wrapText="1"/>
    </xf>
    <xf numFmtId="164" fontId="6" fillId="7" borderId="6" xfId="0" quotePrefix="1" applyNumberFormat="1" applyFont="1" applyFill="1" applyBorder="1" applyAlignment="1" applyProtection="1">
      <alignment horizontal="left" vertical="top" wrapText="1"/>
      <protection locked="0"/>
    </xf>
    <xf numFmtId="0" fontId="7" fillId="10" borderId="6" xfId="0" applyFont="1" applyFill="1" applyBorder="1" applyAlignment="1">
      <alignment horizontal="left" vertical="center" wrapText="1"/>
    </xf>
    <xf numFmtId="164" fontId="6" fillId="17" borderId="6" xfId="0" applyNumberFormat="1" applyFont="1" applyFill="1" applyBorder="1" applyAlignment="1" applyProtection="1">
      <alignment horizontal="center" vertical="center" wrapText="1"/>
      <protection locked="0"/>
    </xf>
    <xf numFmtId="165" fontId="6" fillId="8" borderId="6" xfId="0" applyNumberFormat="1" applyFont="1" applyFill="1" applyBorder="1" applyAlignment="1" applyProtection="1">
      <alignment horizontal="center" vertical="center" wrapText="1"/>
      <protection locked="0"/>
    </xf>
    <xf numFmtId="164" fontId="6" fillId="0" borderId="6" xfId="0" applyNumberFormat="1" applyFont="1" applyBorder="1" applyAlignment="1" applyProtection="1">
      <alignment horizontal="center" vertical="center" wrapText="1"/>
      <protection hidden="1"/>
    </xf>
    <xf numFmtId="0" fontId="6" fillId="0" borderId="18" xfId="0" applyFont="1" applyBorder="1" applyAlignment="1">
      <alignment wrapText="1"/>
    </xf>
    <xf numFmtId="0" fontId="6" fillId="0" borderId="29" xfId="0" applyFont="1" applyBorder="1" applyAlignment="1">
      <alignment vertical="center" wrapText="1"/>
    </xf>
    <xf numFmtId="0" fontId="6" fillId="0" borderId="29" xfId="0" applyFont="1" applyBorder="1" applyAlignment="1">
      <alignment wrapText="1"/>
    </xf>
    <xf numFmtId="0" fontId="6" fillId="0" borderId="29" xfId="0" applyFont="1" applyBorder="1" applyAlignment="1">
      <alignment vertical="top" wrapText="1"/>
    </xf>
    <xf numFmtId="0" fontId="6" fillId="0" borderId="29" xfId="0" applyFont="1" applyBorder="1" applyAlignment="1">
      <alignment horizontal="center" vertical="center" wrapText="1"/>
    </xf>
    <xf numFmtId="0" fontId="6" fillId="0" borderId="0" xfId="0" applyFont="1" applyAlignment="1">
      <alignment horizontal="left" vertical="center" wrapText="1"/>
    </xf>
    <xf numFmtId="0" fontId="6" fillId="0" borderId="26" xfId="0" applyFont="1" applyBorder="1" applyAlignment="1">
      <alignment horizontal="left" vertical="center" wrapText="1"/>
    </xf>
    <xf numFmtId="0" fontId="6" fillId="0" borderId="29" xfId="0" applyFont="1" applyBorder="1" applyAlignment="1">
      <alignment horizontal="left" vertical="center" wrapText="1"/>
    </xf>
    <xf numFmtId="164" fontId="26" fillId="7" borderId="66" xfId="0" applyNumberFormat="1" applyFont="1" applyFill="1" applyBorder="1" applyAlignment="1" applyProtection="1">
      <alignment horizontal="center" vertical="center" wrapText="1"/>
      <protection locked="0"/>
    </xf>
    <xf numFmtId="164" fontId="6" fillId="5" borderId="64" xfId="0" applyNumberFormat="1" applyFont="1" applyFill="1" applyBorder="1" applyAlignment="1" applyProtection="1">
      <alignment horizontal="center" vertical="center" wrapText="1"/>
      <protection locked="0"/>
    </xf>
    <xf numFmtId="164" fontId="6" fillId="5" borderId="66" xfId="0" applyNumberFormat="1" applyFont="1" applyFill="1" applyBorder="1" applyAlignment="1" applyProtection="1">
      <alignment horizontal="center" vertical="center" wrapText="1"/>
      <protection locked="0"/>
    </xf>
    <xf numFmtId="164" fontId="6" fillId="5" borderId="96" xfId="0" applyNumberFormat="1" applyFont="1" applyFill="1" applyBorder="1" applyAlignment="1" applyProtection="1">
      <alignment horizontal="center" vertical="center" wrapText="1"/>
      <protection locked="0"/>
    </xf>
    <xf numFmtId="15" fontId="6" fillId="5" borderId="97" xfId="0" applyNumberFormat="1" applyFont="1" applyFill="1" applyBorder="1" applyAlignment="1">
      <alignment horizontal="center" wrapText="1"/>
    </xf>
    <xf numFmtId="15" fontId="6" fillId="5" borderId="98" xfId="0" applyNumberFormat="1" applyFont="1" applyFill="1" applyBorder="1" applyAlignment="1">
      <alignment horizontal="center" wrapText="1"/>
    </xf>
    <xf numFmtId="15" fontId="6" fillId="5" borderId="30" xfId="0" applyNumberFormat="1" applyFont="1" applyFill="1" applyBorder="1" applyAlignment="1">
      <alignment horizontal="center" wrapText="1"/>
    </xf>
    <xf numFmtId="15" fontId="6" fillId="5" borderId="48" xfId="0" applyNumberFormat="1" applyFont="1" applyFill="1" applyBorder="1" applyAlignment="1">
      <alignment horizontal="center" wrapText="1"/>
    </xf>
    <xf numFmtId="15" fontId="6" fillId="5" borderId="29" xfId="0" applyNumberFormat="1" applyFont="1" applyFill="1" applyBorder="1" applyAlignment="1">
      <alignment horizontal="center" wrapText="1"/>
    </xf>
    <xf numFmtId="15" fontId="6" fillId="5" borderId="17" xfId="0" applyNumberFormat="1" applyFont="1" applyFill="1" applyBorder="1" applyAlignment="1">
      <alignment horizontal="center" wrapText="1"/>
    </xf>
    <xf numFmtId="164" fontId="6" fillId="5" borderId="18" xfId="0" applyNumberFormat="1" applyFont="1" applyFill="1" applyBorder="1" applyAlignment="1" applyProtection="1">
      <alignment horizontal="center" vertical="center" wrapText="1"/>
      <protection locked="0"/>
    </xf>
    <xf numFmtId="49" fontId="6" fillId="8" borderId="6" xfId="0" applyNumberFormat="1" applyFont="1" applyFill="1" applyBorder="1" applyAlignment="1" applyProtection="1">
      <alignment horizontal="left" vertical="center" wrapText="1"/>
      <protection locked="0"/>
    </xf>
    <xf numFmtId="15" fontId="6" fillId="0" borderId="28" xfId="0" applyNumberFormat="1" applyFont="1" applyBorder="1" applyAlignment="1">
      <alignment horizontal="center" vertical="center" wrapText="1"/>
    </xf>
    <xf numFmtId="15" fontId="6" fillId="0" borderId="26" xfId="0" applyNumberFormat="1" applyFont="1" applyBorder="1" applyAlignment="1">
      <alignment horizontal="center" vertical="center" wrapText="1"/>
    </xf>
    <xf numFmtId="15" fontId="6" fillId="10" borderId="8" xfId="0" applyNumberFormat="1" applyFont="1" applyFill="1" applyBorder="1" applyAlignment="1">
      <alignment horizontal="center" vertical="center" wrapText="1" indent="2"/>
    </xf>
    <xf numFmtId="0" fontId="6" fillId="10" borderId="6" xfId="0" applyFont="1" applyFill="1" applyBorder="1" applyAlignment="1">
      <alignment horizontal="center" vertical="center" wrapText="1"/>
    </xf>
    <xf numFmtId="0" fontId="6" fillId="10" borderId="8" xfId="0" applyFont="1" applyFill="1" applyBorder="1" applyAlignment="1">
      <alignment horizontal="center" vertical="center" wrapText="1"/>
    </xf>
    <xf numFmtId="0" fontId="6" fillId="10" borderId="18" xfId="0" applyFont="1" applyFill="1" applyBorder="1" applyAlignment="1">
      <alignment horizontal="center" vertical="center" wrapText="1"/>
    </xf>
    <xf numFmtId="15" fontId="6" fillId="0" borderId="99" xfId="0" applyNumberFormat="1" applyFont="1" applyBorder="1" applyAlignment="1">
      <alignment horizontal="center" vertical="center" wrapText="1"/>
    </xf>
    <xf numFmtId="15" fontId="6" fillId="0" borderId="74" xfId="0" applyNumberFormat="1" applyFont="1" applyBorder="1" applyAlignment="1">
      <alignment horizontal="center" vertical="center" wrapText="1"/>
    </xf>
    <xf numFmtId="15" fontId="6" fillId="8" borderId="98" xfId="0" applyNumberFormat="1" applyFont="1" applyFill="1" applyBorder="1" applyAlignment="1">
      <alignment horizontal="center" vertical="center" wrapText="1"/>
    </xf>
    <xf numFmtId="15" fontId="6" fillId="8" borderId="48" xfId="0" applyNumberFormat="1" applyFont="1" applyFill="1" applyBorder="1" applyAlignment="1">
      <alignment horizontal="center" vertical="center" wrapText="1"/>
    </xf>
    <xf numFmtId="15" fontId="6" fillId="8" borderId="29" xfId="0" applyNumberFormat="1" applyFont="1" applyFill="1" applyBorder="1" applyAlignment="1">
      <alignment horizontal="center" vertical="center" wrapText="1"/>
    </xf>
    <xf numFmtId="15" fontId="6" fillId="5" borderId="17" xfId="0" applyNumberFormat="1" applyFont="1" applyFill="1" applyBorder="1" applyAlignment="1">
      <alignment horizontal="center" vertical="center" wrapText="1"/>
    </xf>
    <xf numFmtId="164" fontId="6" fillId="0" borderId="96" xfId="0" applyNumberFormat="1" applyFont="1" applyBorder="1" applyAlignment="1" applyProtection="1">
      <alignment horizontal="center" vertical="center" wrapText="1"/>
      <protection locked="0"/>
    </xf>
    <xf numFmtId="15" fontId="6" fillId="0" borderId="102" xfId="0" applyNumberFormat="1" applyFont="1" applyBorder="1" applyAlignment="1">
      <alignment horizontal="center" vertical="center" wrapText="1"/>
    </xf>
    <xf numFmtId="15" fontId="6" fillId="0" borderId="6" xfId="0" applyNumberFormat="1" applyFont="1" applyBorder="1" applyAlignment="1">
      <alignment horizontal="center" vertical="center" wrapText="1"/>
    </xf>
    <xf numFmtId="15" fontId="6" fillId="0" borderId="97" xfId="0" applyNumberFormat="1" applyFont="1" applyBorder="1" applyAlignment="1">
      <alignment horizontal="center" vertical="center" wrapText="1"/>
    </xf>
    <xf numFmtId="15" fontId="6" fillId="0" borderId="8" xfId="0" applyNumberFormat="1" applyFont="1" applyBorder="1" applyAlignment="1">
      <alignment horizontal="center" vertical="center" wrapText="1"/>
    </xf>
    <xf numFmtId="0" fontId="29" fillId="0" borderId="0" xfId="0" applyFont="1"/>
    <xf numFmtId="0" fontId="29" fillId="0" borderId="0" xfId="0" applyFont="1" applyAlignment="1">
      <alignment vertical="center"/>
    </xf>
    <xf numFmtId="164" fontId="0" fillId="0" borderId="0" xfId="0" applyNumberFormat="1"/>
    <xf numFmtId="9" fontId="0" fillId="0" borderId="0" xfId="1" applyFont="1"/>
    <xf numFmtId="0" fontId="6" fillId="8" borderId="26" xfId="0" applyFont="1" applyFill="1" applyBorder="1" applyAlignment="1" applyProtection="1">
      <alignment horizontal="center" vertical="center" wrapText="1"/>
      <protection locked="0"/>
    </xf>
    <xf numFmtId="49" fontId="6" fillId="8" borderId="26" xfId="0" applyNumberFormat="1" applyFont="1" applyFill="1" applyBorder="1" applyAlignment="1" applyProtection="1">
      <alignment horizontal="left" vertical="center" wrapText="1"/>
      <protection locked="0"/>
    </xf>
    <xf numFmtId="0" fontId="6" fillId="8" borderId="26" xfId="0" applyFont="1" applyFill="1" applyBorder="1" applyAlignment="1" applyProtection="1">
      <alignment horizontal="left" vertical="center" wrapText="1"/>
      <protection locked="0"/>
    </xf>
    <xf numFmtId="165" fontId="6" fillId="8" borderId="26" xfId="0" applyNumberFormat="1" applyFont="1" applyFill="1" applyBorder="1" applyAlignment="1" applyProtection="1">
      <alignment horizontal="center" vertical="center" wrapText="1"/>
      <protection locked="0"/>
    </xf>
    <xf numFmtId="10" fontId="6" fillId="8" borderId="26" xfId="0" applyNumberFormat="1" applyFont="1" applyFill="1" applyBorder="1" applyAlignment="1" applyProtection="1">
      <alignment horizontal="center" vertical="center" wrapText="1"/>
      <protection locked="0"/>
    </xf>
    <xf numFmtId="164" fontId="6" fillId="8" borderId="65" xfId="0" applyNumberFormat="1" applyFont="1" applyFill="1" applyBorder="1" applyAlignment="1" applyProtection="1">
      <alignment horizontal="center" vertical="center" wrapText="1"/>
      <protection locked="0"/>
    </xf>
    <xf numFmtId="164" fontId="6" fillId="8" borderId="26" xfId="0" applyNumberFormat="1" applyFont="1" applyFill="1" applyBorder="1" applyAlignment="1" applyProtection="1">
      <alignment horizontal="center" vertical="center" wrapText="1"/>
      <protection locked="0"/>
    </xf>
    <xf numFmtId="164" fontId="6" fillId="8" borderId="66" xfId="0" applyNumberFormat="1" applyFont="1" applyFill="1" applyBorder="1" applyAlignment="1" applyProtection="1">
      <alignment horizontal="center" vertical="center" wrapText="1"/>
      <protection locked="0"/>
    </xf>
    <xf numFmtId="164" fontId="6" fillId="8" borderId="6" xfId="0" applyNumberFormat="1" applyFont="1" applyFill="1" applyBorder="1" applyAlignment="1" applyProtection="1">
      <alignment horizontal="center" vertical="center" wrapText="1"/>
      <protection locked="0"/>
    </xf>
    <xf numFmtId="15" fontId="6" fillId="0" borderId="18" xfId="0" applyNumberFormat="1" applyFont="1" applyBorder="1" applyAlignment="1">
      <alignment horizontal="center" wrapText="1"/>
    </xf>
    <xf numFmtId="2" fontId="0" fillId="0" borderId="0" xfId="0" applyNumberFormat="1" applyAlignment="1">
      <alignment horizontal="center"/>
    </xf>
    <xf numFmtId="15" fontId="6" fillId="0" borderId="104" xfId="0" applyNumberFormat="1" applyFont="1" applyBorder="1" applyAlignment="1">
      <alignment horizontal="center" vertical="center" wrapText="1"/>
    </xf>
    <xf numFmtId="0" fontId="6" fillId="7" borderId="23" xfId="0" applyFont="1" applyFill="1" applyBorder="1" applyAlignment="1" applyProtection="1">
      <alignment horizontal="center" vertical="center" wrapText="1"/>
      <protection locked="0"/>
    </xf>
    <xf numFmtId="0" fontId="6" fillId="7" borderId="24" xfId="0" applyFont="1" applyFill="1" applyBorder="1" applyAlignment="1" applyProtection="1">
      <alignment horizontal="center" vertical="center" wrapText="1"/>
      <protection locked="0"/>
    </xf>
    <xf numFmtId="0" fontId="6" fillId="10" borderId="26" xfId="0" applyFont="1" applyFill="1" applyBorder="1" applyAlignment="1">
      <alignment horizontal="center" vertical="center" wrapText="1"/>
    </xf>
    <xf numFmtId="15" fontId="6" fillId="7" borderId="24" xfId="0" applyNumberFormat="1" applyFont="1" applyFill="1" applyBorder="1" applyAlignment="1" applyProtection="1">
      <alignment horizontal="center" vertical="center" wrapText="1"/>
      <protection locked="0"/>
    </xf>
    <xf numFmtId="15" fontId="6" fillId="0" borderId="26" xfId="0" applyNumberFormat="1" applyFont="1" applyBorder="1" applyAlignment="1">
      <alignment horizontal="center" wrapText="1"/>
    </xf>
    <xf numFmtId="0" fontId="6" fillId="7" borderId="23" xfId="0" applyFont="1" applyFill="1" applyBorder="1" applyAlignment="1" applyProtection="1">
      <alignment vertical="center" wrapText="1"/>
      <protection locked="0"/>
    </xf>
    <xf numFmtId="0" fontId="7" fillId="0" borderId="6" xfId="0" applyFont="1" applyBorder="1" applyAlignment="1" applyProtection="1">
      <alignment horizontal="center" vertical="center" wrapText="1"/>
      <protection locked="0"/>
    </xf>
    <xf numFmtId="164" fontId="31" fillId="7" borderId="6" xfId="0" applyNumberFormat="1" applyFont="1" applyFill="1" applyBorder="1" applyAlignment="1" applyProtection="1">
      <alignment horizontal="center" vertical="center" wrapText="1"/>
      <protection locked="0"/>
    </xf>
    <xf numFmtId="0" fontId="6" fillId="7" borderId="90" xfId="0" applyFont="1" applyFill="1" applyBorder="1" applyAlignment="1" applyProtection="1">
      <alignment horizontal="center" vertical="center" wrapText="1"/>
      <protection locked="0"/>
    </xf>
    <xf numFmtId="15" fontId="6" fillId="0" borderId="1" xfId="0" applyNumberFormat="1" applyFont="1" applyBorder="1" applyAlignment="1">
      <alignment horizontal="center" vertical="center" wrapText="1"/>
    </xf>
    <xf numFmtId="15" fontId="6" fillId="0" borderId="105" xfId="0" applyNumberFormat="1" applyFont="1" applyBorder="1" applyAlignment="1">
      <alignment horizontal="center" vertical="center" wrapText="1"/>
    </xf>
    <xf numFmtId="0" fontId="6" fillId="0" borderId="106" xfId="0" applyFont="1" applyBorder="1" applyAlignment="1">
      <alignment horizontal="left" vertical="center" wrapText="1"/>
    </xf>
    <xf numFmtId="0" fontId="6" fillId="18" borderId="6" xfId="0" applyFont="1" applyFill="1" applyBorder="1" applyAlignment="1" applyProtection="1">
      <alignment horizontal="center" vertical="center" wrapText="1"/>
      <protection locked="0"/>
    </xf>
    <xf numFmtId="49" fontId="6" fillId="18" borderId="6" xfId="0" applyNumberFormat="1" applyFont="1" applyFill="1" applyBorder="1" applyAlignment="1" applyProtection="1">
      <alignment horizontal="left" vertical="center" wrapText="1"/>
      <protection locked="0"/>
    </xf>
    <xf numFmtId="164" fontId="33" fillId="7" borderId="79" xfId="0" applyNumberFormat="1" applyFont="1" applyFill="1" applyBorder="1" applyAlignment="1" applyProtection="1">
      <alignment horizontal="center" vertical="center" wrapText="1"/>
      <protection locked="0"/>
    </xf>
    <xf numFmtId="49" fontId="6" fillId="7" borderId="6" xfId="0" applyNumberFormat="1" applyFont="1" applyFill="1" applyBorder="1" applyAlignment="1" applyProtection="1">
      <alignment horizontal="left" vertical="top" wrapText="1"/>
      <protection locked="0"/>
    </xf>
    <xf numFmtId="49" fontId="6" fillId="7" borderId="6" xfId="0" applyNumberFormat="1" applyFont="1" applyFill="1" applyBorder="1" applyAlignment="1" applyProtection="1">
      <alignment horizontal="left" vertical="center" wrapText="1"/>
      <protection hidden="1"/>
    </xf>
    <xf numFmtId="15" fontId="6" fillId="19" borderId="98" xfId="0" applyNumberFormat="1" applyFont="1" applyFill="1" applyBorder="1" applyAlignment="1">
      <alignment horizontal="center" vertical="center" wrapText="1"/>
    </xf>
    <xf numFmtId="0" fontId="6" fillId="20" borderId="6" xfId="0" applyFont="1" applyFill="1" applyBorder="1" applyAlignment="1" applyProtection="1">
      <alignment horizontal="left" vertical="center" wrapText="1"/>
      <protection locked="0"/>
    </xf>
    <xf numFmtId="10" fontId="6" fillId="11" borderId="6" xfId="0" applyNumberFormat="1" applyFont="1" applyFill="1" applyBorder="1" applyAlignment="1" applyProtection="1">
      <alignment vertical="center" wrapText="1"/>
      <protection locked="0"/>
    </xf>
    <xf numFmtId="164" fontId="25" fillId="7" borderId="6" xfId="0" applyNumberFormat="1" applyFont="1" applyFill="1" applyBorder="1" applyAlignment="1" applyProtection="1">
      <alignment vertical="center" wrapText="1"/>
      <protection locked="0"/>
    </xf>
    <xf numFmtId="0" fontId="6" fillId="0" borderId="6" xfId="0" quotePrefix="1" applyFont="1" applyBorder="1" applyAlignment="1">
      <alignment wrapText="1"/>
    </xf>
    <xf numFmtId="49" fontId="6" fillId="7" borderId="6" xfId="0" applyNumberFormat="1" applyFont="1" applyFill="1" applyBorder="1" applyAlignment="1" applyProtection="1">
      <alignment vertical="center" wrapText="1"/>
      <protection locked="0"/>
    </xf>
    <xf numFmtId="49" fontId="6" fillId="8" borderId="6" xfId="0" applyNumberFormat="1" applyFont="1" applyFill="1" applyBorder="1" applyAlignment="1" applyProtection="1">
      <alignment horizontal="left" vertical="center" wrapText="1"/>
      <protection hidden="1"/>
    </xf>
    <xf numFmtId="0" fontId="6" fillId="8" borderId="6" xfId="0" applyFont="1" applyFill="1" applyBorder="1" applyAlignment="1" applyProtection="1">
      <alignment horizontal="center" vertical="center" wrapText="1"/>
      <protection locked="0"/>
    </xf>
    <xf numFmtId="0" fontId="0" fillId="8" borderId="0" xfId="0" applyFill="1" applyAlignment="1">
      <alignment horizontal="center" vertical="center"/>
    </xf>
    <xf numFmtId="0" fontId="9" fillId="2" borderId="43" xfId="0" applyFont="1" applyFill="1" applyBorder="1" applyAlignment="1">
      <alignment horizontal="center" vertical="center"/>
    </xf>
    <xf numFmtId="0" fontId="9" fillId="2" borderId="40" xfId="0" applyFont="1" applyFill="1" applyBorder="1" applyAlignment="1">
      <alignment horizontal="center" vertical="center"/>
    </xf>
    <xf numFmtId="0" fontId="9" fillId="2" borderId="44" xfId="0" applyFont="1" applyFill="1" applyBorder="1" applyAlignment="1">
      <alignment horizontal="center" vertical="center"/>
    </xf>
    <xf numFmtId="0" fontId="9" fillId="2" borderId="45" xfId="0" applyFont="1" applyFill="1" applyBorder="1" applyAlignment="1">
      <alignment horizontal="center" vertical="center"/>
    </xf>
    <xf numFmtId="0" fontId="9" fillId="2" borderId="46" xfId="0" applyFont="1" applyFill="1" applyBorder="1" applyAlignment="1">
      <alignment horizontal="center" vertical="center"/>
    </xf>
    <xf numFmtId="0" fontId="15" fillId="14" borderId="35" xfId="0" applyFont="1" applyFill="1" applyBorder="1" applyAlignment="1">
      <alignment horizontal="center" vertical="center" textRotation="90"/>
    </xf>
    <xf numFmtId="0" fontId="15" fillId="14" borderId="36" xfId="0" applyFont="1" applyFill="1" applyBorder="1" applyAlignment="1">
      <alignment horizontal="center" vertical="center" textRotation="90"/>
    </xf>
    <xf numFmtId="0" fontId="15" fillId="5" borderId="34" xfId="0" applyFont="1" applyFill="1" applyBorder="1" applyAlignment="1">
      <alignment horizontal="center" vertical="center" textRotation="90"/>
    </xf>
    <xf numFmtId="0" fontId="15" fillId="5" borderId="35" xfId="0" applyFont="1" applyFill="1" applyBorder="1" applyAlignment="1">
      <alignment horizontal="center" vertical="center" textRotation="90"/>
    </xf>
    <xf numFmtId="0" fontId="15" fillId="5" borderId="36" xfId="0" applyFont="1" applyFill="1" applyBorder="1" applyAlignment="1">
      <alignment horizontal="center" vertical="center" textRotation="90"/>
    </xf>
    <xf numFmtId="0" fontId="15" fillId="15" borderId="34" xfId="0" applyFont="1" applyFill="1" applyBorder="1" applyAlignment="1">
      <alignment horizontal="center" vertical="center" textRotation="90"/>
    </xf>
    <xf numFmtId="0" fontId="15" fillId="15" borderId="35" xfId="0" applyFont="1" applyFill="1" applyBorder="1" applyAlignment="1">
      <alignment horizontal="center" vertical="center" textRotation="90"/>
    </xf>
    <xf numFmtId="0" fontId="15" fillId="15" borderId="36" xfId="0" applyFont="1" applyFill="1" applyBorder="1" applyAlignment="1">
      <alignment horizontal="center" vertical="center" textRotation="90"/>
    </xf>
    <xf numFmtId="0" fontId="14" fillId="13" borderId="17" xfId="0" applyFont="1" applyFill="1" applyBorder="1" applyAlignment="1">
      <alignment horizontal="center" vertical="center"/>
    </xf>
    <xf numFmtId="0" fontId="14" fillId="13" borderId="4" xfId="0" applyFont="1" applyFill="1" applyBorder="1" applyAlignment="1">
      <alignment horizontal="center" vertical="center"/>
    </xf>
    <xf numFmtId="0" fontId="14" fillId="13" borderId="16" xfId="0" applyFont="1" applyFill="1" applyBorder="1" applyAlignment="1">
      <alignment horizontal="center" vertical="center"/>
    </xf>
    <xf numFmtId="0" fontId="21" fillId="12" borderId="70" xfId="0" applyFont="1" applyFill="1" applyBorder="1" applyAlignment="1">
      <alignment horizontal="center" vertical="center" wrapText="1"/>
    </xf>
    <xf numFmtId="0" fontId="13" fillId="12" borderId="71" xfId="0" applyFont="1" applyFill="1" applyBorder="1" applyAlignment="1">
      <alignment horizontal="center" vertical="center" wrapText="1"/>
    </xf>
    <xf numFmtId="0" fontId="13" fillId="12" borderId="72" xfId="0" applyFont="1" applyFill="1" applyBorder="1" applyAlignment="1">
      <alignment horizontal="center" vertical="center" wrapText="1"/>
    </xf>
    <xf numFmtId="0" fontId="13" fillId="12" borderId="73" xfId="0" applyFont="1" applyFill="1" applyBorder="1" applyAlignment="1">
      <alignment horizontal="center" vertical="center" wrapText="1"/>
    </xf>
    <xf numFmtId="0" fontId="13" fillId="12" borderId="0" xfId="0" applyFont="1" applyFill="1" applyAlignment="1">
      <alignment horizontal="center" vertical="center" wrapText="1"/>
    </xf>
    <xf numFmtId="0" fontId="13" fillId="12" borderId="74" xfId="0" applyFont="1" applyFill="1" applyBorder="1" applyAlignment="1">
      <alignment horizontal="center" vertical="center" wrapText="1"/>
    </xf>
    <xf numFmtId="0" fontId="15" fillId="4" borderId="34" xfId="0" applyFont="1" applyFill="1" applyBorder="1" applyAlignment="1">
      <alignment horizontal="center" vertical="center" textRotation="90"/>
    </xf>
    <xf numFmtId="0" fontId="15" fillId="4" borderId="35" xfId="0" applyFont="1" applyFill="1" applyBorder="1" applyAlignment="1">
      <alignment horizontal="center" vertical="center" textRotation="90"/>
    </xf>
    <xf numFmtId="0" fontId="15" fillId="4" borderId="36" xfId="0" applyFont="1" applyFill="1" applyBorder="1" applyAlignment="1">
      <alignment horizontal="center" vertical="center" textRotation="90"/>
    </xf>
    <xf numFmtId="0" fontId="14" fillId="13" borderId="38" xfId="0" applyFont="1" applyFill="1" applyBorder="1" applyAlignment="1">
      <alignment horizontal="center" vertical="center"/>
    </xf>
    <xf numFmtId="0" fontId="14" fillId="13" borderId="40" xfId="0" applyFont="1" applyFill="1" applyBorder="1" applyAlignment="1">
      <alignment horizontal="center" vertical="center"/>
    </xf>
    <xf numFmtId="0" fontId="14" fillId="13" borderId="12" xfId="0" applyFont="1" applyFill="1" applyBorder="1" applyAlignment="1">
      <alignment horizontal="center" vertical="center"/>
    </xf>
    <xf numFmtId="0" fontId="18" fillId="7" borderId="1" xfId="0" applyFont="1" applyFill="1" applyBorder="1" applyAlignment="1" applyProtection="1">
      <alignment horizontal="center" vertical="center" textRotation="90" wrapText="1"/>
      <protection locked="0"/>
    </xf>
    <xf numFmtId="0" fontId="18" fillId="7" borderId="33" xfId="0" applyFont="1" applyFill="1" applyBorder="1" applyAlignment="1" applyProtection="1">
      <alignment horizontal="center" vertical="center" textRotation="90" wrapText="1"/>
      <protection locked="0"/>
    </xf>
    <xf numFmtId="0" fontId="18" fillId="7" borderId="4" xfId="0" applyFont="1" applyFill="1" applyBorder="1" applyAlignment="1" applyProtection="1">
      <alignment horizontal="center" vertical="center" textRotation="90" wrapText="1"/>
      <protection locked="0"/>
    </xf>
    <xf numFmtId="0" fontId="1" fillId="2" borderId="6"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2" borderId="4" xfId="0" applyFont="1" applyFill="1" applyBorder="1" applyAlignment="1" applyProtection="1">
      <alignment horizontal="center" vertical="center" wrapText="1"/>
      <protection locked="0"/>
    </xf>
    <xf numFmtId="164" fontId="2" fillId="3" borderId="6" xfId="0" applyNumberFormat="1" applyFont="1" applyFill="1" applyBorder="1" applyAlignment="1" applyProtection="1">
      <alignment horizontal="center" vertical="center" wrapText="1"/>
      <protection locked="0"/>
    </xf>
    <xf numFmtId="164" fontId="11" fillId="3" borderId="6" xfId="0" applyNumberFormat="1" applyFont="1" applyFill="1" applyBorder="1" applyAlignment="1" applyProtection="1">
      <alignment horizontal="center" vertical="center" wrapText="1"/>
      <protection locked="0"/>
    </xf>
    <xf numFmtId="0" fontId="1" fillId="2" borderId="6" xfId="0" applyFont="1" applyFill="1" applyBorder="1" applyAlignment="1" applyProtection="1">
      <alignment horizontal="left" vertical="center"/>
      <protection locked="0"/>
    </xf>
    <xf numFmtId="0" fontId="1" fillId="2" borderId="25" xfId="0" applyFont="1" applyFill="1" applyBorder="1" applyAlignment="1" applyProtection="1">
      <alignment horizontal="center" vertical="center" wrapText="1"/>
      <protection locked="0"/>
    </xf>
    <xf numFmtId="0" fontId="1" fillId="2" borderId="16" xfId="0" applyFont="1" applyFill="1" applyBorder="1" applyAlignment="1" applyProtection="1">
      <alignment horizontal="center" vertical="center" wrapText="1"/>
      <protection locked="0"/>
    </xf>
    <xf numFmtId="164" fontId="11" fillId="4" borderId="11" xfId="0" applyNumberFormat="1" applyFont="1" applyFill="1" applyBorder="1" applyAlignment="1" applyProtection="1">
      <alignment horizontal="center" vertical="center" wrapText="1"/>
      <protection locked="0"/>
    </xf>
    <xf numFmtId="164" fontId="11" fillId="4" borderId="18" xfId="0" applyNumberFormat="1" applyFont="1" applyFill="1" applyBorder="1" applyAlignment="1" applyProtection="1">
      <alignment horizontal="center" vertical="center" wrapText="1"/>
      <protection locked="0"/>
    </xf>
    <xf numFmtId="164" fontId="11" fillId="4" borderId="8" xfId="0" applyNumberFormat="1" applyFont="1" applyFill="1" applyBorder="1" applyAlignment="1" applyProtection="1">
      <alignment horizontal="center" vertical="center" wrapText="1"/>
      <protection locked="0"/>
    </xf>
    <xf numFmtId="49" fontId="1" fillId="2" borderId="1" xfId="0" applyNumberFormat="1" applyFont="1" applyFill="1" applyBorder="1" applyAlignment="1" applyProtection="1">
      <alignment horizontal="center" vertical="center" wrapText="1"/>
      <protection locked="0"/>
    </xf>
    <xf numFmtId="49" fontId="1" fillId="2" borderId="4" xfId="0" applyNumberFormat="1" applyFont="1" applyFill="1" applyBorder="1" applyAlignment="1" applyProtection="1">
      <alignment horizontal="center" vertical="center" wrapText="1"/>
      <protection locked="0"/>
    </xf>
    <xf numFmtId="0" fontId="1" fillId="2" borderId="87" xfId="0" applyFont="1" applyFill="1" applyBorder="1" applyAlignment="1" applyProtection="1">
      <alignment horizontal="center" vertical="center" wrapText="1"/>
      <protection locked="0"/>
    </xf>
    <xf numFmtId="0" fontId="1" fillId="2" borderId="88" xfId="0" applyFont="1" applyFill="1" applyBorder="1" applyAlignment="1" applyProtection="1">
      <alignment horizontal="center" vertical="center" wrapText="1"/>
      <protection locked="0"/>
    </xf>
    <xf numFmtId="0" fontId="1" fillId="2" borderId="33" xfId="0" applyFont="1" applyFill="1" applyBorder="1" applyAlignment="1" applyProtection="1">
      <alignment horizontal="center" vertical="center" wrapText="1"/>
      <protection locked="0"/>
    </xf>
    <xf numFmtId="164" fontId="2" fillId="5" borderId="103" xfId="0" applyNumberFormat="1" applyFont="1" applyFill="1" applyBorder="1" applyAlignment="1" applyProtection="1">
      <alignment horizontal="center" vertical="center" wrapText="1"/>
      <protection locked="0"/>
    </xf>
    <xf numFmtId="164" fontId="2" fillId="5" borderId="19" xfId="0" applyNumberFormat="1" applyFont="1" applyFill="1" applyBorder="1" applyAlignment="1" applyProtection="1">
      <alignment horizontal="center" vertical="center" wrapText="1"/>
      <protection locked="0"/>
    </xf>
    <xf numFmtId="164" fontId="2" fillId="5" borderId="49" xfId="0" applyNumberFormat="1" applyFont="1" applyFill="1" applyBorder="1" applyAlignment="1" applyProtection="1">
      <alignment horizontal="center" vertical="center" wrapText="1"/>
      <protection locked="0"/>
    </xf>
    <xf numFmtId="49" fontId="1" fillId="2" borderId="6" xfId="0" applyNumberFormat="1" applyFont="1" applyFill="1" applyBorder="1" applyAlignment="1" applyProtection="1">
      <alignment horizontal="center" vertical="center" wrapText="1"/>
      <protection locked="0"/>
    </xf>
  </cellXfs>
  <cellStyles count="2">
    <cellStyle name="Normal" xfId="0" builtinId="0"/>
    <cellStyle name="Percent" xfId="1" builtinId="5"/>
  </cellStyles>
  <dxfs count="19">
    <dxf>
      <fill>
        <patternFill>
          <bgColor theme="9" tint="0.59996337778862885"/>
        </patternFill>
      </fill>
    </dxf>
    <dxf>
      <fill>
        <patternFill>
          <bgColor rgb="FFFFFFB7"/>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theme="9" tint="0.59996337778862885"/>
        </patternFill>
      </fill>
    </dxf>
    <dxf>
      <fill>
        <patternFill>
          <bgColor rgb="FFFFFFB7"/>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rgb="FFFFFFB7"/>
        </patternFill>
      </fill>
    </dxf>
    <dxf>
      <fill>
        <patternFill>
          <bgColor theme="0" tint="-0.24994659260841701"/>
        </patternFill>
      </fill>
    </dxf>
    <dxf>
      <fill>
        <patternFill>
          <bgColor theme="9" tint="0.59996337778862885"/>
        </patternFill>
      </fill>
    </dxf>
    <dxf>
      <font>
        <b/>
        <i val="0"/>
        <color auto="1"/>
      </font>
      <fill>
        <patternFill>
          <bgColor theme="0" tint="-0.24994659260841701"/>
        </patternFill>
      </fill>
    </dxf>
    <dxf>
      <font>
        <color rgb="FF9C0006"/>
      </font>
      <fill>
        <patternFill>
          <bgColor rgb="FFFFC7CE"/>
        </patternFill>
      </fill>
    </dxf>
    <dxf>
      <fill>
        <patternFill patternType="solid">
          <fgColor rgb="FFDAF2D0"/>
          <bgColor rgb="FF000000"/>
        </patternFill>
      </fill>
    </dxf>
  </dxfs>
  <tableStyles count="0" defaultTableStyle="TableStyleMedium2" defaultPivotStyle="PivotStyleLight16"/>
  <colors>
    <mruColors>
      <color rgb="FFFFC1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398145</xdr:colOff>
      <xdr:row>0</xdr:row>
      <xdr:rowOff>205740</xdr:rowOff>
    </xdr:from>
    <xdr:to>
      <xdr:col>1</xdr:col>
      <xdr:colOff>892810</xdr:colOff>
      <xdr:row>2</xdr:row>
      <xdr:rowOff>168056</xdr:rowOff>
    </xdr:to>
    <xdr:pic>
      <xdr:nvPicPr>
        <xdr:cNvPr id="2" name="Picture 2">
          <a:extLst>
            <a:ext uri="{FF2B5EF4-FFF2-40B4-BE49-F238E27FC236}">
              <a16:creationId xmlns:a16="http://schemas.microsoft.com/office/drawing/2014/main" id="{C45A8C1D-2959-43AA-A2DA-56916C9DFA3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1955" y="209550"/>
          <a:ext cx="1445895" cy="672881"/>
        </a:xfrm>
        <a:prstGeom prst="rect">
          <a:avLst/>
        </a:prstGeom>
        <a:ln>
          <a:noFill/>
        </a:ln>
        <a:effectLst>
          <a:softEdge rad="112500"/>
        </a:effec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mohamed_elshaarawi_alfanar_com/Documents/03)-East%20Region%20Projects/00)-General/11)%20Overall%20Project%20Register/Current%20Report/Report-Eastern%20project%20%2030-Jul-26.xlsm" TargetMode="External"/><Relationship Id="rId2" Type="http://schemas.openxmlformats.org/officeDocument/2006/relationships/externalLinkPath" Target="https://alfanargroup-my.sharepoint.com/personal/mohamed_elshaarawi_alfanar_com/Documents/03)-East%20Region%20Projects/00)-General/11)%20Overall%20Project%20Register/Current%20Report/Report-Eastern%20project%20%2030-Jul-26.xlsm" TargetMode="External"/><Relationship Id="rId1" Type="http://schemas.openxmlformats.org/officeDocument/2006/relationships/externalLinkPath" Target="/personal/mohamed_elshaarawi_alfanar_com/Documents/03)-East%20Region%20Projects/00)-General/11)%20Overall%20Project%20Register/Current%20Report/Report-Eastern%20project%20%2030-Jul-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eam Overview"/>
      <sheetName val="Trend Analysis"/>
      <sheetName val="Sheet1"/>
      <sheetName val="01-Filters"/>
      <sheetName val="02-Facts"/>
      <sheetName val="03-Project Information"/>
      <sheetName val="04-Project Gauges"/>
      <sheetName val="05-Critical Issues"/>
      <sheetName val="08-Timeline "/>
      <sheetName val="Stop Here"/>
      <sheetName val="Project's TimeLine"/>
      <sheetName val="06-EQP. Details"/>
    </sheetNames>
    <sheetDataSet>
      <sheetData sheetId="0"/>
      <sheetData sheetId="1"/>
      <sheetData sheetId="2"/>
      <sheetData sheetId="3"/>
      <sheetData sheetId="4"/>
      <sheetData sheetId="5">
        <row r="1">
          <cell r="E1" t="str">
            <v>Code</v>
          </cell>
          <cell r="AE1" t="str">
            <v>Forecasted Finish Date TCC</v>
          </cell>
          <cell r="AF1" t="str">
            <v>Forecasted Finish Date PAC</v>
          </cell>
          <cell r="AG1" t="str">
            <v>Forecasted Finish Date FAC</v>
          </cell>
          <cell r="AZ1" t="str">
            <v>Internal Planned %</v>
          </cell>
          <cell r="BA1" t="str">
            <v>Internal Performed %</v>
          </cell>
        </row>
        <row r="2">
          <cell r="E2" t="str">
            <v>PE-344</v>
          </cell>
          <cell r="AE2">
            <v>46544</v>
          </cell>
          <cell r="AF2">
            <v>46607</v>
          </cell>
          <cell r="AG2">
            <v>46699</v>
          </cell>
          <cell r="AZ2">
            <v>0.95485600000000004</v>
          </cell>
          <cell r="BA2">
            <v>0.56828000000000001</v>
          </cell>
        </row>
        <row r="3">
          <cell r="E3" t="str">
            <v>PE-288</v>
          </cell>
          <cell r="AE3">
            <v>46305</v>
          </cell>
          <cell r="AF3">
            <v>46670</v>
          </cell>
          <cell r="AG3">
            <v>46701</v>
          </cell>
          <cell r="AZ3">
            <v>0.92007822997613198</v>
          </cell>
          <cell r="BA3">
            <v>0.85511484299051599</v>
          </cell>
        </row>
        <row r="4">
          <cell r="E4" t="str">
            <v>PE-334</v>
          </cell>
          <cell r="AE4">
            <v>46500</v>
          </cell>
          <cell r="AF4">
            <v>46568</v>
          </cell>
          <cell r="AG4">
            <v>46660</v>
          </cell>
          <cell r="AZ4">
            <v>0.72111000000000003</v>
          </cell>
          <cell r="BA4">
            <v>0.46529399999999999</v>
          </cell>
        </row>
        <row r="5">
          <cell r="E5" t="str">
            <v>PE-277</v>
          </cell>
          <cell r="AE5">
            <v>46173</v>
          </cell>
          <cell r="AF5">
            <v>46306</v>
          </cell>
          <cell r="AG5">
            <v>46418</v>
          </cell>
          <cell r="AZ5">
            <v>0.98824999999999996</v>
          </cell>
          <cell r="BA5">
            <v>0.96606400000000003</v>
          </cell>
        </row>
        <row r="6">
          <cell r="E6" t="str">
            <v>PE-302</v>
          </cell>
          <cell r="AE6">
            <v>46173</v>
          </cell>
          <cell r="AF6">
            <v>46457</v>
          </cell>
          <cell r="AG6">
            <v>46568</v>
          </cell>
          <cell r="AZ6">
            <v>0.994745307164003</v>
          </cell>
          <cell r="BA6">
            <v>0.99269133105131202</v>
          </cell>
        </row>
        <row r="7">
          <cell r="E7" t="str">
            <v>PE-355-01</v>
          </cell>
          <cell r="AE7">
            <v>46609</v>
          </cell>
          <cell r="AF7">
            <v>46670</v>
          </cell>
          <cell r="AG7">
            <v>46762</v>
          </cell>
          <cell r="AZ7">
            <v>0.42701800000000001</v>
          </cell>
          <cell r="BA7">
            <v>0.48042499999999999</v>
          </cell>
        </row>
        <row r="8">
          <cell r="E8" t="str">
            <v>PE-355-02</v>
          </cell>
          <cell r="AE8">
            <v>46645</v>
          </cell>
          <cell r="AF8">
            <v>46706</v>
          </cell>
          <cell r="AG8">
            <v>46798</v>
          </cell>
          <cell r="AZ8">
            <v>0.21665799999999999</v>
          </cell>
          <cell r="BA8">
            <v>0.21448</v>
          </cell>
        </row>
        <row r="9">
          <cell r="E9" t="str">
            <v>PE-355-03</v>
          </cell>
          <cell r="AE9">
            <v>46664</v>
          </cell>
          <cell r="AF9">
            <v>46725</v>
          </cell>
          <cell r="AG9">
            <v>46817</v>
          </cell>
          <cell r="AZ9">
            <v>0.25057499999999999</v>
          </cell>
          <cell r="BA9">
            <v>0.205594</v>
          </cell>
        </row>
        <row r="10">
          <cell r="E10" t="str">
            <v>PE-355-04</v>
          </cell>
          <cell r="AE10">
            <v>46690</v>
          </cell>
          <cell r="AF10">
            <v>46750</v>
          </cell>
          <cell r="AG10">
            <v>46842</v>
          </cell>
          <cell r="AZ10">
            <v>0.25000499999999998</v>
          </cell>
          <cell r="BA10">
            <v>0.18137400000000001</v>
          </cell>
        </row>
        <row r="11">
          <cell r="E11" t="str">
            <v>PE-355-05</v>
          </cell>
          <cell r="AE11">
            <v>47097</v>
          </cell>
          <cell r="AF11">
            <v>47157</v>
          </cell>
          <cell r="AG11">
            <v>47269</v>
          </cell>
          <cell r="AZ11">
            <v>0.105919</v>
          </cell>
          <cell r="BA11">
            <v>1.9990999999999998E-2</v>
          </cell>
        </row>
        <row r="12">
          <cell r="E12" t="str">
            <v>PE-304</v>
          </cell>
          <cell r="AE12">
            <v>46870</v>
          </cell>
          <cell r="AF12">
            <v>46930</v>
          </cell>
          <cell r="AG12">
            <v>47023</v>
          </cell>
          <cell r="AZ12">
            <v>0.19689999999999999</v>
          </cell>
          <cell r="BA12">
            <v>0.126</v>
          </cell>
        </row>
        <row r="13">
          <cell r="E13" t="str">
            <v>PE-214</v>
          </cell>
          <cell r="AE13">
            <v>45550</v>
          </cell>
          <cell r="AF13">
            <v>45589</v>
          </cell>
          <cell r="AG13">
            <v>46142</v>
          </cell>
          <cell r="AZ13">
            <v>1</v>
          </cell>
          <cell r="BA13">
            <v>0.99977499999999997</v>
          </cell>
        </row>
        <row r="14">
          <cell r="E14" t="str">
            <v>PE-227</v>
          </cell>
          <cell r="AE14">
            <v>46331</v>
          </cell>
          <cell r="AF14">
            <v>46361</v>
          </cell>
          <cell r="AG14">
            <v>46392</v>
          </cell>
          <cell r="AZ14">
            <v>1</v>
          </cell>
          <cell r="BA14">
            <v>0.88293999999999995</v>
          </cell>
        </row>
        <row r="15">
          <cell r="E15" t="str">
            <v>PE-238</v>
          </cell>
          <cell r="AE15">
            <v>46053</v>
          </cell>
          <cell r="AF15">
            <v>46053</v>
          </cell>
          <cell r="AG15">
            <v>46203</v>
          </cell>
          <cell r="AZ15">
            <v>1</v>
          </cell>
          <cell r="BA15">
            <v>0.98172199999999998</v>
          </cell>
        </row>
        <row r="16">
          <cell r="E16" t="str">
            <v>PE-239</v>
          </cell>
          <cell r="AE16">
            <v>46234</v>
          </cell>
          <cell r="AF16">
            <v>46234</v>
          </cell>
          <cell r="AG16">
            <v>46234</v>
          </cell>
          <cell r="AZ16">
            <v>1</v>
          </cell>
          <cell r="BA16">
            <v>0.90700000000000003</v>
          </cell>
        </row>
        <row r="17">
          <cell r="E17" t="str">
            <v>PE-213</v>
          </cell>
          <cell r="AE17">
            <v>45565</v>
          </cell>
          <cell r="AF17">
            <v>45626</v>
          </cell>
          <cell r="AG17">
            <v>45716</v>
          </cell>
          <cell r="AZ17">
            <v>1</v>
          </cell>
          <cell r="BA17">
            <v>1</v>
          </cell>
        </row>
        <row r="18">
          <cell r="E18" t="str">
            <v>PE-240</v>
          </cell>
          <cell r="AE18">
            <v>46053</v>
          </cell>
          <cell r="AF18">
            <v>46053</v>
          </cell>
          <cell r="AG18">
            <v>46053</v>
          </cell>
          <cell r="AZ18">
            <v>1</v>
          </cell>
          <cell r="BA18">
            <v>1</v>
          </cell>
        </row>
        <row r="19">
          <cell r="E19" t="str">
            <v>PE-181</v>
          </cell>
          <cell r="AE19">
            <v>44560</v>
          </cell>
          <cell r="AF19">
            <v>45589</v>
          </cell>
          <cell r="AG19">
            <v>46022</v>
          </cell>
          <cell r="AZ19">
            <v>1</v>
          </cell>
          <cell r="BA19">
            <v>1</v>
          </cell>
        </row>
        <row r="20">
          <cell r="E20" t="str">
            <v>PE-229</v>
          </cell>
          <cell r="AE20">
            <v>46022</v>
          </cell>
          <cell r="AF20">
            <v>46022</v>
          </cell>
          <cell r="AG20">
            <v>46022</v>
          </cell>
          <cell r="AZ20">
            <v>1</v>
          </cell>
          <cell r="BA20">
            <v>1</v>
          </cell>
        </row>
        <row r="21">
          <cell r="E21" t="str">
            <v>PE-199</v>
          </cell>
          <cell r="AE21">
            <v>44316</v>
          </cell>
          <cell r="AF21">
            <v>44377</v>
          </cell>
          <cell r="AG21">
            <v>45808</v>
          </cell>
          <cell r="AZ21">
            <v>1</v>
          </cell>
          <cell r="BA21">
            <v>1</v>
          </cell>
        </row>
        <row r="22">
          <cell r="E22" t="str">
            <v>PE-366</v>
          </cell>
          <cell r="AE22">
            <v>46943</v>
          </cell>
          <cell r="AF22">
            <v>46943</v>
          </cell>
          <cell r="AG22">
            <v>47308</v>
          </cell>
          <cell r="AZ22">
            <v>6.7430000000000004E-2</v>
          </cell>
          <cell r="BA22">
            <v>3.9980000000000002E-2</v>
          </cell>
        </row>
        <row r="23">
          <cell r="E23" t="str">
            <v>PE-357</v>
          </cell>
          <cell r="AE23">
            <v>47026</v>
          </cell>
          <cell r="AF23">
            <v>47087</v>
          </cell>
          <cell r="AG23">
            <v>47177</v>
          </cell>
          <cell r="AZ23">
            <v>0</v>
          </cell>
          <cell r="BA23">
            <v>0</v>
          </cell>
        </row>
        <row r="24">
          <cell r="E24" t="str">
            <v>PE-387</v>
          </cell>
          <cell r="AE24">
            <v>47026</v>
          </cell>
          <cell r="AF24">
            <v>47067</v>
          </cell>
          <cell r="AG24">
            <v>47177</v>
          </cell>
          <cell r="AZ24">
            <v>0</v>
          </cell>
          <cell r="BA24">
            <v>0</v>
          </cell>
        </row>
        <row r="25">
          <cell r="E25" t="str">
            <v>PE-391</v>
          </cell>
          <cell r="AE25">
            <v>47026</v>
          </cell>
          <cell r="AF25">
            <v>47067</v>
          </cell>
          <cell r="AG25">
            <v>47177</v>
          </cell>
          <cell r="AZ25">
            <v>0</v>
          </cell>
          <cell r="BA25">
            <v>0</v>
          </cell>
        </row>
        <row r="26">
          <cell r="E26" t="str">
            <v>PE-354</v>
          </cell>
          <cell r="AE26">
            <v>47079</v>
          </cell>
          <cell r="AF26">
            <v>47141</v>
          </cell>
          <cell r="AG26">
            <v>47236</v>
          </cell>
          <cell r="AZ26">
            <v>2.9387E-2</v>
          </cell>
          <cell r="BA26">
            <v>1.8270000000000002E-2</v>
          </cell>
        </row>
        <row r="27">
          <cell r="E27" t="str">
            <v>PE-378</v>
          </cell>
          <cell r="AE27">
            <v>47097</v>
          </cell>
          <cell r="AF27">
            <v>47157</v>
          </cell>
          <cell r="AG27">
            <v>47269</v>
          </cell>
          <cell r="AZ27">
            <v>0.125</v>
          </cell>
          <cell r="BA27">
            <v>2.3E-2</v>
          </cell>
        </row>
        <row r="28">
          <cell r="E28" t="str">
            <v>PE-379</v>
          </cell>
          <cell r="AE28">
            <v>47097</v>
          </cell>
          <cell r="AF28">
            <v>47157</v>
          </cell>
          <cell r="AG28">
            <v>47269</v>
          </cell>
          <cell r="AZ28">
            <v>3.5000000000000003E-2</v>
          </cell>
          <cell r="BA28">
            <v>8.0000000000000002E-3</v>
          </cell>
        </row>
        <row r="29">
          <cell r="E29" t="str">
            <v>PE-402</v>
          </cell>
          <cell r="AE29">
            <v>46812</v>
          </cell>
          <cell r="AF29">
            <v>46853</v>
          </cell>
          <cell r="AG29">
            <v>46965</v>
          </cell>
          <cell r="AZ29">
            <v>0</v>
          </cell>
          <cell r="BA29">
            <v>0</v>
          </cell>
        </row>
        <row r="30">
          <cell r="E30" t="str">
            <v>PE-226</v>
          </cell>
          <cell r="AE30">
            <v>46411</v>
          </cell>
          <cell r="AF30">
            <v>46470</v>
          </cell>
          <cell r="AG30">
            <v>46562</v>
          </cell>
          <cell r="AZ30">
            <v>1</v>
          </cell>
          <cell r="BA30">
            <v>0.78064</v>
          </cell>
        </row>
        <row r="31">
          <cell r="E31" t="str">
            <v>PE-248</v>
          </cell>
          <cell r="AE31">
            <v>46263</v>
          </cell>
          <cell r="AF31">
            <v>46355</v>
          </cell>
          <cell r="AG31">
            <v>46720</v>
          </cell>
          <cell r="AZ31">
            <v>1</v>
          </cell>
          <cell r="BA31">
            <v>1</v>
          </cell>
        </row>
        <row r="32">
          <cell r="E32" t="str">
            <v>PE-255</v>
          </cell>
          <cell r="AE32">
            <v>46386</v>
          </cell>
          <cell r="AF32">
            <v>46478</v>
          </cell>
          <cell r="AG32">
            <v>46569</v>
          </cell>
          <cell r="AZ32">
            <v>0.99650000000000005</v>
          </cell>
          <cell r="BA32">
            <v>0.71484999999999999</v>
          </cell>
        </row>
        <row r="33">
          <cell r="E33" t="str">
            <v>PE-256</v>
          </cell>
          <cell r="AE33">
            <v>46264</v>
          </cell>
          <cell r="AF33">
            <v>46386</v>
          </cell>
          <cell r="AG33">
            <v>46476</v>
          </cell>
          <cell r="AZ33">
            <v>1</v>
          </cell>
          <cell r="BA33">
            <v>0.775953</v>
          </cell>
        </row>
        <row r="34">
          <cell r="E34" t="str">
            <v>PE-259</v>
          </cell>
          <cell r="AE34">
            <v>46203</v>
          </cell>
          <cell r="AF34">
            <v>46264</v>
          </cell>
          <cell r="AG34">
            <v>46356</v>
          </cell>
          <cell r="AZ34">
            <v>1</v>
          </cell>
          <cell r="BA34">
            <v>0.99372000000000005</v>
          </cell>
        </row>
        <row r="35">
          <cell r="E35" t="str">
            <v>PE-264</v>
          </cell>
          <cell r="AE35">
            <v>46202</v>
          </cell>
          <cell r="AF35">
            <v>46263</v>
          </cell>
          <cell r="AG35">
            <v>46355</v>
          </cell>
          <cell r="AZ35">
            <v>1</v>
          </cell>
          <cell r="BA35">
            <v>0.98951500000000003</v>
          </cell>
        </row>
        <row r="36">
          <cell r="E36" t="str">
            <v>PE-272</v>
          </cell>
          <cell r="AE36">
            <v>46287</v>
          </cell>
          <cell r="AF36">
            <v>46348</v>
          </cell>
          <cell r="AG36">
            <v>46438</v>
          </cell>
          <cell r="AZ36">
            <v>1</v>
          </cell>
          <cell r="BA36">
            <v>0.96997900000000004</v>
          </cell>
        </row>
        <row r="37">
          <cell r="E37" t="str">
            <v>PE-275</v>
          </cell>
          <cell r="AE37">
            <v>46578</v>
          </cell>
          <cell r="AF37">
            <v>46637</v>
          </cell>
          <cell r="AG37">
            <v>46728</v>
          </cell>
          <cell r="AZ37">
            <v>0.67124949023925895</v>
          </cell>
          <cell r="BA37">
            <v>0.51643186478072201</v>
          </cell>
        </row>
        <row r="38">
          <cell r="E38" t="str">
            <v>PE-276</v>
          </cell>
          <cell r="AE38">
            <v>46537</v>
          </cell>
          <cell r="AF38">
            <v>46599</v>
          </cell>
          <cell r="AG38">
            <v>46691</v>
          </cell>
          <cell r="AZ38">
            <v>1</v>
          </cell>
          <cell r="BA38">
            <v>0.96315600000000001</v>
          </cell>
        </row>
        <row r="39">
          <cell r="E39" t="str">
            <v>PE-279</v>
          </cell>
          <cell r="AE39">
            <v>46387</v>
          </cell>
          <cell r="AF39">
            <v>46446</v>
          </cell>
          <cell r="AG39">
            <v>46538</v>
          </cell>
          <cell r="AZ39">
            <v>1</v>
          </cell>
          <cell r="BA39">
            <v>0.90403999999999995</v>
          </cell>
        </row>
        <row r="40">
          <cell r="E40" t="str">
            <v>PE-299</v>
          </cell>
          <cell r="AE40">
            <v>46326</v>
          </cell>
          <cell r="AF40">
            <v>46418</v>
          </cell>
          <cell r="AG40">
            <v>46477</v>
          </cell>
          <cell r="AZ40">
            <v>1</v>
          </cell>
          <cell r="BA40">
            <v>0.96352499999999996</v>
          </cell>
        </row>
        <row r="41">
          <cell r="E41" t="str">
            <v>PE-300</v>
          </cell>
          <cell r="AE41">
            <v>46315</v>
          </cell>
          <cell r="AF41">
            <v>46376</v>
          </cell>
          <cell r="AG41">
            <v>46103</v>
          </cell>
          <cell r="AZ41">
            <v>0.94830000000000003</v>
          </cell>
          <cell r="BA41">
            <v>0.76132</v>
          </cell>
        </row>
        <row r="42">
          <cell r="E42" t="str">
            <v>PE-306</v>
          </cell>
          <cell r="AE42">
            <v>46218</v>
          </cell>
          <cell r="AF42">
            <v>46831</v>
          </cell>
          <cell r="AG42">
            <v>46892</v>
          </cell>
          <cell r="AZ42">
            <v>1</v>
          </cell>
          <cell r="BA42">
            <v>0.96178699999999995</v>
          </cell>
        </row>
        <row r="43">
          <cell r="E43" t="str">
            <v>PE-310</v>
          </cell>
          <cell r="AE43">
            <v>46251</v>
          </cell>
          <cell r="AF43">
            <v>46312</v>
          </cell>
          <cell r="AG43">
            <v>46404</v>
          </cell>
          <cell r="AZ43">
            <v>0.61921999999999999</v>
          </cell>
          <cell r="BA43">
            <v>0.21718000000000001</v>
          </cell>
        </row>
        <row r="44">
          <cell r="E44" t="str">
            <v>PE-316</v>
          </cell>
          <cell r="AE44">
            <v>46418</v>
          </cell>
          <cell r="AF44">
            <v>46477</v>
          </cell>
          <cell r="AG44">
            <v>46568</v>
          </cell>
          <cell r="AZ44">
            <v>0.900084</v>
          </cell>
          <cell r="BA44">
            <v>0.86490400000000001</v>
          </cell>
        </row>
        <row r="45">
          <cell r="E45" t="str">
            <v>PE-317</v>
          </cell>
          <cell r="AE45">
            <v>46446</v>
          </cell>
          <cell r="AF45">
            <v>46505</v>
          </cell>
          <cell r="AG45">
            <v>46596</v>
          </cell>
          <cell r="AZ45">
            <v>1</v>
          </cell>
          <cell r="BA45">
            <v>0.74117200000000005</v>
          </cell>
        </row>
        <row r="46">
          <cell r="E46" t="str">
            <v>PE-326</v>
          </cell>
          <cell r="AE46">
            <v>46431</v>
          </cell>
          <cell r="AF46">
            <v>46490</v>
          </cell>
          <cell r="AG46">
            <v>46581</v>
          </cell>
          <cell r="AZ46">
            <v>1</v>
          </cell>
          <cell r="BA46">
            <v>0.81384599999999996</v>
          </cell>
        </row>
        <row r="47">
          <cell r="E47" t="str">
            <v>PE-335</v>
          </cell>
          <cell r="AE47">
            <v>46158</v>
          </cell>
          <cell r="AF47">
            <v>46221</v>
          </cell>
          <cell r="AG47">
            <v>46307</v>
          </cell>
          <cell r="AZ47">
            <v>1</v>
          </cell>
          <cell r="BA47">
            <v>0.99860000000000004</v>
          </cell>
        </row>
        <row r="48">
          <cell r="E48" t="str">
            <v>PE-336</v>
          </cell>
          <cell r="AE48">
            <v>46158</v>
          </cell>
          <cell r="AF48">
            <v>46221</v>
          </cell>
          <cell r="AG48">
            <v>46307</v>
          </cell>
          <cell r="AZ48">
            <v>1</v>
          </cell>
          <cell r="BA48">
            <v>0.99719999999999998</v>
          </cell>
        </row>
        <row r="49">
          <cell r="E49" t="str">
            <v>PE-337</v>
          </cell>
          <cell r="AE49">
            <v>46158</v>
          </cell>
          <cell r="AF49">
            <v>46310</v>
          </cell>
          <cell r="AG49">
            <v>46402</v>
          </cell>
          <cell r="AZ49">
            <v>1</v>
          </cell>
          <cell r="BA49">
            <v>0.99945399999999995</v>
          </cell>
        </row>
        <row r="50">
          <cell r="E50" t="str">
            <v>PE-339</v>
          </cell>
          <cell r="AE50">
            <v>46158</v>
          </cell>
          <cell r="AF50">
            <v>46219</v>
          </cell>
          <cell r="AG50">
            <v>46311</v>
          </cell>
          <cell r="AZ50">
            <v>1</v>
          </cell>
          <cell r="BA50">
            <v>1</v>
          </cell>
        </row>
        <row r="51">
          <cell r="E51" t="str">
            <v>PE-348</v>
          </cell>
          <cell r="AE51">
            <v>46264</v>
          </cell>
          <cell r="AF51">
            <v>46325</v>
          </cell>
          <cell r="AG51">
            <v>46417</v>
          </cell>
          <cell r="AZ51">
            <v>0.99982000000000004</v>
          </cell>
          <cell r="BA51">
            <v>0.93336399999999997</v>
          </cell>
        </row>
        <row r="52">
          <cell r="E52" t="str">
            <v>PE-353</v>
          </cell>
          <cell r="AE52">
            <v>46782</v>
          </cell>
          <cell r="AF52">
            <v>46813</v>
          </cell>
          <cell r="AG52">
            <v>47179</v>
          </cell>
          <cell r="AZ52">
            <v>0.59272599999999998</v>
          </cell>
          <cell r="BA52">
            <v>0.20675099999999999</v>
          </cell>
        </row>
        <row r="53">
          <cell r="E53" t="str">
            <v>PE-356</v>
          </cell>
          <cell r="AE53">
            <v>46723</v>
          </cell>
          <cell r="AF53">
            <v>46783</v>
          </cell>
          <cell r="AG53">
            <v>46873</v>
          </cell>
          <cell r="AZ53">
            <v>0.43395499999999998</v>
          </cell>
          <cell r="BA53">
            <v>0.10179000000000001</v>
          </cell>
        </row>
        <row r="54">
          <cell r="E54" t="str">
            <v>PE-360</v>
          </cell>
          <cell r="AE54">
            <v>46309</v>
          </cell>
          <cell r="AF54">
            <v>46370</v>
          </cell>
          <cell r="AG54">
            <v>46460</v>
          </cell>
          <cell r="AZ54">
            <v>0.73</v>
          </cell>
          <cell r="BA54">
            <v>0.73</v>
          </cell>
        </row>
        <row r="55">
          <cell r="E55" t="str">
            <v>PE-362</v>
          </cell>
          <cell r="AE55">
            <v>46660</v>
          </cell>
          <cell r="AF55">
            <v>46721</v>
          </cell>
          <cell r="AG55">
            <v>46812</v>
          </cell>
          <cell r="AZ55">
            <v>0.38271500000000003</v>
          </cell>
          <cell r="BA55">
            <v>0.27526</v>
          </cell>
        </row>
        <row r="56">
          <cell r="E56" t="str">
            <v>PE-309</v>
          </cell>
          <cell r="AE56">
            <v>46498</v>
          </cell>
          <cell r="AF56">
            <v>46560</v>
          </cell>
          <cell r="AG56">
            <v>46652</v>
          </cell>
          <cell r="AZ56">
            <v>0.73899800000000004</v>
          </cell>
          <cell r="BA56">
            <v>0.318</v>
          </cell>
        </row>
        <row r="57">
          <cell r="E57" t="str">
            <v>PE-363</v>
          </cell>
          <cell r="AE57">
            <v>46702</v>
          </cell>
          <cell r="AF57">
            <v>46764</v>
          </cell>
          <cell r="AG57">
            <v>46854</v>
          </cell>
          <cell r="AZ57">
            <v>0.13754</v>
          </cell>
          <cell r="BA57">
            <v>8.2221000000000002E-2</v>
          </cell>
        </row>
        <row r="58">
          <cell r="E58" t="str">
            <v>PE-372</v>
          </cell>
          <cell r="AE58">
            <v>46660</v>
          </cell>
          <cell r="AF58">
            <v>46722</v>
          </cell>
          <cell r="AG58">
            <v>46813</v>
          </cell>
          <cell r="AZ58">
            <v>0.160825</v>
          </cell>
          <cell r="BA58">
            <v>0.10620300000000001</v>
          </cell>
        </row>
        <row r="59">
          <cell r="E59" t="str">
            <v>PE-394</v>
          </cell>
          <cell r="AE59">
            <v>46681</v>
          </cell>
          <cell r="AF59">
            <v>46742</v>
          </cell>
          <cell r="AG59">
            <v>46833</v>
          </cell>
          <cell r="AZ59">
            <v>9.5500000000000002E-2</v>
          </cell>
          <cell r="BA59">
            <v>6.4949999999999994E-2</v>
          </cell>
        </row>
        <row r="60">
          <cell r="E60" t="str">
            <v>PE-395</v>
          </cell>
          <cell r="AE60">
            <v>46695</v>
          </cell>
          <cell r="AF60">
            <v>46755</v>
          </cell>
          <cell r="AG60">
            <v>46847</v>
          </cell>
          <cell r="AZ60">
            <v>0.12542200000000001</v>
          </cell>
          <cell r="BA60">
            <v>8.0631999999999995E-2</v>
          </cell>
        </row>
        <row r="61">
          <cell r="E61" t="str">
            <v>PE-373</v>
          </cell>
          <cell r="AE61">
            <v>46653</v>
          </cell>
          <cell r="AF61">
            <v>46714</v>
          </cell>
          <cell r="AG61">
            <v>46803</v>
          </cell>
          <cell r="AZ61">
            <v>9.1829999999999995E-2</v>
          </cell>
          <cell r="BA61">
            <v>3.4763000000000002E-2</v>
          </cell>
        </row>
        <row r="62">
          <cell r="E62" t="str">
            <v>PE-381</v>
          </cell>
          <cell r="AE62">
            <v>46680</v>
          </cell>
          <cell r="AF62">
            <v>46741</v>
          </cell>
          <cell r="AG62">
            <v>46832</v>
          </cell>
          <cell r="AZ62">
            <v>2.2620000000000001E-2</v>
          </cell>
          <cell r="BA62">
            <v>1.052E-2</v>
          </cell>
        </row>
        <row r="63">
          <cell r="E63" t="str">
            <v>PE-389</v>
          </cell>
          <cell r="AE63">
            <v>46811</v>
          </cell>
          <cell r="AF63">
            <v>46853</v>
          </cell>
          <cell r="AG63">
            <v>46965</v>
          </cell>
          <cell r="AZ63" t="str">
            <v>0.00%</v>
          </cell>
          <cell r="BA63" t="str">
            <v>0.00%</v>
          </cell>
        </row>
        <row r="64">
          <cell r="E64" t="str">
            <v>PE-361</v>
          </cell>
          <cell r="AE64">
            <v>46801</v>
          </cell>
          <cell r="AF64">
            <v>46861</v>
          </cell>
          <cell r="AG64">
            <v>46952</v>
          </cell>
          <cell r="AZ64">
            <v>0</v>
          </cell>
          <cell r="BA64">
            <v>0</v>
          </cell>
        </row>
        <row r="65">
          <cell r="E65" t="str">
            <v>PE-275</v>
          </cell>
          <cell r="AE65">
            <v>46681</v>
          </cell>
          <cell r="AF65">
            <v>46742</v>
          </cell>
          <cell r="AG65">
            <v>46833</v>
          </cell>
          <cell r="AZ65">
            <v>5.3715180080790219</v>
          </cell>
          <cell r="BA65">
            <v>4.13262594899955</v>
          </cell>
        </row>
        <row r="66">
          <cell r="E66" t="str">
            <v>PE-393</v>
          </cell>
          <cell r="AE66">
            <v>46794</v>
          </cell>
          <cell r="AF66">
            <v>46854</v>
          </cell>
          <cell r="AG66">
            <v>46945</v>
          </cell>
          <cell r="AZ66">
            <v>0</v>
          </cell>
          <cell r="BA66">
            <v>0</v>
          </cell>
        </row>
        <row r="67">
          <cell r="E67" t="str">
            <v>PE-410</v>
          </cell>
          <cell r="AF67">
            <v>71</v>
          </cell>
          <cell r="AG67">
            <v>182</v>
          </cell>
          <cell r="AZ67" t="str">
            <v>0.00%</v>
          </cell>
          <cell r="BA67" t="str">
            <v>0.00%</v>
          </cell>
        </row>
        <row r="68">
          <cell r="AF68">
            <v>71</v>
          </cell>
          <cell r="AG68">
            <v>182</v>
          </cell>
          <cell r="AZ68" t="str">
            <v>0.00%</v>
          </cell>
          <cell r="BA68" t="str">
            <v>0.00%</v>
          </cell>
        </row>
        <row r="69">
          <cell r="AF69">
            <v>71</v>
          </cell>
          <cell r="AG69">
            <v>182</v>
          </cell>
          <cell r="AZ69" t="str">
            <v>0.00%</v>
          </cell>
          <cell r="BA69" t="str">
            <v>0.00%</v>
          </cell>
        </row>
        <row r="70">
          <cell r="AF70">
            <v>71</v>
          </cell>
          <cell r="AG70">
            <v>182</v>
          </cell>
          <cell r="AZ70" t="str">
            <v>0.00%</v>
          </cell>
          <cell r="BA70" t="str">
            <v>0.00%</v>
          </cell>
        </row>
        <row r="71">
          <cell r="AF71">
            <v>71</v>
          </cell>
          <cell r="AG71">
            <v>182</v>
          </cell>
          <cell r="AZ71" t="str">
            <v>0.00%</v>
          </cell>
          <cell r="BA71" t="str">
            <v>0.00%</v>
          </cell>
        </row>
      </sheetData>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05412-642E-4232-AFB7-9D05AF1C9544}">
  <dimension ref="A1:X208"/>
  <sheetViews>
    <sheetView view="pageBreakPreview" topLeftCell="A56" zoomScale="54" zoomScaleNormal="45" zoomScaleSheetLayoutView="70" workbookViewId="0">
      <selection activeCell="B54" sqref="B1:B1048576"/>
    </sheetView>
  </sheetViews>
  <sheetFormatPr defaultRowHeight="18"/>
  <cols>
    <col min="1" max="1" width="11.42578125" customWidth="1"/>
    <col min="2" max="2" width="24.7109375" bestFit="1" customWidth="1"/>
    <col min="3" max="3" width="82.42578125" customWidth="1"/>
    <col min="4" max="4" width="51.42578125" bestFit="1" customWidth="1"/>
    <col min="5" max="5" width="15.5703125" customWidth="1"/>
    <col min="6" max="10" width="25.42578125" customWidth="1"/>
    <col min="11" max="11" width="21.28515625" style="16" customWidth="1"/>
    <col min="12" max="13" width="19.42578125" style="52" customWidth="1"/>
    <col min="14" max="14" width="14.7109375" style="52" customWidth="1"/>
    <col min="15" max="15" width="34.5703125" bestFit="1" customWidth="1"/>
    <col min="16" max="16" width="20.42578125" customWidth="1"/>
    <col min="17" max="17" width="35.7109375" bestFit="1" customWidth="1"/>
    <col min="18" max="18" width="19.5703125" customWidth="1"/>
    <col min="19" max="19" width="19" customWidth="1"/>
    <col min="20" max="23" width="18.5703125" customWidth="1"/>
    <col min="24" max="24" width="110.42578125" style="189" customWidth="1"/>
    <col min="25" max="25" width="9.42578125" bestFit="1" customWidth="1"/>
  </cols>
  <sheetData>
    <row r="1" spans="1:24" ht="32.65" customHeight="1">
      <c r="A1" s="476" t="s">
        <v>0</v>
      </c>
      <c r="B1" s="476" t="s">
        <v>1</v>
      </c>
      <c r="C1" s="476" t="s">
        <v>2</v>
      </c>
      <c r="D1" s="477" t="s">
        <v>3</v>
      </c>
      <c r="E1" s="476" t="s">
        <v>4</v>
      </c>
      <c r="F1" s="477" t="s">
        <v>5</v>
      </c>
      <c r="G1" s="477" t="s">
        <v>6</v>
      </c>
      <c r="H1" s="477" t="s">
        <v>7</v>
      </c>
      <c r="I1" s="477" t="s">
        <v>8</v>
      </c>
      <c r="J1" s="477" t="s">
        <v>9</v>
      </c>
      <c r="K1" s="476" t="s">
        <v>10</v>
      </c>
      <c r="L1" s="476" t="s">
        <v>11</v>
      </c>
      <c r="M1" s="476" t="s">
        <v>12</v>
      </c>
      <c r="N1" s="476" t="s">
        <v>13</v>
      </c>
      <c r="O1" s="476" t="s">
        <v>14</v>
      </c>
      <c r="P1" s="476" t="s">
        <v>15</v>
      </c>
      <c r="Q1" s="482" t="s">
        <v>16</v>
      </c>
      <c r="R1" s="479" t="s">
        <v>17</v>
      </c>
      <c r="S1" s="479"/>
      <c r="T1" s="480"/>
      <c r="U1" s="484" t="s">
        <v>18</v>
      </c>
      <c r="V1" s="485"/>
      <c r="W1" s="486"/>
      <c r="X1" s="481" t="s">
        <v>19</v>
      </c>
    </row>
    <row r="2" spans="1:24" ht="32.65" customHeight="1">
      <c r="A2" s="476"/>
      <c r="B2" s="476"/>
      <c r="C2" s="476"/>
      <c r="D2" s="478"/>
      <c r="E2" s="476"/>
      <c r="F2" s="478"/>
      <c r="G2" s="478"/>
      <c r="H2" s="478"/>
      <c r="I2" s="478"/>
      <c r="J2" s="478"/>
      <c r="K2" s="476" t="s">
        <v>10</v>
      </c>
      <c r="L2" s="476"/>
      <c r="M2" s="476"/>
      <c r="N2" s="476"/>
      <c r="O2" s="476"/>
      <c r="P2" s="476"/>
      <c r="Q2" s="483"/>
      <c r="R2" s="2" t="s">
        <v>20</v>
      </c>
      <c r="S2" s="2" t="s">
        <v>21</v>
      </c>
      <c r="T2" s="2" t="s">
        <v>22</v>
      </c>
      <c r="U2" s="2" t="s">
        <v>20</v>
      </c>
      <c r="V2" s="2" t="s">
        <v>21</v>
      </c>
      <c r="W2" s="2" t="s">
        <v>22</v>
      </c>
      <c r="X2" s="481" t="s">
        <v>19</v>
      </c>
    </row>
    <row r="3" spans="1:24" ht="27" customHeight="1">
      <c r="A3" s="4"/>
      <c r="B3" s="4"/>
      <c r="C3" s="5" t="s">
        <v>23</v>
      </c>
      <c r="D3" s="5"/>
      <c r="E3" s="4"/>
      <c r="F3" s="5"/>
      <c r="G3" s="5"/>
      <c r="H3" s="5"/>
      <c r="I3" s="5"/>
      <c r="J3" s="5"/>
      <c r="K3" s="15"/>
      <c r="L3" s="15"/>
      <c r="M3" s="15"/>
      <c r="N3" s="15"/>
      <c r="O3" s="4"/>
      <c r="P3" s="4"/>
      <c r="Q3" s="31"/>
      <c r="R3" s="6"/>
      <c r="S3" s="6"/>
      <c r="T3" s="6"/>
      <c r="U3" s="6"/>
      <c r="V3" s="6"/>
      <c r="W3" s="6"/>
      <c r="X3" s="187"/>
    </row>
    <row r="4" spans="1:24" ht="25.35" customHeight="1">
      <c r="A4" s="7">
        <v>1</v>
      </c>
      <c r="B4" s="7" t="s">
        <v>24</v>
      </c>
      <c r="C4" s="20" t="str">
        <f>VLOOKUP(B4,'Detailed Update'!B:C,2,FALSE)</f>
        <v>SMP - O&amp;M 3 Yrs</v>
      </c>
      <c r="D4" s="13" t="str">
        <f>VLOOKUP(B4,'Updated Progress % + TCC'!B:D,3,FALSE)</f>
        <v>Mohamed Sabri</v>
      </c>
      <c r="E4" s="7" t="str">
        <f>VLOOKUP(B4,'Updated Progress % + TCC'!B:J,9,FALSE)</f>
        <v>Central</v>
      </c>
      <c r="F4" s="13" t="str">
        <f>IF(M4&gt;70.01%,"No","Yes")</f>
        <v>No</v>
      </c>
      <c r="G4" s="13" t="s">
        <v>25</v>
      </c>
      <c r="H4" s="13" t="s">
        <v>25</v>
      </c>
      <c r="I4" s="13" t="s">
        <v>25</v>
      </c>
      <c r="J4" s="13"/>
      <c r="K4" s="14">
        <f>VLOOKUP(B4,'Detailed Update'!B:D,3,FALSE)</f>
        <v>44652</v>
      </c>
      <c r="L4" s="18">
        <f>VLOOKUP(B4,'Detailed Update'!B:I,4,FALSE)</f>
        <v>1</v>
      </c>
      <c r="M4" s="18">
        <f>VLOOKUP(B4,'Detailed Update'!B:I,5,FALSE)</f>
        <v>1</v>
      </c>
      <c r="N4" s="18">
        <f>M4-L4</f>
        <v>0</v>
      </c>
      <c r="O4" s="7" t="str">
        <f>VLOOKUP(B4,'Detailed Update'!B:I,6,FALSE)</f>
        <v>SEC</v>
      </c>
      <c r="P4" s="7" t="str">
        <f>VLOOKUP(B4,'Detailed Update'!B:I,8,FALSE)</f>
        <v>Riyadh</v>
      </c>
      <c r="Q4" s="17" t="s">
        <v>26</v>
      </c>
      <c r="R4" s="10">
        <f>VLOOKUP(B4,'Detailed Update'!B:T,11,FALSE)</f>
        <v>45442</v>
      </c>
      <c r="S4" s="10">
        <f>VLOOKUP(B4,'Detailed Update'!B:T,12,FALSE)</f>
        <v>45812</v>
      </c>
      <c r="T4" s="45">
        <f>VLOOKUP(B4,'Detailed Update'!B:T,13,FALSE)</f>
        <v>45812</v>
      </c>
      <c r="U4" s="9">
        <f>VLOOKUP(B4,'Detailed Update'!B:T,17,FALSE)</f>
        <v>45442</v>
      </c>
      <c r="V4" s="9">
        <f>VLOOKUP(B4,'Detailed Update'!B:S,18,FALSE)</f>
        <v>45812</v>
      </c>
      <c r="W4" s="9">
        <f>VLOOKUP(B4,'Detailed Update'!B:T,19,FALSE)</f>
        <v>45812</v>
      </c>
      <c r="X4" s="11" t="str">
        <f>VLOOKUP(B4,'Detailed Update'!B:U,20,FALSE)</f>
        <v>All certification Received</v>
      </c>
    </row>
    <row r="5" spans="1:24" ht="25.35" customHeight="1">
      <c r="A5" s="7">
        <v>2</v>
      </c>
      <c r="B5" s="7" t="s">
        <v>27</v>
      </c>
      <c r="C5" s="20" t="str">
        <f>VLOOKUP(B5,'Detailed Update'!B:C,2,FALSE)</f>
        <v>KHASM-AL-AAN BSP</v>
      </c>
      <c r="D5" s="13" t="str">
        <f>VLOOKUP(B5,'Updated Progress % + TCC'!B:D,3,FALSE)</f>
        <v>Amin El Sayed</v>
      </c>
      <c r="E5" s="7" t="str">
        <f>VLOOKUP(B5,'Updated Progress % + TCC'!B:J,9,FALSE)</f>
        <v>Central</v>
      </c>
      <c r="F5" s="13" t="str">
        <f t="shared" ref="F5:I38" si="0">IF(M5&gt;70.01%,"No","Yes")</f>
        <v>No</v>
      </c>
      <c r="G5" s="13" t="s">
        <v>25</v>
      </c>
      <c r="H5" s="13" t="s">
        <v>25</v>
      </c>
      <c r="I5" s="13" t="s">
        <v>25</v>
      </c>
      <c r="J5" s="13"/>
      <c r="K5" s="14">
        <f>VLOOKUP(B5,'Detailed Update'!B:D,3,FALSE)</f>
        <v>44350</v>
      </c>
      <c r="L5" s="18">
        <f>VLOOKUP(B5,'Detailed Update'!B:I,4,FALSE)</f>
        <v>1</v>
      </c>
      <c r="M5" s="18">
        <f>VLOOKUP(B5,'Detailed Update'!B:I,5,FALSE)</f>
        <v>0.86299999999999999</v>
      </c>
      <c r="N5" s="18">
        <f t="shared" ref="N5:N43" si="1">M5-L5</f>
        <v>-0.13700000000000001</v>
      </c>
      <c r="O5" s="7" t="str">
        <f>VLOOKUP(B5,'Detailed Update'!B:I,6,FALSE)</f>
        <v>SEC</v>
      </c>
      <c r="P5" s="7" t="str">
        <f>VLOOKUP(B5,'Detailed Update'!B:I,8,FALSE)</f>
        <v>Riyadh</v>
      </c>
      <c r="Q5" s="17" t="s">
        <v>26</v>
      </c>
      <c r="R5" s="10">
        <f>VLOOKUP(B5,'Detailed Update'!B:T,11,FALSE)</f>
        <v>44960</v>
      </c>
      <c r="S5" s="10">
        <f>VLOOKUP(B5,'Detailed Update'!B:T,12,FALSE)</f>
        <v>45657</v>
      </c>
      <c r="T5" s="9">
        <f>VLOOKUP(B5,'Detailed Update'!B:T,13,FALSE)</f>
        <v>46411</v>
      </c>
      <c r="U5" s="9">
        <f>VLOOKUP(B5,'Detailed Update'!B:T,17,FALSE)</f>
        <v>45141</v>
      </c>
      <c r="V5" s="9">
        <f>VLOOKUP(B5,'Detailed Update'!B:S,18,FALSE)</f>
        <v>45808</v>
      </c>
      <c r="W5" s="9">
        <f>VLOOKUP(B5,'Detailed Update'!B:T,19,FALSE)</f>
        <v>46563</v>
      </c>
      <c r="X5" s="11" t="str">
        <f>VLOOKUP(B5,'Detailed Update'!B:U,20,FALSE)</f>
        <v>Partial TCC Received | Project on Hold</v>
      </c>
    </row>
    <row r="6" spans="1:24" ht="25.35" customHeight="1">
      <c r="A6" s="7">
        <v>3</v>
      </c>
      <c r="B6" s="7" t="s">
        <v>28</v>
      </c>
      <c r="C6" s="20" t="str">
        <f>VLOOKUP(B6,'Detailed Update'!B:C,2,FALSE)</f>
        <v>GASCO - 2</v>
      </c>
      <c r="D6" s="13" t="str">
        <f>VLOOKUP(B6,'Updated Progress % + TCC'!B:D,3,FALSE)</f>
        <v>Fathi Mohamed</v>
      </c>
      <c r="E6" s="7" t="str">
        <f>VLOOKUP(B6,'Updated Progress % + TCC'!B:J,9,FALSE)</f>
        <v>Central</v>
      </c>
      <c r="F6" s="13" t="str">
        <f t="shared" si="0"/>
        <v>No</v>
      </c>
      <c r="G6" s="13" t="s">
        <v>25</v>
      </c>
      <c r="H6" s="13" t="s">
        <v>25</v>
      </c>
      <c r="I6" s="13" t="s">
        <v>25</v>
      </c>
      <c r="J6" s="13"/>
      <c r="K6" s="14">
        <f>VLOOKUP(B6,'Detailed Update'!B:D,3,FALSE)</f>
        <v>44368</v>
      </c>
      <c r="L6" s="18">
        <f>VLOOKUP(B6,'Detailed Update'!B:I,4,FALSE)</f>
        <v>1</v>
      </c>
      <c r="M6" s="18">
        <f>VLOOKUP(B6,'Detailed Update'!B:I,5,FALSE)</f>
        <v>0.99909999999999999</v>
      </c>
      <c r="N6" s="18">
        <f t="shared" si="1"/>
        <v>-9.000000000000119E-4</v>
      </c>
      <c r="O6" s="7" t="str">
        <f>VLOOKUP(B6,'Detailed Update'!B:I,6,FALSE)</f>
        <v>GASCO</v>
      </c>
      <c r="P6" s="7" t="str">
        <f>VLOOKUP(B6,'Detailed Update'!B:I,8,FALSE)</f>
        <v>Riyadh</v>
      </c>
      <c r="Q6" s="17" t="s">
        <v>26</v>
      </c>
      <c r="R6" s="10">
        <f>VLOOKUP(B6,'Detailed Update'!B:T,11,FALSE)</f>
        <v>45136</v>
      </c>
      <c r="S6" s="10">
        <f>VLOOKUP(B6,'Detailed Update'!B:T,12,FALSE)</f>
        <v>45747</v>
      </c>
      <c r="T6" s="9">
        <f>VLOOKUP(B6,'Detailed Update'!B:T,13,FALSE)</f>
        <v>45961</v>
      </c>
      <c r="U6" s="9">
        <f>VLOOKUP(B6,'Detailed Update'!B:T,17,FALSE)</f>
        <v>45136</v>
      </c>
      <c r="V6" s="9">
        <f>VLOOKUP(B6,'Detailed Update'!B:S,18,FALSE)</f>
        <v>45747</v>
      </c>
      <c r="W6" s="9">
        <f>VLOOKUP(B6,'Detailed Update'!B:T,19,FALSE)</f>
        <v>45961</v>
      </c>
      <c r="X6" s="11" t="str">
        <f>VLOOKUP(B6,'Detailed Update'!B:U,20,FALSE)</f>
        <v>Initial Handing over received</v>
      </c>
    </row>
    <row r="7" spans="1:24" ht="25.35" customHeight="1">
      <c r="A7" s="7">
        <v>4</v>
      </c>
      <c r="B7" s="7" t="s">
        <v>29</v>
      </c>
      <c r="C7" s="20" t="str">
        <f>VLOOKUP(B7,'Detailed Update'!B:C,2,FALSE)</f>
        <v>SVC QASSIM -2</v>
      </c>
      <c r="D7" s="13" t="str">
        <f>VLOOKUP(B7,'Updated Progress % + TCC'!B:D,3,FALSE)</f>
        <v>Hany Kamal</v>
      </c>
      <c r="E7" s="7" t="str">
        <f>VLOOKUP(B7,'Updated Progress % + TCC'!B:J,9,FALSE)</f>
        <v>Central</v>
      </c>
      <c r="F7" s="13" t="str">
        <f t="shared" si="0"/>
        <v>No</v>
      </c>
      <c r="G7" s="13" t="s">
        <v>25</v>
      </c>
      <c r="H7" s="13" t="s">
        <v>25</v>
      </c>
      <c r="I7" s="13" t="s">
        <v>25</v>
      </c>
      <c r="J7" s="13"/>
      <c r="K7" s="14">
        <f>VLOOKUP(B7,'Detailed Update'!B:D,3,FALSE)</f>
        <v>44444</v>
      </c>
      <c r="L7" s="18">
        <f>VLOOKUP(B7,'Detailed Update'!B:I,4,FALSE)</f>
        <v>1</v>
      </c>
      <c r="M7" s="18">
        <f>VLOOKUP(B7,'Detailed Update'!B:I,5,FALSE)</f>
        <v>0.99280000000000002</v>
      </c>
      <c r="N7" s="18">
        <f t="shared" si="1"/>
        <v>-7.1999999999999842E-3</v>
      </c>
      <c r="O7" s="7" t="str">
        <f>VLOOKUP(B7,'Detailed Update'!B:I,6,FALSE)</f>
        <v>SEC</v>
      </c>
      <c r="P7" s="7" t="str">
        <f>VLOOKUP(B7,'Detailed Update'!B:I,8,FALSE)</f>
        <v>Riyadh</v>
      </c>
      <c r="Q7" s="17" t="s">
        <v>26</v>
      </c>
      <c r="R7" s="10">
        <f>VLOOKUP(B7,'Detailed Update'!B:T,11,FALSE)</f>
        <v>45235</v>
      </c>
      <c r="S7" s="10">
        <f>VLOOKUP(B7,'Detailed Update'!B:T,12,FALSE)</f>
        <v>45733</v>
      </c>
      <c r="T7" s="45">
        <f>VLOOKUP(B7,'Detailed Update'!B:T,13,FALSE)</f>
        <v>45733</v>
      </c>
      <c r="U7" s="45">
        <f>VLOOKUP(B7,'Detailed Update'!B:T,17,FALSE)</f>
        <v>45356</v>
      </c>
      <c r="V7" s="45">
        <f>VLOOKUP(B7,'Detailed Update'!B:S,18,FALSE)</f>
        <v>45855</v>
      </c>
      <c r="W7" s="45">
        <f>VLOOKUP(B7,'Detailed Update'!B:T,19,FALSE)</f>
        <v>46264</v>
      </c>
      <c r="X7" s="11" t="str">
        <f>VLOOKUP(B7,'Detailed Update'!B:U,20,FALSE)</f>
        <v>TCC Received.</v>
      </c>
    </row>
    <row r="8" spans="1:24" ht="25.35" customHeight="1">
      <c r="A8" s="7">
        <v>5</v>
      </c>
      <c r="B8" s="7" t="s">
        <v>30</v>
      </c>
      <c r="C8" s="20" t="str">
        <f>VLOOKUP(B8,'Detailed Update'!B:C,2,FALSE)</f>
        <v>Tabarjal 380KV BSP Expn.</v>
      </c>
      <c r="D8" s="13" t="str">
        <f>VLOOKUP(B8,'Updated Progress % + TCC'!B:D,3,FALSE)</f>
        <v>Malik Qarioutyee</v>
      </c>
      <c r="E8" s="7" t="str">
        <f>VLOOKUP(B8,'Updated Progress % + TCC'!B:J,9,FALSE)</f>
        <v>Central</v>
      </c>
      <c r="F8" s="13" t="str">
        <f t="shared" si="0"/>
        <v>No</v>
      </c>
      <c r="G8" s="13" t="s">
        <v>25</v>
      </c>
      <c r="H8" s="13" t="s">
        <v>25</v>
      </c>
      <c r="I8" s="13" t="s">
        <v>25</v>
      </c>
      <c r="J8" s="13"/>
      <c r="K8" s="14">
        <f>VLOOKUP(B8,'Detailed Update'!B:D,3,FALSE)</f>
        <v>44542</v>
      </c>
      <c r="L8" s="18">
        <f>VLOOKUP(B8,'Detailed Update'!B:I,4,FALSE)</f>
        <v>1</v>
      </c>
      <c r="M8" s="18">
        <f>VLOOKUP(B8,'Detailed Update'!B:I,5,FALSE)</f>
        <v>0.99</v>
      </c>
      <c r="N8" s="18">
        <f t="shared" si="1"/>
        <v>-1.0000000000000009E-2</v>
      </c>
      <c r="O8" s="7" t="str">
        <f>VLOOKUP(B8,'Detailed Update'!B:I,6,FALSE)</f>
        <v>SEC</v>
      </c>
      <c r="P8" s="7" t="str">
        <f>VLOOKUP(B8,'Detailed Update'!B:I,8,FALSE)</f>
        <v>Riyadh</v>
      </c>
      <c r="Q8" s="17" t="s">
        <v>26</v>
      </c>
      <c r="R8" s="10">
        <f>VLOOKUP(B8,'Detailed Update'!B:T,11,FALSE)</f>
        <v>45272</v>
      </c>
      <c r="S8" s="10">
        <f>VLOOKUP(B8,'Detailed Update'!B:T,12,FALSE)</f>
        <v>46021</v>
      </c>
      <c r="T8" s="9">
        <f>VLOOKUP(B8,'Detailed Update'!B:T,13,FALSE)</f>
        <v>46233</v>
      </c>
      <c r="U8" s="9">
        <f>VLOOKUP(B8,'Detailed Update'!B:T,17,FALSE)</f>
        <v>45424</v>
      </c>
      <c r="V8" s="9">
        <f>VLOOKUP(B8,'Detailed Update'!B:S,18,FALSE)</f>
        <v>46172</v>
      </c>
      <c r="W8" s="9">
        <f>VLOOKUP(B8,'Detailed Update'!B:T,19,FALSE)</f>
        <v>46386</v>
      </c>
      <c r="X8" s="11" t="str">
        <f>VLOOKUP(B8,'Detailed Update'!B:U,20,FALSE)</f>
        <v>Partial TCC received on 16-Jan-24</v>
      </c>
    </row>
    <row r="9" spans="1:24" ht="25.35" customHeight="1">
      <c r="A9" s="7">
        <v>6</v>
      </c>
      <c r="B9" s="7" t="s">
        <v>31</v>
      </c>
      <c r="C9" s="20" t="str">
        <f>VLOOKUP(B9,'Detailed Update'!B:C,2,FALSE)</f>
        <v>Hail OHTL</v>
      </c>
      <c r="D9" s="13" t="str">
        <f>VLOOKUP(B9,'Updated Progress % + TCC'!B:D,3,FALSE)</f>
        <v xml:space="preserve">Rafa Awad Al Hassan </v>
      </c>
      <c r="E9" s="7" t="str">
        <f>VLOOKUP(B9,'Updated Progress % + TCC'!B:J,9,FALSE)</f>
        <v>Central</v>
      </c>
      <c r="F9" s="13" t="str">
        <f t="shared" si="0"/>
        <v>No</v>
      </c>
      <c r="G9" s="13" t="s">
        <v>25</v>
      </c>
      <c r="H9" s="13" t="s">
        <v>25</v>
      </c>
      <c r="I9" s="13" t="s">
        <v>25</v>
      </c>
      <c r="J9" s="13"/>
      <c r="K9" s="14">
        <f>VLOOKUP(B9,'Detailed Update'!B:D,3,FALSE)</f>
        <v>44788</v>
      </c>
      <c r="L9" s="18">
        <f>VLOOKUP(B9,'Detailed Update'!B:I,4,FALSE)</f>
        <v>1</v>
      </c>
      <c r="M9" s="18">
        <f>VLOOKUP(B9,'Detailed Update'!B:I,5,FALSE)</f>
        <v>0.96120000000000005</v>
      </c>
      <c r="N9" s="18">
        <f t="shared" si="1"/>
        <v>-3.8799999999999946E-2</v>
      </c>
      <c r="O9" s="7" t="str">
        <f>VLOOKUP(B9,'Detailed Update'!B:I,6,FALSE)</f>
        <v>SEC</v>
      </c>
      <c r="P9" s="7" t="str">
        <f>VLOOKUP(B9,'Detailed Update'!B:I,8,FALSE)</f>
        <v>Riyadh</v>
      </c>
      <c r="Q9" s="17" t="s">
        <v>26</v>
      </c>
      <c r="R9" s="10">
        <f>VLOOKUP(B9,'Detailed Update'!B:T,11,FALSE)</f>
        <v>45427</v>
      </c>
      <c r="S9" s="10">
        <f>VLOOKUP(B9,'Detailed Update'!B:T,12,FALSE)</f>
        <v>45656</v>
      </c>
      <c r="T9" s="9">
        <f>VLOOKUP(B9,'Detailed Update'!B:T,13,FALSE)</f>
        <v>46193</v>
      </c>
      <c r="U9" s="9">
        <f>VLOOKUP(B9,'Detailed Update'!B:T,17,FALSE)</f>
        <v>45580</v>
      </c>
      <c r="V9" s="9">
        <f>VLOOKUP(B9,'Detailed Update'!B:S,18,FALSE)</f>
        <v>45804</v>
      </c>
      <c r="W9" s="9">
        <f>VLOOKUP(B9,'Detailed Update'!B:T,19,FALSE)</f>
        <v>46341</v>
      </c>
      <c r="X9" s="11" t="str">
        <f>VLOOKUP(B9,'Detailed Update'!B:U,20,FALSE)</f>
        <v>One line Energizaed. Another line by 20-Jun-26. Change Order approval is critical</v>
      </c>
    </row>
    <row r="10" spans="1:24" ht="25.35" customHeight="1">
      <c r="A10" s="7">
        <v>7</v>
      </c>
      <c r="B10" s="7" t="s">
        <v>32</v>
      </c>
      <c r="C10" s="20" t="str">
        <f>VLOOKUP(B10,'Detailed Update'!B:C,2,FALSE)</f>
        <v>RIYADH SEDRA-2</v>
      </c>
      <c r="D10" s="13" t="str">
        <f>VLOOKUP(B10,'Updated Progress % + TCC'!B:D,3,FALSE)</f>
        <v xml:space="preserve">Anas Derzy </v>
      </c>
      <c r="E10" s="7" t="str">
        <f>VLOOKUP(B10,'Updated Progress % + TCC'!B:J,9,FALSE)</f>
        <v>Central</v>
      </c>
      <c r="F10" s="13" t="str">
        <f t="shared" si="0"/>
        <v>No</v>
      </c>
      <c r="G10" s="13" t="s">
        <v>25</v>
      </c>
      <c r="H10" s="13" t="s">
        <v>25</v>
      </c>
      <c r="I10" s="13" t="s">
        <v>25</v>
      </c>
      <c r="J10" s="13"/>
      <c r="K10" s="14">
        <f>VLOOKUP(B10,'Detailed Update'!B:D,3,FALSE)</f>
        <v>44833</v>
      </c>
      <c r="L10" s="18">
        <f>VLOOKUP(B10,'Detailed Update'!B:I,4,FALSE)</f>
        <v>1</v>
      </c>
      <c r="M10" s="18">
        <f>VLOOKUP(B10,'Detailed Update'!B:I,5,FALSE)</f>
        <v>0.99099999999999999</v>
      </c>
      <c r="N10" s="18">
        <f t="shared" si="1"/>
        <v>-9.000000000000008E-3</v>
      </c>
      <c r="O10" s="7" t="str">
        <f>VLOOKUP(B10,'Detailed Update'!B:I,6,FALSE)</f>
        <v>Roshn</v>
      </c>
      <c r="P10" s="7" t="str">
        <f>VLOOKUP(B10,'Detailed Update'!B:I,8,FALSE)</f>
        <v>Riyadh</v>
      </c>
      <c r="Q10" s="17" t="s">
        <v>33</v>
      </c>
      <c r="R10" s="10">
        <f>VLOOKUP(B10,'Detailed Update'!B:T,11,FALSE)</f>
        <v>45538</v>
      </c>
      <c r="S10" s="10">
        <f>VLOOKUP(B10,'Detailed Update'!B:T,12,FALSE)</f>
        <v>45538</v>
      </c>
      <c r="T10" s="45">
        <f>VLOOKUP(B10,'Detailed Update'!B:T,13,FALSE)</f>
        <v>45920</v>
      </c>
      <c r="U10" s="45">
        <f>VLOOKUP(B10,'Detailed Update'!B:T,17,FALSE)</f>
        <v>45599</v>
      </c>
      <c r="V10" s="45">
        <f>VLOOKUP(B10,'Detailed Update'!B:S,18,FALSE)</f>
        <v>45599</v>
      </c>
      <c r="W10" s="45">
        <f>VLOOKUP(B10,'Detailed Update'!B:T,19,FALSE)</f>
        <v>46264</v>
      </c>
      <c r="X10" s="11" t="str">
        <f>VLOOKUP(B10,'Detailed Update'!B:U,20,FALSE)</f>
        <v>Partial TCC received &amp; 90% invoice approved</v>
      </c>
    </row>
    <row r="11" spans="1:24" ht="25.35" customHeight="1">
      <c r="A11" s="7">
        <v>8</v>
      </c>
      <c r="B11" s="7" t="s">
        <v>34</v>
      </c>
      <c r="C11" s="20" t="str">
        <f>VLOOKUP(B11,'Detailed Update'!B:C,2,FALSE)</f>
        <v xml:space="preserve"> PP10 Conv.</v>
      </c>
      <c r="D11" s="13" t="str">
        <f>VLOOKUP(B11,'Updated Progress % + TCC'!B:D,3,FALSE)</f>
        <v>Rabei Mohamed Mohamed Attia Daoud</v>
      </c>
      <c r="E11" s="7" t="str">
        <f>VLOOKUP(B11,'Updated Progress % + TCC'!B:J,9,FALSE)</f>
        <v>Central</v>
      </c>
      <c r="F11" s="13" t="str">
        <f t="shared" si="0"/>
        <v>No</v>
      </c>
      <c r="G11" s="13" t="s">
        <v>25</v>
      </c>
      <c r="H11" s="13" t="s">
        <v>25</v>
      </c>
      <c r="I11" s="13" t="s">
        <v>25</v>
      </c>
      <c r="J11" s="13"/>
      <c r="K11" s="14">
        <f>VLOOKUP(B11,'Detailed Update'!B:D,3,FALSE)</f>
        <v>44847</v>
      </c>
      <c r="L11" s="18">
        <f>VLOOKUP(B11,'Detailed Update'!B:I,4,FALSE)</f>
        <v>1</v>
      </c>
      <c r="M11" s="18">
        <f>VLOOKUP(B11,'Detailed Update'!B:I,5,FALSE)</f>
        <v>0.95760000000000001</v>
      </c>
      <c r="N11" s="18">
        <f t="shared" si="1"/>
        <v>-4.2399999999999993E-2</v>
      </c>
      <c r="O11" s="7" t="str">
        <f>VLOOKUP(B11,'Detailed Update'!B:I,6,FALSE)</f>
        <v xml:space="preserve">SEC </v>
      </c>
      <c r="P11" s="7" t="str">
        <f>VLOOKUP(B11,'Detailed Update'!B:I,8,FALSE)</f>
        <v>Riyadh</v>
      </c>
      <c r="Q11" s="17" t="s">
        <v>26</v>
      </c>
      <c r="R11" s="10">
        <f>VLOOKUP(B11,'Detailed Update'!B:T,11,FALSE)</f>
        <v>45517</v>
      </c>
      <c r="S11" s="10">
        <f>VLOOKUP(B11,'Detailed Update'!B:T,12,FALSE)</f>
        <v>46018</v>
      </c>
      <c r="T11" s="9">
        <f>VLOOKUP(B11,'Detailed Update'!B:T,13,FALSE)</f>
        <v>46263</v>
      </c>
      <c r="U11" s="9">
        <f>VLOOKUP(B11,'Detailed Update'!B:T,17,FALSE)</f>
        <v>45974</v>
      </c>
      <c r="V11" s="9">
        <f>VLOOKUP(B11,'Detailed Update'!B:S,18,FALSE)</f>
        <v>46477</v>
      </c>
      <c r="W11" s="9">
        <f>VLOOKUP(B11,'Detailed Update'!B:T,19,FALSE)</f>
        <v>46720</v>
      </c>
      <c r="X11" s="11" t="str">
        <f>VLOOKUP(B11,'Detailed Update'!B:U,20,FALSE)</f>
        <v>TCC milestone achieved. Certification not receied. Punchlist Clearance is critical</v>
      </c>
    </row>
    <row r="12" spans="1:24" ht="25.35" customHeight="1">
      <c r="A12" s="7">
        <v>9</v>
      </c>
      <c r="B12" s="7" t="s">
        <v>35</v>
      </c>
      <c r="C12" s="20" t="str">
        <f>VLOOKUP(B12,'Detailed Update'!B:C,2,FALSE)</f>
        <v>380kv D/C OHTL LILO SAAD OHTL</v>
      </c>
      <c r="D12" s="13" t="str">
        <f>VLOOKUP(B12,'Updated Progress % + TCC'!B:D,3,FALSE)</f>
        <v>Malik Al Qaryotee</v>
      </c>
      <c r="E12" s="7" t="str">
        <f>VLOOKUP(B12,'Updated Progress % + TCC'!B:J,9,FALSE)</f>
        <v>Central</v>
      </c>
      <c r="F12" s="13" t="str">
        <f t="shared" si="0"/>
        <v>No</v>
      </c>
      <c r="G12" s="13" t="s">
        <v>36</v>
      </c>
      <c r="H12" s="13"/>
      <c r="I12" s="13"/>
      <c r="J12" s="13"/>
      <c r="K12" s="14">
        <f>VLOOKUP(B12,'Detailed Update'!B:D,3,FALSE)</f>
        <v>44857</v>
      </c>
      <c r="L12" s="18">
        <f>VLOOKUP(B12,'Detailed Update'!B:I,4,FALSE)</f>
        <v>0.89980000000000004</v>
      </c>
      <c r="M12" s="18">
        <f>VLOOKUP(B12,'Detailed Update'!B:I,5,FALSE)</f>
        <v>0.75180000000000002</v>
      </c>
      <c r="N12" s="18">
        <f t="shared" si="1"/>
        <v>-0.14800000000000002</v>
      </c>
      <c r="O12" s="7" t="str">
        <f>VLOOKUP(B12,'Detailed Update'!B:I,6,FALSE)</f>
        <v>SEC</v>
      </c>
      <c r="P12" s="7" t="str">
        <f>VLOOKUP(B12,'Detailed Update'!B:I,8,FALSE)</f>
        <v>Riyadh</v>
      </c>
      <c r="Q12" s="17" t="s">
        <v>26</v>
      </c>
      <c r="R12" s="10">
        <f>VLOOKUP(B12,'Detailed Update'!B:T,11,FALSE)</f>
        <v>45283</v>
      </c>
      <c r="S12" s="10">
        <f>VLOOKUP(B12,'Detailed Update'!B:T,12,FALSE)</f>
        <v>45813</v>
      </c>
      <c r="T12" s="9">
        <f>VLOOKUP(B12,'Detailed Update'!B:T,13,FALSE)</f>
        <v>46386</v>
      </c>
      <c r="U12" s="9">
        <f>VLOOKUP(B12,'Detailed Update'!B:T,17,FALSE)</f>
        <v>45466</v>
      </c>
      <c r="V12" s="9">
        <f>VLOOKUP(B12,'Detailed Update'!B:S,18,FALSE)</f>
        <v>45996</v>
      </c>
      <c r="W12" s="9">
        <f>VLOOKUP(B12,'Detailed Update'!B:T,19,FALSE)</f>
        <v>46569</v>
      </c>
      <c r="X12" s="11" t="str">
        <f>VLOOKUP(B12,'Detailed Update'!B:U,20,FALSE)</f>
        <v xml:space="preserve">1. Amendment for New circuit Arrangement at Tapping Point .
2. Outage requirements 
3. Hardware fittings material for re-route portion  </v>
      </c>
    </row>
    <row r="13" spans="1:24" ht="25.35" customHeight="1">
      <c r="A13" s="7">
        <v>10</v>
      </c>
      <c r="B13" s="7" t="s">
        <v>37</v>
      </c>
      <c r="C13" s="20" t="str">
        <f>VLOOKUP(B13,'Detailed Update'!B:C,2,FALSE)</f>
        <v>Sudair PV 380KV BSP</v>
      </c>
      <c r="D13" s="13" t="str">
        <f>VLOOKUP(B13,'Updated Progress % + TCC'!B:D,3,FALSE)</f>
        <v>Tariq Mahmoud Ali Alsheyab</v>
      </c>
      <c r="E13" s="7" t="str">
        <f>VLOOKUP(B13,'Updated Progress % + TCC'!B:J,9,FALSE)</f>
        <v>Central</v>
      </c>
      <c r="F13" s="13" t="str">
        <f t="shared" si="0"/>
        <v>No</v>
      </c>
      <c r="G13" s="13" t="s">
        <v>25</v>
      </c>
      <c r="H13" s="13" t="s">
        <v>25</v>
      </c>
      <c r="I13" s="13" t="s">
        <v>25</v>
      </c>
      <c r="J13" s="13"/>
      <c r="K13" s="14">
        <f>VLOOKUP(B13,'Detailed Update'!B:D,3,FALSE)</f>
        <v>44867</v>
      </c>
      <c r="L13" s="18">
        <f>VLOOKUP(B13,'Detailed Update'!B:I,4,FALSE)</f>
        <v>1</v>
      </c>
      <c r="M13" s="18">
        <f>VLOOKUP(B13,'Detailed Update'!B:I,5,FALSE)</f>
        <v>0.78769999999999996</v>
      </c>
      <c r="N13" s="18">
        <f t="shared" si="1"/>
        <v>-0.21230000000000004</v>
      </c>
      <c r="O13" s="7" t="str">
        <f>VLOOKUP(B13,'Detailed Update'!B:I,6,FALSE)</f>
        <v>SEC</v>
      </c>
      <c r="P13" s="7" t="str">
        <f>VLOOKUP(B13,'Detailed Update'!B:I,8,FALSE)</f>
        <v>Riyadh</v>
      </c>
      <c r="Q13" s="17" t="s">
        <v>33</v>
      </c>
      <c r="R13" s="10">
        <f>VLOOKUP(B13,'Detailed Update'!B:T,11,FALSE)</f>
        <v>45537</v>
      </c>
      <c r="S13" s="10">
        <f>VLOOKUP(B13,'Detailed Update'!B:T,12,FALSE)</f>
        <v>45537</v>
      </c>
      <c r="T13" s="9">
        <f>VLOOKUP(B13,'Detailed Update'!B:T,13,FALSE)</f>
        <v>46325</v>
      </c>
      <c r="U13" s="9">
        <f>VLOOKUP(B13,'Detailed Update'!B:T,17,FALSE)</f>
        <v>45690</v>
      </c>
      <c r="V13" s="9">
        <f>VLOOKUP(B13,'Detailed Update'!B:S,18,FALSE)</f>
        <v>45690</v>
      </c>
      <c r="W13" s="9">
        <f>VLOOKUP(B13,'Detailed Update'!B:T,19,FALSE)</f>
        <v>46478</v>
      </c>
      <c r="X13" s="11" t="str">
        <f>VLOOKUP(B13,'Detailed Update'!B:U,20,FALSE)</f>
        <v xml:space="preserve">SS portion energized. Delay in Receiving Permit UGC works and inside PP9 works (MTO,LOA&amp; ARAMCO Permits) </v>
      </c>
    </row>
    <row r="14" spans="1:24" ht="25.35" customHeight="1">
      <c r="A14" s="7">
        <v>11</v>
      </c>
      <c r="B14" s="7" t="s">
        <v>38</v>
      </c>
      <c r="C14" s="20" t="str">
        <f>VLOOKUP(B14,'Detailed Update'!B:C,2,FALSE)</f>
        <v>WAAD AL SHAMAAL 380KV BSP</v>
      </c>
      <c r="D14" s="13" t="str">
        <f>VLOOKUP(B14,'Updated Progress % + TCC'!B:D,3,FALSE)</f>
        <v>Muhannad Ibrahim Al Heh</v>
      </c>
      <c r="E14" s="7" t="str">
        <f>VLOOKUP(B14,'Updated Progress % + TCC'!B:J,9,FALSE)</f>
        <v>Central</v>
      </c>
      <c r="F14" s="13" t="str">
        <f t="shared" si="0"/>
        <v>No</v>
      </c>
      <c r="G14" s="13" t="s">
        <v>25</v>
      </c>
      <c r="H14" s="13" t="s">
        <v>25</v>
      </c>
      <c r="I14" s="13" t="s">
        <v>25</v>
      </c>
      <c r="J14" s="13"/>
      <c r="K14" s="14">
        <f>VLOOKUP(B14,'Detailed Update'!B:D,3,FALSE)</f>
        <v>44871</v>
      </c>
      <c r="L14" s="18">
        <f>VLOOKUP(B14,'Detailed Update'!B:I,4,FALSE)</f>
        <v>1</v>
      </c>
      <c r="M14" s="18">
        <f>VLOOKUP(B14,'Detailed Update'!B:I,5,FALSE)</f>
        <v>0.96930000000000005</v>
      </c>
      <c r="N14" s="18">
        <f t="shared" si="1"/>
        <v>-3.069999999999995E-2</v>
      </c>
      <c r="O14" s="7" t="str">
        <f>VLOOKUP(B14,'Detailed Update'!B:I,6,FALSE)</f>
        <v>SEC</v>
      </c>
      <c r="P14" s="7" t="str">
        <f>VLOOKUP(B14,'Detailed Update'!B:I,8,FALSE)</f>
        <v>Riyadh</v>
      </c>
      <c r="Q14" s="17" t="s">
        <v>26</v>
      </c>
      <c r="R14" s="10">
        <f>VLOOKUP(B14,'Detailed Update'!B:T,11,FALSE)</f>
        <v>45611</v>
      </c>
      <c r="S14" s="10">
        <f>VLOOKUP(B14,'Detailed Update'!B:T,12,FALSE)</f>
        <v>45807</v>
      </c>
      <c r="T14" s="9">
        <f>VLOOKUP(B14,'Detailed Update'!B:T,13,FALSE)</f>
        <v>46356</v>
      </c>
      <c r="U14" s="9">
        <f>VLOOKUP(B14,'Detailed Update'!B:T,17,FALSE)</f>
        <v>45762</v>
      </c>
      <c r="V14" s="9">
        <f>VLOOKUP(B14,'Detailed Update'!B:S,18,FALSE)</f>
        <v>45960</v>
      </c>
      <c r="W14" s="9">
        <f>VLOOKUP(B14,'Detailed Update'!B:T,19,FALSE)</f>
        <v>46509</v>
      </c>
      <c r="X14" s="11" t="str">
        <f>VLOOKUP(B14,'Detailed Update'!B:U,20,FALSE)</f>
        <v>Paritally Energized on  09-Feb-26 | Delay in receiving outage to enrgize CKT 2 Wind to Waad Alshamaal &amp; Wind to TABARJAL energization (expected by Oct 26)</v>
      </c>
    </row>
    <row r="15" spans="1:24" ht="25.35" customHeight="1">
      <c r="A15" s="7">
        <v>12</v>
      </c>
      <c r="B15" s="7" t="s">
        <v>39</v>
      </c>
      <c r="C15" s="20" t="str">
        <f>VLOOKUP(B15,'Detailed Update'!B:C,2,FALSE)</f>
        <v>TABARJAL-B 13213.8 KV S/S IN JOUF</v>
      </c>
      <c r="D15" s="13" t="str">
        <f>VLOOKUP(B15,'Updated Progress % + TCC'!B:D,3,FALSE)</f>
        <v>Khalid Mohamed Aql</v>
      </c>
      <c r="E15" s="7" t="str">
        <f>VLOOKUP(B15,'Updated Progress % + TCC'!B:J,9,FALSE)</f>
        <v>Central</v>
      </c>
      <c r="F15" s="13" t="str">
        <f t="shared" si="0"/>
        <v>No</v>
      </c>
      <c r="G15" s="13" t="s">
        <v>25</v>
      </c>
      <c r="H15" s="13" t="s">
        <v>25</v>
      </c>
      <c r="I15" s="13" t="s">
        <v>25</v>
      </c>
      <c r="J15" s="13"/>
      <c r="K15" s="14">
        <f>VLOOKUP(B15,'Detailed Update'!B:D,3,FALSE)</f>
        <v>45063</v>
      </c>
      <c r="L15" s="18">
        <f>VLOOKUP(B15,'Detailed Update'!B:I,4,FALSE)</f>
        <v>1</v>
      </c>
      <c r="M15" s="18">
        <f>VLOOKUP(B15,'Detailed Update'!B:I,5,FALSE)</f>
        <v>0.99180000000000001</v>
      </c>
      <c r="N15" s="18">
        <f t="shared" si="1"/>
        <v>-8.1999999999999851E-3</v>
      </c>
      <c r="O15" s="7" t="str">
        <f>VLOOKUP(B15,'Detailed Update'!B:I,6,FALSE)</f>
        <v>SEC</v>
      </c>
      <c r="P15" s="7" t="str">
        <f>VLOOKUP(B15,'Detailed Update'!B:I,8,FALSE)</f>
        <v>Riyadh</v>
      </c>
      <c r="Q15" s="17" t="s">
        <v>26</v>
      </c>
      <c r="R15" s="10">
        <f>VLOOKUP(B15,'Detailed Update'!B:T,11,FALSE)</f>
        <v>45732</v>
      </c>
      <c r="S15" s="10">
        <f>VLOOKUP(B15,'Detailed Update'!B:T,12,FALSE)</f>
        <v>45838</v>
      </c>
      <c r="T15" s="9">
        <f>VLOOKUP(B15,'Detailed Update'!B:T,13,FALSE)</f>
        <v>46202</v>
      </c>
      <c r="U15" s="9">
        <f>VLOOKUP(B15,'Detailed Update'!B:T,17,FALSE)</f>
        <v>45885</v>
      </c>
      <c r="V15" s="9">
        <f>VLOOKUP(B15,'Detailed Update'!B:S,18,FALSE)</f>
        <v>45991</v>
      </c>
      <c r="W15" s="9">
        <f>VLOOKUP(B15,'Detailed Update'!B:T,19,FALSE)</f>
        <v>46355</v>
      </c>
      <c r="X15" s="11" t="str">
        <f>VLOOKUP(B15,'Detailed Update'!B:U,20,FALSE)</f>
        <v>1.Total of four circuits are planned; two are scheduled for energization by June 2026.
2.SE confirmation is still pending for the remaining two circuits.</v>
      </c>
    </row>
    <row r="16" spans="1:24" ht="25.35" customHeight="1">
      <c r="A16" s="7">
        <v>13</v>
      </c>
      <c r="B16" s="7" t="s">
        <v>40</v>
      </c>
      <c r="C16" s="20" t="str">
        <f>VLOOKUP(B16,'Detailed Update'!B:C,2,FALSE)</f>
        <v>AL-DAR AL-BAIDHA 132/13.8KV SUB</v>
      </c>
      <c r="D16" s="13" t="str">
        <f>VLOOKUP(B16,'Updated Progress % + TCC'!B:D,3,FALSE)</f>
        <v>Hassan Ayloti</v>
      </c>
      <c r="E16" s="7" t="str">
        <f>VLOOKUP(B16,'Updated Progress % + TCC'!B:J,9,FALSE)</f>
        <v>Central</v>
      </c>
      <c r="F16" s="13" t="str">
        <f t="shared" si="0"/>
        <v>No</v>
      </c>
      <c r="G16" s="13" t="s">
        <v>25</v>
      </c>
      <c r="H16" s="13" t="s">
        <v>25</v>
      </c>
      <c r="I16" s="13" t="s">
        <v>25</v>
      </c>
      <c r="J16" s="13"/>
      <c r="K16" s="14">
        <f>VLOOKUP(B16,'Detailed Update'!B:D,3,FALSE)</f>
        <v>45120</v>
      </c>
      <c r="L16" s="18">
        <f>VLOOKUP(B16,'Detailed Update'!B:I,4,FALSE)</f>
        <v>1</v>
      </c>
      <c r="M16" s="18">
        <f>VLOOKUP(B16,'Detailed Update'!B:I,5,FALSE)</f>
        <v>0.98499999999999999</v>
      </c>
      <c r="N16" s="18">
        <f t="shared" si="1"/>
        <v>-1.5000000000000013E-2</v>
      </c>
      <c r="O16" s="7" t="str">
        <f>VLOOKUP(B16,'Detailed Update'!B:I,6,FALSE)</f>
        <v>SEC</v>
      </c>
      <c r="P16" s="7" t="str">
        <f>VLOOKUP(B16,'Detailed Update'!B:I,8,FALSE)</f>
        <v>Riyadh</v>
      </c>
      <c r="Q16" s="17" t="s">
        <v>26</v>
      </c>
      <c r="R16" s="10">
        <f>VLOOKUP(B16,'Detailed Update'!B:T,11,FALSE)</f>
        <v>45608</v>
      </c>
      <c r="S16" s="10">
        <f>VLOOKUP(B16,'Detailed Update'!B:T,12,FALSE)</f>
        <v>46081</v>
      </c>
      <c r="T16" s="9">
        <f>VLOOKUP(B16,'Detailed Update'!B:T,13,FALSE)</f>
        <v>46098</v>
      </c>
      <c r="U16" s="9">
        <f>VLOOKUP(B16,'Detailed Update'!B:T,17,FALSE)</f>
        <v>45759</v>
      </c>
      <c r="V16" s="9">
        <f>VLOOKUP(B16,'Detailed Update'!B:S,18,FALSE)</f>
        <v>46231</v>
      </c>
      <c r="W16" s="9">
        <f>VLOOKUP(B16,'Detailed Update'!B:T,19,FALSE)</f>
        <v>46416</v>
      </c>
      <c r="X16" s="11" t="str">
        <f>VLOOKUP(B16,'Detailed Update'!B:U,20,FALSE)</f>
        <v>Energized on 17-Mar-26 | Other Circuit depends on Outage | Expected - 31-Oct-26</v>
      </c>
    </row>
    <row r="17" spans="1:24" ht="25.35" customHeight="1">
      <c r="A17" s="7">
        <v>14</v>
      </c>
      <c r="B17" s="7" t="s">
        <v>41</v>
      </c>
      <c r="C17" s="20" t="str">
        <f>VLOOKUP(B17,'Detailed Update'!B:C,2,FALSE)</f>
        <v>AL-MUNSIYAH 132/13.8KV SUB # 8273</v>
      </c>
      <c r="D17" s="13" t="str">
        <f>VLOOKUP(B17,'Updated Progress % + TCC'!B:D,3,FALSE)</f>
        <v>Mohamed El hag</v>
      </c>
      <c r="E17" s="7" t="str">
        <f>VLOOKUP(B17,'Updated Progress % + TCC'!B:J,9,FALSE)</f>
        <v>Central</v>
      </c>
      <c r="F17" s="13" t="str">
        <f t="shared" si="0"/>
        <v>No</v>
      </c>
      <c r="G17" s="13" t="s">
        <v>25</v>
      </c>
      <c r="H17" s="13" t="s">
        <v>25</v>
      </c>
      <c r="I17" s="13" t="s">
        <v>25</v>
      </c>
      <c r="J17" s="13"/>
      <c r="K17" s="14">
        <f>VLOOKUP(B17,'Detailed Update'!B:D,3,FALSE)</f>
        <v>45120</v>
      </c>
      <c r="L17" s="18">
        <f>VLOOKUP(B17,'Detailed Update'!B:I,4,FALSE)</f>
        <v>1</v>
      </c>
      <c r="M17" s="18">
        <f>VLOOKUP(B17,'Detailed Update'!B:I,5,FALSE)</f>
        <v>0.96130000000000004</v>
      </c>
      <c r="N17" s="18">
        <f t="shared" si="1"/>
        <v>-3.8699999999999957E-2</v>
      </c>
      <c r="O17" s="7" t="str">
        <f>VLOOKUP(B17,'Detailed Update'!B:I,6,FALSE)</f>
        <v>SEC</v>
      </c>
      <c r="P17" s="7" t="str">
        <f>VLOOKUP(B17,'Detailed Update'!B:I,8,FALSE)</f>
        <v>Riyadh</v>
      </c>
      <c r="Q17" s="17" t="s">
        <v>33</v>
      </c>
      <c r="R17" s="10">
        <f>VLOOKUP(B17,'Detailed Update'!B:T,11,FALSE)</f>
        <v>45609</v>
      </c>
      <c r="S17" s="10">
        <f>VLOOKUP(B17,'Detailed Update'!B:T,12,FALSE)</f>
        <v>45609</v>
      </c>
      <c r="T17" s="9">
        <f>VLOOKUP(B17,'Detailed Update'!B:T,13,FALSE)</f>
        <v>46272</v>
      </c>
      <c r="U17" s="9">
        <f>VLOOKUP(B17,'Detailed Update'!B:T,17,FALSE)</f>
        <v>45760</v>
      </c>
      <c r="V17" s="9">
        <f>VLOOKUP(B17,'Detailed Update'!B:S,18,FALSE)</f>
        <v>45760</v>
      </c>
      <c r="W17" s="9">
        <f>VLOOKUP(B17,'Detailed Update'!B:T,19,FALSE)</f>
        <v>46423</v>
      </c>
      <c r="X17" s="11" t="str">
        <f>VLOOKUP(B17,'Detailed Update'!B:U,20,FALSE)</f>
        <v>One Circuit Energized. Other Circuit depends on Outage | Expected - 31-Oct-26</v>
      </c>
    </row>
    <row r="18" spans="1:24" ht="25.35" customHeight="1">
      <c r="A18" s="7">
        <v>15</v>
      </c>
      <c r="B18" s="7" t="s">
        <v>42</v>
      </c>
      <c r="C18" s="20" t="str">
        <f>VLOOKUP(B18,'Detailed Update'!B:C,2,FALSE)</f>
        <v>ALMANFOHA 132/13.8KV SUB # 8138</v>
      </c>
      <c r="D18" s="13" t="str">
        <f>VLOOKUP(B18,'Updated Progress % + TCC'!B:D,3,FALSE)</f>
        <v>Mohamed El hag</v>
      </c>
      <c r="E18" s="7" t="str">
        <f>VLOOKUP(B18,'Updated Progress % + TCC'!B:J,9,FALSE)</f>
        <v>Central</v>
      </c>
      <c r="F18" s="13" t="str">
        <f t="shared" si="0"/>
        <v>No</v>
      </c>
      <c r="G18" s="13" t="s">
        <v>25</v>
      </c>
      <c r="H18" s="13" t="s">
        <v>25</v>
      </c>
      <c r="I18" s="13" t="s">
        <v>25</v>
      </c>
      <c r="J18" s="13"/>
      <c r="K18" s="14">
        <f>VLOOKUP(B18,'Detailed Update'!B:D,3,FALSE)</f>
        <v>45119</v>
      </c>
      <c r="L18" s="18">
        <f>VLOOKUP(B18,'Detailed Update'!B:I,4,FALSE)</f>
        <v>1</v>
      </c>
      <c r="M18" s="18">
        <f>VLOOKUP(B18,'Detailed Update'!B:I,5,FALSE)</f>
        <v>0.98599999999999999</v>
      </c>
      <c r="N18" s="18">
        <f t="shared" si="1"/>
        <v>-1.4000000000000012E-2</v>
      </c>
      <c r="O18" s="7" t="str">
        <f>VLOOKUP(B18,'Detailed Update'!B:I,6,FALSE)</f>
        <v>SEC</v>
      </c>
      <c r="P18" s="7" t="str">
        <f>VLOOKUP(B18,'Detailed Update'!B:I,8,FALSE)</f>
        <v>Riyadh</v>
      </c>
      <c r="Q18" s="17" t="s">
        <v>33</v>
      </c>
      <c r="R18" s="10">
        <f>VLOOKUP(B18,'Detailed Update'!B:T,11,FALSE)</f>
        <v>45608</v>
      </c>
      <c r="S18" s="10">
        <f>VLOOKUP(B18,'Detailed Update'!B:T,12,FALSE)</f>
        <v>45991</v>
      </c>
      <c r="T18" s="9">
        <f>VLOOKUP(B18,'Detailed Update'!B:T,13,FALSE)</f>
        <v>45991</v>
      </c>
      <c r="U18" s="9">
        <f>VLOOKUP(B18,'Detailed Update'!B:T,17,FALSE)</f>
        <v>45759</v>
      </c>
      <c r="V18" s="9">
        <f>VLOOKUP(B18,'Detailed Update'!B:S,18,FALSE)</f>
        <v>46142</v>
      </c>
      <c r="W18" s="9">
        <f>VLOOKUP(B18,'Detailed Update'!B:T,19,FALSE)</f>
        <v>46415</v>
      </c>
      <c r="X18" s="11" t="str">
        <f>VLOOKUP(B18,'Detailed Update'!B:U,20,FALSE)</f>
        <v>One Circuit Energized on 21-Dec-25</v>
      </c>
    </row>
    <row r="19" spans="1:24" ht="25.35" customHeight="1">
      <c r="A19" s="7">
        <v>16</v>
      </c>
      <c r="B19" s="7" t="s">
        <v>43</v>
      </c>
      <c r="C19" s="20" t="str">
        <f>VLOOKUP(B19,'Detailed Update'!B:C,2,FALSE)</f>
        <v>NASIRIYAH 132/13.8KV SUB # 8154</v>
      </c>
      <c r="D19" s="13" t="str">
        <f>VLOOKUP(B19,'Updated Progress % + TCC'!B:D,3,FALSE)</f>
        <v>Omar Samman</v>
      </c>
      <c r="E19" s="7" t="str">
        <f>VLOOKUP(B19,'Updated Progress % + TCC'!B:J,9,FALSE)</f>
        <v>Central</v>
      </c>
      <c r="F19" s="13" t="str">
        <f t="shared" si="0"/>
        <v>No</v>
      </c>
      <c r="G19" s="13" t="s">
        <v>25</v>
      </c>
      <c r="H19" s="13" t="s">
        <v>25</v>
      </c>
      <c r="I19" s="13" t="s">
        <v>25</v>
      </c>
      <c r="J19" s="13"/>
      <c r="K19" s="14">
        <f>VLOOKUP(B19,'Detailed Update'!B:D,3,FALSE)</f>
        <v>45119</v>
      </c>
      <c r="L19" s="18">
        <f>VLOOKUP(B19,'Detailed Update'!B:I,4,FALSE)</f>
        <v>1</v>
      </c>
      <c r="M19" s="18">
        <f>VLOOKUP(B19,'Detailed Update'!B:I,5,FALSE)</f>
        <v>0.92700000000000005</v>
      </c>
      <c r="N19" s="18">
        <f t="shared" si="1"/>
        <v>-7.2999999999999954E-2</v>
      </c>
      <c r="O19" s="7" t="str">
        <f>VLOOKUP(B19,'Detailed Update'!B:I,6,FALSE)</f>
        <v>SEC</v>
      </c>
      <c r="P19" s="7" t="str">
        <f>VLOOKUP(B19,'Detailed Update'!B:I,8,FALSE)</f>
        <v>Riyadh</v>
      </c>
      <c r="Q19" s="17" t="s">
        <v>26</v>
      </c>
      <c r="R19" s="10">
        <f>VLOOKUP(B19,'Detailed Update'!B:T,11,FALSE)</f>
        <v>45608</v>
      </c>
      <c r="S19" s="10">
        <f>VLOOKUP(B19,'Detailed Update'!B:T,12,FALSE)</f>
        <v>46034</v>
      </c>
      <c r="T19" s="9">
        <f>VLOOKUP(B19,'Detailed Update'!B:T,13,FALSE)</f>
        <v>46022</v>
      </c>
      <c r="U19" s="9">
        <f>VLOOKUP(B19,'Detailed Update'!B:T,17,FALSE)</f>
        <v>45759</v>
      </c>
      <c r="V19" s="9">
        <f>VLOOKUP(B19,'Detailed Update'!B:S,18,FALSE)</f>
        <v>46185</v>
      </c>
      <c r="W19" s="9">
        <f>VLOOKUP(B19,'Detailed Update'!B:T,19,FALSE)</f>
        <v>46295</v>
      </c>
      <c r="X19" s="11" t="str">
        <f>VLOOKUP(B19,'Detailed Update'!B:U,20,FALSE)</f>
        <v>One Energized on  11-Feb-26. TCC received with dated 31-Dec-2025</v>
      </c>
    </row>
    <row r="20" spans="1:24" ht="25.35" customHeight="1">
      <c r="A20" s="7">
        <v>17</v>
      </c>
      <c r="B20" s="7" t="s">
        <v>44</v>
      </c>
      <c r="C20" s="20" t="str">
        <f>VLOOKUP(B20,'Detailed Update'!B:C,2,FALSE)</f>
        <v>380kV Diriyah Gate-2 BSP # 9080</v>
      </c>
      <c r="D20" s="13" t="str">
        <f>VLOOKUP(B20,'Updated Progress % + TCC'!B:D,3,FALSE)</f>
        <v>Amin El Sayed</v>
      </c>
      <c r="E20" s="7" t="str">
        <f>VLOOKUP(B20,'Updated Progress % + TCC'!B:J,9,FALSE)</f>
        <v>Central</v>
      </c>
      <c r="F20" s="13" t="str">
        <f t="shared" si="0"/>
        <v>Yes</v>
      </c>
      <c r="G20" s="13"/>
      <c r="H20" s="13"/>
      <c r="I20" s="13" t="s">
        <v>45</v>
      </c>
      <c r="J20" s="13"/>
      <c r="K20" s="14">
        <f>VLOOKUP(B20,'Detailed Update'!B:D,3,FALSE)</f>
        <v>45246</v>
      </c>
      <c r="L20" s="18">
        <f>VLOOKUP(B20,'Detailed Update'!B:I,4,FALSE)</f>
        <v>0.50839999999999996</v>
      </c>
      <c r="M20" s="18">
        <f>VLOOKUP(B20,'Detailed Update'!B:I,5,FALSE)</f>
        <v>0.45119999999999999</v>
      </c>
      <c r="N20" s="18">
        <f t="shared" si="1"/>
        <v>-5.7199999999999973E-2</v>
      </c>
      <c r="O20" s="7" t="str">
        <f>VLOOKUP(B20,'Detailed Update'!B:I,6,FALSE)</f>
        <v>SEC</v>
      </c>
      <c r="P20" s="7" t="str">
        <f>VLOOKUP(B20,'Detailed Update'!B:I,8,FALSE)</f>
        <v>Riyadh</v>
      </c>
      <c r="Q20" s="17" t="s">
        <v>33</v>
      </c>
      <c r="R20" s="10">
        <f>VLOOKUP(B20,'Detailed Update'!B:T,11,FALSE)</f>
        <v>45977</v>
      </c>
      <c r="S20" s="10">
        <f>VLOOKUP(B20,'Detailed Update'!B:T,12,FALSE)</f>
        <v>46490</v>
      </c>
      <c r="T20" s="9">
        <f>VLOOKUP(B20,'Detailed Update'!B:T,13,FALSE)</f>
        <v>46547</v>
      </c>
      <c r="U20" s="9">
        <f>VLOOKUP(B20,'Detailed Update'!B:T,17,FALSE)</f>
        <v>46128</v>
      </c>
      <c r="V20" s="9">
        <f>VLOOKUP(B20,'Detailed Update'!B:S,18,FALSE)</f>
        <v>46641</v>
      </c>
      <c r="W20" s="9">
        <f>VLOOKUP(B20,'Detailed Update'!B:T,19,FALSE)</f>
        <v>46698</v>
      </c>
      <c r="X20" s="11" t="str">
        <f>VLOOKUP(B20,'Detailed Update'!B:U,20,FALSE)</f>
        <v>Progress based on Internal Baseline.
1-Delay in approval of water proofing VO &amp; removal of loose material, which affects the construction works.
2- Negative Cash flow.
3-Claim Approval 201 Mn for prolongation &amp; inflation costs.
4- Delivery for disconnector switch expected to be delayed.</v>
      </c>
    </row>
    <row r="21" spans="1:24" ht="25.35" customHeight="1">
      <c r="A21" s="7">
        <v>18</v>
      </c>
      <c r="B21" s="7" t="s">
        <v>46</v>
      </c>
      <c r="C21" s="20" t="str">
        <f>VLOOKUP(B21,'Detailed Update'!B:C,2,FALSE)</f>
        <v>SHARAFIYAH 380 KV SS</v>
      </c>
      <c r="D21" s="13" t="str">
        <f>VLOOKUP(B21,'Updated Progress % + TCC'!B:D,3,FALSE)</f>
        <v>Mohamed Sabri</v>
      </c>
      <c r="E21" s="7" t="str">
        <f>VLOOKUP(B21,'Updated Progress % + TCC'!B:J,9,FALSE)</f>
        <v>Central</v>
      </c>
      <c r="F21" s="13" t="str">
        <f t="shared" si="0"/>
        <v>No</v>
      </c>
      <c r="G21" s="13" t="s">
        <v>25</v>
      </c>
      <c r="H21" s="13" t="s">
        <v>25</v>
      </c>
      <c r="I21" s="13" t="s">
        <v>25</v>
      </c>
      <c r="J21" s="13"/>
      <c r="K21" s="14">
        <f>VLOOKUP(B21,'Detailed Update'!B:D,3,FALSE)</f>
        <v>45139</v>
      </c>
      <c r="L21" s="18">
        <f>VLOOKUP(B21,'Detailed Update'!B:I,4,FALSE)</f>
        <v>1</v>
      </c>
      <c r="M21" s="18">
        <f>VLOOKUP(B21,'Detailed Update'!B:I,5,FALSE)</f>
        <v>0.93779999999999997</v>
      </c>
      <c r="N21" s="18">
        <f t="shared" si="1"/>
        <v>-6.2200000000000033E-2</v>
      </c>
      <c r="O21" s="7" t="str">
        <f>VLOOKUP(B21,'Detailed Update'!B:I,6,FALSE)</f>
        <v>SEC</v>
      </c>
      <c r="P21" s="7" t="str">
        <f>VLOOKUP(B21,'Detailed Update'!B:I,8,FALSE)</f>
        <v>Riyadh</v>
      </c>
      <c r="Q21" s="17" t="s">
        <v>33</v>
      </c>
      <c r="R21" s="10">
        <f>VLOOKUP(B21,'Detailed Update'!B:T,11,FALSE)</f>
        <v>45689</v>
      </c>
      <c r="S21" s="10">
        <f>VLOOKUP(B21,'Detailed Update'!B:T,12,FALSE)</f>
        <v>45689</v>
      </c>
      <c r="T21" s="9">
        <f>VLOOKUP(B21,'Detailed Update'!B:T,13,FALSE)</f>
        <v>46183</v>
      </c>
      <c r="U21" s="9">
        <f>VLOOKUP(B21,'Detailed Update'!B:T,17,FALSE)</f>
        <v>45839</v>
      </c>
      <c r="V21" s="9">
        <f>VLOOKUP(B21,'Detailed Update'!B:S,18,FALSE)</f>
        <v>45839</v>
      </c>
      <c r="W21" s="9">
        <f>VLOOKUP(B21,'Detailed Update'!B:T,19,FALSE)</f>
        <v>46333</v>
      </c>
      <c r="X21" s="11" t="str">
        <f>VLOOKUP(B21,'Detailed Update'!B:U,20,FALSE)</f>
        <v>Partially Energized.
1.Taihan - Oil Joints
2.Design Approval - 6 Remote end ( 132 kV)
3.Gantry Foundation for Existing Substation 
4.Unclear Shutdown schedule for Power and Communication link with all remote ends
5. Delay in Micro Trenching of FOC 25km</v>
      </c>
    </row>
    <row r="22" spans="1:24" ht="25.35" customHeight="1">
      <c r="A22" s="7">
        <v>19</v>
      </c>
      <c r="B22" s="7" t="s">
        <v>47</v>
      </c>
      <c r="C22" s="20" t="str">
        <f>VLOOKUP(B22,'Detailed Update'!B:C,2,FALSE)</f>
        <v>AL-NAZEEM 132/13.8KV SS # 8271</v>
      </c>
      <c r="D22" s="13" t="str">
        <f>VLOOKUP(B22,'Updated Progress % + TCC'!B:D,3,FALSE)</f>
        <v>Nedal Alkhatib</v>
      </c>
      <c r="E22" s="7" t="str">
        <f>VLOOKUP(B22,'Updated Progress % + TCC'!B:J,9,FALSE)</f>
        <v>Central</v>
      </c>
      <c r="F22" s="13" t="str">
        <f t="shared" si="0"/>
        <v>No</v>
      </c>
      <c r="G22" s="13" t="s">
        <v>25</v>
      </c>
      <c r="H22" s="13" t="s">
        <v>25</v>
      </c>
      <c r="I22" s="13" t="s">
        <v>25</v>
      </c>
      <c r="J22" s="13"/>
      <c r="K22" s="14">
        <f>VLOOKUP(B22,'Detailed Update'!B:D,3,FALSE)</f>
        <v>45131</v>
      </c>
      <c r="L22" s="18">
        <f>VLOOKUP(B22,'Detailed Update'!B:I,4,FALSE)</f>
        <v>1</v>
      </c>
      <c r="M22" s="18">
        <f>VLOOKUP(B22,'Detailed Update'!B:I,5,FALSE)</f>
        <v>0.90849999999999997</v>
      </c>
      <c r="N22" s="18">
        <f t="shared" si="1"/>
        <v>-9.1500000000000026E-2</v>
      </c>
      <c r="O22" s="7" t="str">
        <f>VLOOKUP(B22,'Detailed Update'!B:I,6,FALSE)</f>
        <v xml:space="preserve">SEC </v>
      </c>
      <c r="P22" s="7" t="str">
        <f>VLOOKUP(B22,'Detailed Update'!B:I,8,FALSE)</f>
        <v>Riyadh</v>
      </c>
      <c r="Q22" s="17" t="s">
        <v>26</v>
      </c>
      <c r="R22" s="10">
        <f>VLOOKUP(B22,'Detailed Update'!B:T,11,FALSE)</f>
        <v>45619</v>
      </c>
      <c r="S22" s="10">
        <f>VLOOKUP(B22,'Detailed Update'!B:T,12,FALSE)</f>
        <v>45831</v>
      </c>
      <c r="T22" s="9">
        <f>VLOOKUP(B22,'Detailed Update'!B:T,13,FALSE)</f>
        <v>46387</v>
      </c>
      <c r="U22" s="9">
        <f>VLOOKUP(B22,'Detailed Update'!B:T,17,FALSE)</f>
        <v>45770</v>
      </c>
      <c r="V22" s="9">
        <f>VLOOKUP(B22,'Detailed Update'!B:S,18,FALSE)</f>
        <v>45984</v>
      </c>
      <c r="W22" s="9">
        <f>VLOOKUP(B22,'Detailed Update'!B:T,19,FALSE)</f>
        <v>46540</v>
      </c>
      <c r="X22" s="11" t="str">
        <f>VLOOKUP(B22,'Detailed Update'!B:U,20,FALSE)</f>
        <v>Commissioing on Hold due to non-readiness of UG Contractor</v>
      </c>
    </row>
    <row r="23" spans="1:24" ht="25.35" customHeight="1">
      <c r="A23" s="7">
        <v>20</v>
      </c>
      <c r="B23" s="7" t="s">
        <v>48</v>
      </c>
      <c r="C23" s="20" t="str">
        <f>VLOOKUP(B23,'Detailed Update'!B:C,2,FALSE)</f>
        <v>Reinf of 132KV Network of Baqaa</v>
      </c>
      <c r="D23" s="13" t="str">
        <f>VLOOKUP(B23,'Updated Progress % + TCC'!B:D,3,FALSE)</f>
        <v>Yousef AlMohtaseb</v>
      </c>
      <c r="E23" s="7" t="str">
        <f>VLOOKUP(B23,'Updated Progress % + TCC'!B:J,9,FALSE)</f>
        <v>Central</v>
      </c>
      <c r="F23" s="13" t="str">
        <f t="shared" si="0"/>
        <v>No</v>
      </c>
      <c r="G23" s="13" t="s">
        <v>25</v>
      </c>
      <c r="H23" s="13" t="s">
        <v>25</v>
      </c>
      <c r="I23" s="13" t="s">
        <v>25</v>
      </c>
      <c r="J23" s="13"/>
      <c r="K23" s="14">
        <f>VLOOKUP(B23,'Detailed Update'!B:D,3,FALSE)</f>
        <v>45238</v>
      </c>
      <c r="L23" s="18">
        <f>VLOOKUP(B23,'Detailed Update'!B:I,4,FALSE)</f>
        <v>0.99919999999999998</v>
      </c>
      <c r="M23" s="18">
        <f>VLOOKUP(B23,'Detailed Update'!B:I,5,FALSE)</f>
        <v>0.93579999999999997</v>
      </c>
      <c r="N23" s="18">
        <f t="shared" si="1"/>
        <v>-6.3400000000000012E-2</v>
      </c>
      <c r="O23" s="7" t="str">
        <f>VLOOKUP(B23,'Detailed Update'!B:I,6,FALSE)</f>
        <v xml:space="preserve">SEC </v>
      </c>
      <c r="P23" s="7" t="str">
        <f>VLOOKUP(B23,'Detailed Update'!B:I,8,FALSE)</f>
        <v>Riyadh</v>
      </c>
      <c r="Q23" s="17" t="s">
        <v>26</v>
      </c>
      <c r="R23" s="10">
        <f>VLOOKUP(B23,'Detailed Update'!B:T,11,FALSE)</f>
        <v>45784</v>
      </c>
      <c r="S23" s="10">
        <f>VLOOKUP(B23,'Detailed Update'!B:T,12,FALSE)</f>
        <v>45981</v>
      </c>
      <c r="T23" s="9">
        <f>VLOOKUP(B23,'Detailed Update'!B:T,13,FALSE)</f>
        <v>46326</v>
      </c>
      <c r="U23" s="9">
        <f>VLOOKUP(B23,'Detailed Update'!B:T,17,FALSE)</f>
        <v>45937</v>
      </c>
      <c r="V23" s="9">
        <f>VLOOKUP(B23,'Detailed Update'!B:S,18,FALSE)</f>
        <v>46132</v>
      </c>
      <c r="W23" s="9">
        <f>VLOOKUP(B23,'Detailed Update'!B:T,19,FALSE)</f>
        <v>46477</v>
      </c>
      <c r="X23" s="11" t="str">
        <f>VLOOKUP(B23,'Detailed Update'!B:U,20,FALSE)</f>
        <v>1.OHTL S/C &amp; D/C crossing - Delay in HOT permits 
2.Cutting point outage at TEE OFF location.
3.ERS System &amp; TEE- OFF Tower Installation 
4.Design Approval of Flood Protection</v>
      </c>
    </row>
    <row r="24" spans="1:24" ht="25.35" customHeight="1">
      <c r="A24" s="7">
        <v>21</v>
      </c>
      <c r="B24" s="7" t="s">
        <v>49</v>
      </c>
      <c r="C24" s="20" t="str">
        <f>VLOOKUP(B24,'Detailed Update'!B:C,2,FALSE)</f>
        <v xml:space="preserve">300 MVAR STATCOM </v>
      </c>
      <c r="D24" s="13" t="str">
        <f>VLOOKUP(B24,'Updated Progress % + TCC'!B:D,3,FALSE)</f>
        <v>Ibrahim Jaradat</v>
      </c>
      <c r="E24" s="7" t="str">
        <f>VLOOKUP(B24,'Updated Progress % + TCC'!B:J,9,FALSE)</f>
        <v>Central</v>
      </c>
      <c r="F24" s="13" t="str">
        <f t="shared" si="0"/>
        <v>Yes</v>
      </c>
      <c r="G24" s="13" t="s">
        <v>50</v>
      </c>
      <c r="H24" s="13"/>
      <c r="I24" s="13"/>
      <c r="J24" s="13"/>
      <c r="K24" s="14">
        <f>VLOOKUP(B24,'Detailed Update'!B:D,3,FALSE)</f>
        <v>45357</v>
      </c>
      <c r="L24" s="18">
        <f>VLOOKUP(B24,'Detailed Update'!B:I,4,FALSE)</f>
        <v>0.79279999999999995</v>
      </c>
      <c r="M24" s="18">
        <f>VLOOKUP(B24,'Detailed Update'!B:I,5,FALSE)</f>
        <v>0.69159999999999999</v>
      </c>
      <c r="N24" s="18">
        <f t="shared" si="1"/>
        <v>-0.10119999999999996</v>
      </c>
      <c r="O24" s="7" t="str">
        <f>VLOOKUP(B24,'Detailed Update'!B:I,6,FALSE)</f>
        <v xml:space="preserve">SEC </v>
      </c>
      <c r="P24" s="7" t="str">
        <f>VLOOKUP(B24,'Detailed Update'!B:I,8,FALSE)</f>
        <v>Riyadh</v>
      </c>
      <c r="Q24" s="17" t="s">
        <v>33</v>
      </c>
      <c r="R24" s="10">
        <f>VLOOKUP(B24,'Detailed Update'!B:T,11,FALSE)</f>
        <v>46087</v>
      </c>
      <c r="S24" s="10">
        <f>VLOOKUP(B24,'Detailed Update'!B:T,12,FALSE)</f>
        <v>46271</v>
      </c>
      <c r="T24" s="9">
        <f>VLOOKUP(B24,'Detailed Update'!B:T,13,FALSE)</f>
        <v>46315</v>
      </c>
      <c r="U24" s="9">
        <f>VLOOKUP(B24,'Detailed Update'!B:T,17,FALSE)</f>
        <v>46240</v>
      </c>
      <c r="V24" s="9">
        <f>VLOOKUP(B24,'Detailed Update'!B:S,18,FALSE)</f>
        <v>46059</v>
      </c>
      <c r="W24" s="9">
        <f>VLOOKUP(B24,'Detailed Update'!B:T,19,FALSE)</f>
        <v>46103</v>
      </c>
      <c r="X24" s="11" t="str">
        <f>VLOOKUP(B24,'Detailed Update'!B:U,20,FALSE)</f>
        <v xml:space="preserve">1.Delay in delivery of AES scope material. (delay in these materials  ,impact the project completion )
2.Delay in 380 kv insulator (Lapp)
3.New fire pump-Delivery (change order),
4.Delay in delivery of MV grounding transformer </v>
      </c>
    </row>
    <row r="25" spans="1:24" ht="25.35" customHeight="1">
      <c r="A25" s="7">
        <v>22</v>
      </c>
      <c r="B25" s="7" t="s">
        <v>51</v>
      </c>
      <c r="C25" s="20" t="str">
        <f>VLOOKUP(B25,'Detailed Update'!B:C,2,FALSE)</f>
        <v>NEW AL-ARED 380/132KV BSP</v>
      </c>
      <c r="D25" s="13" t="str">
        <f>VLOOKUP(B25,'Updated Progress % + TCC'!B:D,3,FALSE)</f>
        <v>Munther Elkhatib</v>
      </c>
      <c r="E25" s="7" t="str">
        <f>VLOOKUP(B25,'Updated Progress % + TCC'!B:J,9,FALSE)</f>
        <v>Central</v>
      </c>
      <c r="F25" s="13" t="str">
        <f t="shared" si="0"/>
        <v>No</v>
      </c>
      <c r="G25" s="13" t="s">
        <v>25</v>
      </c>
      <c r="H25" s="13" t="s">
        <v>25</v>
      </c>
      <c r="I25" s="13" t="s">
        <v>25</v>
      </c>
      <c r="J25" s="13"/>
      <c r="K25" s="14">
        <f>VLOOKUP(B25,'Detailed Update'!B:D,3,FALSE)</f>
        <v>45218</v>
      </c>
      <c r="L25" s="18">
        <f>VLOOKUP(B25,'Detailed Update'!B:I,4,FALSE)</f>
        <v>1</v>
      </c>
      <c r="M25" s="18">
        <f>VLOOKUP(B25,'Detailed Update'!B:I,5,FALSE)</f>
        <v>0.94679999999999997</v>
      </c>
      <c r="N25" s="18">
        <f t="shared" si="1"/>
        <v>-5.3200000000000025E-2</v>
      </c>
      <c r="O25" s="7" t="str">
        <f>VLOOKUP(B25,'Detailed Update'!B:I,6,FALSE)</f>
        <v xml:space="preserve">SEC </v>
      </c>
      <c r="P25" s="7" t="str">
        <f>VLOOKUP(B25,'Detailed Update'!B:I,8,FALSE)</f>
        <v>Riyadh</v>
      </c>
      <c r="Q25" s="17" t="s">
        <v>33</v>
      </c>
      <c r="R25" s="10">
        <f>VLOOKUP(B25,'Detailed Update'!B:T,11,FALSE)</f>
        <v>45766</v>
      </c>
      <c r="S25" s="10">
        <f>VLOOKUP(B25,'Detailed Update'!B:T,12,FALSE)</f>
        <v>45888</v>
      </c>
      <c r="T25" s="9">
        <f>VLOOKUP(B25,'Detailed Update'!B:T,13,FALSE)</f>
        <v>46203</v>
      </c>
      <c r="U25" s="9">
        <f>VLOOKUP(B25,'Detailed Update'!B:T,17,FALSE)</f>
        <v>45919</v>
      </c>
      <c r="V25" s="9">
        <f>VLOOKUP(B25,'Detailed Update'!B:S,18,FALSE)</f>
        <v>46041</v>
      </c>
      <c r="W25" s="9">
        <f>VLOOKUP(B25,'Detailed Update'!B:T,19,FALSE)</f>
        <v>46356</v>
      </c>
      <c r="X25" s="11" t="str">
        <f>VLOOKUP(B25,'Detailed Update'!B:U,20,FALSE)</f>
        <v>1.Slow Punch list - Transformers ,GIS, AES
2.Delay in SEC UG Cable Vendor - New Line( Circuits 3 )</v>
      </c>
    </row>
    <row r="26" spans="1:24" ht="25.35" customHeight="1">
      <c r="A26" s="7">
        <v>23</v>
      </c>
      <c r="B26" s="7" t="s">
        <v>52</v>
      </c>
      <c r="C26" s="20" t="str">
        <f>VLOOKUP(B26,'Detailed Update'!B:C,2,FALSE)</f>
        <v>Reliablity Enh.for SS of 9011 in Sudair</v>
      </c>
      <c r="D26" s="13" t="str">
        <f>VLOOKUP(B26,'Updated Progress % + TCC'!B:D,3,FALSE)</f>
        <v>Mohsin Arshad</v>
      </c>
      <c r="E26" s="7" t="str">
        <f>VLOOKUP(B26,'Updated Progress % + TCC'!B:J,9,FALSE)</f>
        <v>Central</v>
      </c>
      <c r="F26" s="13" t="str">
        <f t="shared" si="0"/>
        <v>Yes</v>
      </c>
      <c r="G26" s="13" t="str">
        <f>IF(N26&gt;70.01%,"No","Yes")</f>
        <v>Yes</v>
      </c>
      <c r="H26" s="13"/>
      <c r="I26" s="13"/>
      <c r="J26" s="13"/>
      <c r="K26" s="14">
        <f>VLOOKUP(B26,'Detailed Update'!B:D,3,FALSE)</f>
        <v>46015</v>
      </c>
      <c r="L26" s="18">
        <f>VLOOKUP(B26,'Detailed Update'!B:I,4,FALSE)</f>
        <v>0.45040000000000002</v>
      </c>
      <c r="M26" s="18">
        <f>VLOOKUP(B26,'Detailed Update'!B:I,5,FALSE)</f>
        <v>0.21890000000000001</v>
      </c>
      <c r="N26" s="18">
        <f t="shared" si="1"/>
        <v>-0.23150000000000001</v>
      </c>
      <c r="O26" s="7" t="str">
        <f>VLOOKUP(B26,'Detailed Update'!B:I,6,FALSE)</f>
        <v>SEC</v>
      </c>
      <c r="P26" s="7" t="str">
        <f>VLOOKUP(B26,'Detailed Update'!B:I,8,FALSE)</f>
        <v>Riyadh</v>
      </c>
      <c r="Q26" s="17" t="s">
        <v>53</v>
      </c>
      <c r="R26" s="10">
        <f>VLOOKUP(B26,'Detailed Update'!B:T,11,FALSE)</f>
        <v>46349</v>
      </c>
      <c r="S26" s="10">
        <f>VLOOKUP(B26,'Detailed Update'!B:T,12,FALSE)</f>
        <v>46349</v>
      </c>
      <c r="T26" s="9">
        <f>VLOOKUP(B26,'Detailed Update'!B:T,13,FALSE)</f>
        <v>46498</v>
      </c>
      <c r="U26" s="9">
        <f>VLOOKUP(B26,'Detailed Update'!B:T,17,FALSE)</f>
        <v>46500</v>
      </c>
      <c r="V26" s="9">
        <f>VLOOKUP(B26,'Detailed Update'!B:S,18,FALSE)</f>
        <v>46500</v>
      </c>
      <c r="W26" s="9">
        <f>VLOOKUP(B26,'Detailed Update'!B:T,19,FALSE)</f>
        <v>46649</v>
      </c>
      <c r="X26" s="11" t="str">
        <f>VLOOKUP(B26,'Detailed Update'!B:U,20,FALSE)</f>
        <v>Current issues
1.Delay in Plan &amp; Profile - OHTL
2.Delay in Plan &amp; Profile - UG Cable ( T- off Tower Location)
3.Delay in SE supply GIS Bays
4.Delay in Material :-  Tower, Hardware, Insulator
5. Delay in providing existing Design : Remote End, U/G 8500 to 8521, Basement &amp; Sleeves Details, Telecom Room, Control Room Layouts
6.Delay in Mobilization of Project Team OHTL Site Engr &amp; Project Engr, QA &amp; QC Civil &amp; Electrical
7. Unclear Shutdown for Project</v>
      </c>
    </row>
    <row r="27" spans="1:24" ht="25.35" customHeight="1">
      <c r="A27" s="7">
        <v>24</v>
      </c>
      <c r="B27" s="7" t="s">
        <v>54</v>
      </c>
      <c r="C27" s="20" t="str">
        <f>VLOOKUP(B27,'Detailed Update'!B:C,2,FALSE)</f>
        <v>Al Shifa Housing 132/13.8KV SS</v>
      </c>
      <c r="D27" s="13" t="str">
        <f>VLOOKUP(B27,'Updated Progress % + TCC'!B:D,3,FALSE)</f>
        <v>Meshari Alqarni</v>
      </c>
      <c r="E27" s="7" t="str">
        <f>VLOOKUP(B27,'Updated Progress % + TCC'!B:J,9,FALSE)</f>
        <v>Central</v>
      </c>
      <c r="F27" s="13" t="str">
        <f t="shared" si="0"/>
        <v>No</v>
      </c>
      <c r="G27" s="13" t="s">
        <v>25</v>
      </c>
      <c r="H27" s="13" t="s">
        <v>25</v>
      </c>
      <c r="I27" s="13" t="s">
        <v>25</v>
      </c>
      <c r="J27" s="13"/>
      <c r="K27" s="14">
        <f>VLOOKUP(B27,'Detailed Update'!B:D,3,FALSE)</f>
        <v>45313</v>
      </c>
      <c r="L27" s="18">
        <f>VLOOKUP(B27,'Detailed Update'!B:I,4,FALSE)</f>
        <v>0.94599999999999995</v>
      </c>
      <c r="M27" s="18">
        <f>VLOOKUP(B27,'Detailed Update'!B:I,5,FALSE)</f>
        <v>0.86919999999999997</v>
      </c>
      <c r="N27" s="18">
        <f t="shared" si="1"/>
        <v>-7.6799999999999979E-2</v>
      </c>
      <c r="O27" s="7" t="str">
        <f>VLOOKUP(B27,'Detailed Update'!B:I,6,FALSE)</f>
        <v xml:space="preserve">SEC </v>
      </c>
      <c r="P27" s="7" t="str">
        <f>VLOOKUP(B27,'Detailed Update'!B:I,8,FALSE)</f>
        <v>Riyadh</v>
      </c>
      <c r="Q27" s="17" t="s">
        <v>33</v>
      </c>
      <c r="R27" s="10">
        <f>VLOOKUP(B27,'Detailed Update'!B:T,11,FALSE)</f>
        <v>45983</v>
      </c>
      <c r="S27" s="10">
        <f>VLOOKUP(B27,'Detailed Update'!B:T,12,FALSE)</f>
        <v>46194</v>
      </c>
      <c r="T27" s="9">
        <f>VLOOKUP(B27,'Detailed Update'!B:T,13,FALSE)</f>
        <v>46251</v>
      </c>
      <c r="U27" s="9">
        <f>VLOOKUP(B27,'Detailed Update'!B:T,17,FALSE)</f>
        <v>46133</v>
      </c>
      <c r="V27" s="9">
        <f>VLOOKUP(B27,'Detailed Update'!B:S,18,FALSE)</f>
        <v>46347</v>
      </c>
      <c r="W27" s="9">
        <f>VLOOKUP(B27,'Detailed Update'!B:T,19,FALSE)</f>
        <v>46404</v>
      </c>
      <c r="X27" s="11" t="str">
        <f>VLOOKUP(B27,'Detailed Update'!B:U,20,FALSE)</f>
        <v>1.Incomplete HV underground cable works under another contractor’s scope are impacting the substation energization activities.
2.STATCOM PQS approval remains pending with SEC/vendor, affecting material delivery and subsequent installation.
3.Delay in remote end (8131) works due to pending C1 work permit</v>
      </c>
    </row>
    <row r="28" spans="1:24" ht="25.35" customHeight="1">
      <c r="A28" s="7">
        <v>25</v>
      </c>
      <c r="B28" s="7" t="s">
        <v>55</v>
      </c>
      <c r="C28" s="20" t="str">
        <f>VLOOKUP(B28,'Detailed Update'!B:C,2,FALSE)</f>
        <v>Shaqra Wind 380/132kV SS</v>
      </c>
      <c r="D28" s="13" t="str">
        <f>VLOOKUP(B28,'Updated Progress % + TCC'!B:D,3,FALSE)</f>
        <v>Ahmed Mosaad Abdel Nabi Hussein</v>
      </c>
      <c r="E28" s="7" t="str">
        <f>VLOOKUP(B28,'Updated Progress % + TCC'!B:J,9,FALSE)</f>
        <v>Central</v>
      </c>
      <c r="F28" s="13" t="str">
        <f t="shared" si="0"/>
        <v>Yes</v>
      </c>
      <c r="G28" s="13" t="s">
        <v>50</v>
      </c>
      <c r="H28" s="13"/>
      <c r="I28" s="13"/>
      <c r="J28" s="13"/>
      <c r="K28" s="14">
        <f>VLOOKUP(B28,'Detailed Update'!B:D,3,FALSE)</f>
        <v>45589</v>
      </c>
      <c r="L28" s="18">
        <f>VLOOKUP(B28,'Detailed Update'!B:I,4,FALSE)</f>
        <v>0.96750000000000003</v>
      </c>
      <c r="M28" s="18">
        <f>VLOOKUP(B28,'Detailed Update'!B:I,5,FALSE)</f>
        <v>0.68769999999999998</v>
      </c>
      <c r="N28" s="18">
        <f t="shared" si="1"/>
        <v>-0.27980000000000005</v>
      </c>
      <c r="O28" s="7" t="str">
        <f>VLOOKUP(B28,'Detailed Update'!B:I,6,FALSE)</f>
        <v>SEC</v>
      </c>
      <c r="P28" s="7" t="str">
        <f>VLOOKUP(B28,'Detailed Update'!B:I,8,FALSE)</f>
        <v>Riyadh</v>
      </c>
      <c r="Q28" s="17" t="s">
        <v>53</v>
      </c>
      <c r="R28" s="10">
        <f>VLOOKUP(B28,'Detailed Update'!B:T,11,FALSE)</f>
        <v>46165</v>
      </c>
      <c r="S28" s="10">
        <f>VLOOKUP(B28,'Detailed Update'!B:T,12,FALSE)</f>
        <v>46165</v>
      </c>
      <c r="T28" s="9">
        <f>VLOOKUP(B28,'Detailed Update'!B:T,13,FALSE)</f>
        <v>46387</v>
      </c>
      <c r="U28" s="9">
        <f>VLOOKUP(B28,'Detailed Update'!B:T,17,FALSE)</f>
        <v>46318</v>
      </c>
      <c r="V28" s="9">
        <f>VLOOKUP(B28,'Detailed Update'!B:S,18,FALSE)</f>
        <v>46318</v>
      </c>
      <c r="W28" s="9">
        <f>VLOOKUP(B28,'Detailed Update'!B:T,19,FALSE)</f>
        <v>46540</v>
      </c>
      <c r="X28" s="11" t="str">
        <f>VLOOKUP(B28,'Detailed Update'!B:U,20,FALSE)</f>
        <v>1-Delay in the delivery of 132kV and 380kV GIB and Hybrid GIS (SEC Direct purchase) beyond the scheduled dates, where the original plan was December 2025; however, only the 132kV GIB was delivered in end of May 2026, while the 380kV GIB and Hybrid GIS are still pending.
2-Delay in the supply of AC and DC panels from AES up to date.
3- Delay in obtaining ITP approvals for DSM and TFR systems AES prequalification to perform the FAT in AES factory.
4-Change order confirmation for the additional scope , which holding following activities (Civil work for Search facilities - Guard house - security building and along with all septic tank and water connections , HCIS stage 3 finalization and approval , Procurement of all  electrical , mechanical , security material related to this pending .
5-Delay in the approval of firefighting system designs due to changing multiple changes in the review process from SEC and adding new comments with each revision.
6- After approval of lightening panels design (MS Hawaa ) SEC insist to change the manufactural to new alternate as (MS hawaa )is currently suspended in the system 
7- Confirmation of EOT which submitted 9-Apr-26.</v>
      </c>
    </row>
    <row r="29" spans="1:24" ht="25.35" customHeight="1">
      <c r="A29" s="7">
        <v>26</v>
      </c>
      <c r="B29" s="7" t="s">
        <v>56</v>
      </c>
      <c r="C29" s="20" t="str">
        <f>VLOOKUP(B29,'Detailed Update'!B:C,2,FALSE)</f>
        <v>Battery Energy (BESS) - Qaisumah</v>
      </c>
      <c r="D29" s="13" t="str">
        <f>VLOOKUP(B29,'Updated Progress % + TCC'!B:D,3,FALSE)</f>
        <v>Tariq Mahmoud Ali Alsheyab</v>
      </c>
      <c r="E29" s="7" t="str">
        <f>VLOOKUP(B29,'Updated Progress % + TCC'!B:J,9,FALSE)</f>
        <v>Central</v>
      </c>
      <c r="F29" s="13" t="str">
        <f t="shared" si="0"/>
        <v>No</v>
      </c>
      <c r="G29" s="13" t="s">
        <v>25</v>
      </c>
      <c r="H29" s="13" t="s">
        <v>25</v>
      </c>
      <c r="I29" s="13" t="s">
        <v>25</v>
      </c>
      <c r="J29" s="13"/>
      <c r="K29" s="14">
        <f>VLOOKUP(B29,'Detailed Update'!B:D,3,FALSE)</f>
        <v>45642</v>
      </c>
      <c r="L29" s="18">
        <f>VLOOKUP(B29,'Detailed Update'!B:I,4,FALSE)</f>
        <v>1</v>
      </c>
      <c r="M29" s="18">
        <f>VLOOKUP(B29,'Detailed Update'!B:I,5,FALSE)</f>
        <v>0.95630000000000004</v>
      </c>
      <c r="N29" s="18">
        <f t="shared" si="1"/>
        <v>-4.3699999999999961E-2</v>
      </c>
      <c r="O29" s="7" t="str">
        <f>VLOOKUP(B29,'Detailed Update'!B:I,6,FALSE)</f>
        <v>SEC</v>
      </c>
      <c r="P29" s="7" t="str">
        <f>VLOOKUP(B29,'Detailed Update'!B:I,8,FALSE)</f>
        <v>Riyadh</v>
      </c>
      <c r="Q29" s="17" t="s">
        <v>53</v>
      </c>
      <c r="R29" s="10">
        <f>VLOOKUP(B29,'Detailed Update'!B:T,11,FALSE)</f>
        <v>46158</v>
      </c>
      <c r="S29" s="10">
        <f>VLOOKUP(B29,'Detailed Update'!B:T,12,FALSE)</f>
        <v>46158</v>
      </c>
      <c r="T29" s="9">
        <f>VLOOKUP(B29,'Detailed Update'!B:T,13,FALSE)</f>
        <v>46153</v>
      </c>
      <c r="U29" s="9">
        <f>VLOOKUP(B29,'Detailed Update'!B:T,17,FALSE)</f>
        <v>46311</v>
      </c>
      <c r="V29" s="9">
        <f>VLOOKUP(B29,'Detailed Update'!B:S,18,FALSE)</f>
        <v>46311</v>
      </c>
      <c r="W29" s="9">
        <f>VLOOKUP(B29,'Detailed Update'!B:T,19,FALSE)</f>
        <v>46306</v>
      </c>
      <c r="X29" s="11" t="str">
        <f>VLOOKUP(B29,'Detailed Update'!B:U,20,FALSE)</f>
        <v>Energized.</v>
      </c>
    </row>
    <row r="30" spans="1:24" ht="25.35" customHeight="1">
      <c r="A30" s="7">
        <v>27</v>
      </c>
      <c r="B30" s="7" t="s">
        <v>57</v>
      </c>
      <c r="C30" s="20" t="str">
        <f>VLOOKUP(B30,'Detailed Update'!B:C,2,FALSE)</f>
        <v xml:space="preserve">Battery Energy (BESS) - Dawadmi </v>
      </c>
      <c r="D30" s="13" t="str">
        <f>VLOOKUP(B30,'Updated Progress % + TCC'!B:D,3,FALSE)</f>
        <v>Mohamed Ahmed Abdellatif Abdelkader</v>
      </c>
      <c r="E30" s="7" t="str">
        <f>VLOOKUP(B30,'Updated Progress % + TCC'!B:J,9,FALSE)</f>
        <v>Central</v>
      </c>
      <c r="F30" s="13" t="str">
        <f t="shared" si="0"/>
        <v>No</v>
      </c>
      <c r="G30" s="13" t="s">
        <v>25</v>
      </c>
      <c r="H30" s="13" t="s">
        <v>25</v>
      </c>
      <c r="I30" s="13" t="s">
        <v>25</v>
      </c>
      <c r="J30" s="13"/>
      <c r="K30" s="14">
        <f>VLOOKUP(B30,'Detailed Update'!B:D,3,FALSE)</f>
        <v>45642</v>
      </c>
      <c r="L30" s="18">
        <f>VLOOKUP(B30,'Detailed Update'!B:I,4,FALSE)</f>
        <v>1</v>
      </c>
      <c r="M30" s="18">
        <f>VLOOKUP(B30,'Detailed Update'!B:I,5,FALSE)</f>
        <v>0.97660000000000002</v>
      </c>
      <c r="N30" s="18">
        <f t="shared" si="1"/>
        <v>-2.3399999999999976E-2</v>
      </c>
      <c r="O30" s="7" t="str">
        <f>VLOOKUP(B30,'Detailed Update'!B:I,6,FALSE)</f>
        <v>SEC</v>
      </c>
      <c r="P30" s="7" t="str">
        <f>VLOOKUP(B30,'Detailed Update'!B:I,8,FALSE)</f>
        <v>Riyadh</v>
      </c>
      <c r="Q30" s="17" t="s">
        <v>53</v>
      </c>
      <c r="R30" s="10">
        <f>VLOOKUP(B30,'Detailed Update'!B:T,11,FALSE)</f>
        <v>46158</v>
      </c>
      <c r="S30" s="10">
        <f>VLOOKUP(B30,'Detailed Update'!B:T,12,FALSE)</f>
        <v>46158</v>
      </c>
      <c r="T30" s="9">
        <f>VLOOKUP(B30,'Detailed Update'!B:T,13,FALSE)</f>
        <v>46152</v>
      </c>
      <c r="U30" s="9">
        <f>VLOOKUP(B30,'Detailed Update'!B:T,17,FALSE)</f>
        <v>46311</v>
      </c>
      <c r="V30" s="9">
        <f>VLOOKUP(B30,'Detailed Update'!B:S,18,FALSE)</f>
        <v>46311</v>
      </c>
      <c r="W30" s="9">
        <f>VLOOKUP(B30,'Detailed Update'!B:T,19,FALSE)</f>
        <v>46305</v>
      </c>
      <c r="X30" s="11" t="str">
        <f>VLOOKUP(B30,'Detailed Update'!B:U,20,FALSE)</f>
        <v>Energized.</v>
      </c>
    </row>
    <row r="31" spans="1:24" ht="25.35" customHeight="1">
      <c r="A31" s="7">
        <v>28</v>
      </c>
      <c r="B31" s="7" t="s">
        <v>58</v>
      </c>
      <c r="C31" s="20" t="str">
        <f>VLOOKUP(B31,'Detailed Update'!B:C,2,FALSE)</f>
        <v>Battery Energy (BESS) - Airport</v>
      </c>
      <c r="D31" s="13" t="str">
        <f>VLOOKUP(B31,'Updated Progress % + TCC'!B:D,3,FALSE)</f>
        <v>Tarig Mohammed</v>
      </c>
      <c r="E31" s="7" t="str">
        <f>VLOOKUP(B31,'Updated Progress % + TCC'!B:J,9,FALSE)</f>
        <v>Central</v>
      </c>
      <c r="F31" s="13" t="str">
        <f t="shared" si="0"/>
        <v>No</v>
      </c>
      <c r="G31" s="13" t="s">
        <v>25</v>
      </c>
      <c r="H31" s="13" t="s">
        <v>25</v>
      </c>
      <c r="I31" s="13" t="s">
        <v>25</v>
      </c>
      <c r="J31" s="13"/>
      <c r="K31" s="14">
        <f>VLOOKUP(B31,'Detailed Update'!B:D,3,FALSE)</f>
        <v>45642</v>
      </c>
      <c r="L31" s="18">
        <f>VLOOKUP(B31,'Detailed Update'!B:I,4,FALSE)</f>
        <v>1</v>
      </c>
      <c r="M31" s="18">
        <f>VLOOKUP(B31,'Detailed Update'!B:I,5,FALSE)</f>
        <v>0.98829999999999996</v>
      </c>
      <c r="N31" s="18">
        <f t="shared" si="1"/>
        <v>-1.1700000000000044E-2</v>
      </c>
      <c r="O31" s="7" t="str">
        <f>VLOOKUP(B31,'Detailed Update'!B:I,6,FALSE)</f>
        <v>SEC</v>
      </c>
      <c r="P31" s="7" t="str">
        <f>VLOOKUP(B31,'Detailed Update'!B:I,8,FALSE)</f>
        <v>Riyadh</v>
      </c>
      <c r="Q31" s="17" t="s">
        <v>53</v>
      </c>
      <c r="R31" s="10">
        <f>VLOOKUP(B31,'Detailed Update'!B:T,11,FALSE)</f>
        <v>46158</v>
      </c>
      <c r="S31" s="10">
        <f>VLOOKUP(B31,'Detailed Update'!B:T,12,FALSE)</f>
        <v>46158</v>
      </c>
      <c r="T31" s="9">
        <f>VLOOKUP(B31,'Detailed Update'!B:T,13,FALSE)</f>
        <v>46148</v>
      </c>
      <c r="U31" s="9">
        <f>VLOOKUP(B31,'Detailed Update'!B:T,17,FALSE)</f>
        <v>46311</v>
      </c>
      <c r="V31" s="9">
        <f>VLOOKUP(B31,'Detailed Update'!B:S,18,FALSE)</f>
        <v>46311</v>
      </c>
      <c r="W31" s="9">
        <f>VLOOKUP(B31,'Detailed Update'!B:T,19,FALSE)</f>
        <v>46301</v>
      </c>
      <c r="X31" s="11" t="str">
        <f>VLOOKUP(B31,'Detailed Update'!B:U,20,FALSE)</f>
        <v>Energized.</v>
      </c>
    </row>
    <row r="32" spans="1:24" ht="25.35" customHeight="1">
      <c r="A32" s="7">
        <v>29</v>
      </c>
      <c r="B32" s="7" t="s">
        <v>59</v>
      </c>
      <c r="C32" s="20" t="str">
        <f>VLOOKUP(B32,'Detailed Update'!B:C,2,FALSE)</f>
        <v>Battery Energy (BESS) - Jouf</v>
      </c>
      <c r="D32" s="13" t="str">
        <f>VLOOKUP(B32,'Updated Progress % + TCC'!B:D,3,FALSE)</f>
        <v>Khalid Mohamed Aql</v>
      </c>
      <c r="E32" s="7" t="str">
        <f>VLOOKUP(B32,'Updated Progress % + TCC'!B:J,9,FALSE)</f>
        <v>Central</v>
      </c>
      <c r="F32" s="13" t="str">
        <f t="shared" si="0"/>
        <v>No</v>
      </c>
      <c r="G32" s="13" t="s">
        <v>25</v>
      </c>
      <c r="H32" s="13" t="s">
        <v>25</v>
      </c>
      <c r="I32" s="13" t="s">
        <v>25</v>
      </c>
      <c r="J32" s="13"/>
      <c r="K32" s="14">
        <f>VLOOKUP(B32,'Detailed Update'!B:D,3,FALSE)</f>
        <v>45642</v>
      </c>
      <c r="L32" s="18">
        <f>VLOOKUP(B32,'Detailed Update'!B:I,4,FALSE)</f>
        <v>1</v>
      </c>
      <c r="M32" s="18">
        <f>VLOOKUP(B32,'Detailed Update'!B:I,5,FALSE)</f>
        <v>0.98619999999999997</v>
      </c>
      <c r="N32" s="18">
        <f t="shared" si="1"/>
        <v>-1.3800000000000034E-2</v>
      </c>
      <c r="O32" s="7" t="str">
        <f>VLOOKUP(B32,'Detailed Update'!B:I,6,FALSE)</f>
        <v>SEC</v>
      </c>
      <c r="P32" s="7" t="str">
        <f>VLOOKUP(B32,'Detailed Update'!B:I,8,FALSE)</f>
        <v>Jouf</v>
      </c>
      <c r="Q32" s="17" t="s">
        <v>53</v>
      </c>
      <c r="R32" s="10">
        <f>VLOOKUP(B32,'Detailed Update'!B:T,11,FALSE)</f>
        <v>46158</v>
      </c>
      <c r="S32" s="10">
        <f>VLOOKUP(B32,'Detailed Update'!B:T,12,FALSE)</f>
        <v>46158</v>
      </c>
      <c r="T32" s="9">
        <f>VLOOKUP(B32,'Detailed Update'!B:T,13,FALSE)</f>
        <v>46158</v>
      </c>
      <c r="U32" s="9">
        <f>VLOOKUP(B32,'Detailed Update'!B:T,17,FALSE)</f>
        <v>46311</v>
      </c>
      <c r="V32" s="9">
        <f>VLOOKUP(B32,'Detailed Update'!B:S,18,FALSE)</f>
        <v>46311</v>
      </c>
      <c r="W32" s="9">
        <f>VLOOKUP(B32,'Detailed Update'!B:T,19,FALSE)</f>
        <v>46311</v>
      </c>
      <c r="X32" s="11" t="str">
        <f>VLOOKUP(B32,'Detailed Update'!B:U,20,FALSE)</f>
        <v>Energized.</v>
      </c>
    </row>
    <row r="33" spans="1:24" ht="25.35" customHeight="1">
      <c r="A33" s="7">
        <v>30</v>
      </c>
      <c r="B33" s="7" t="s">
        <v>60</v>
      </c>
      <c r="C33" s="20" t="str">
        <f>VLOOKUP(B33,'Detailed Update'!B:C,2,FALSE)</f>
        <v>Construction of Hail-2 Substation for BESS</v>
      </c>
      <c r="D33" s="13" t="str">
        <f>VLOOKUP(B33,'Updated Progress % + TCC'!B:D,3,FALSE)</f>
        <v>Muhannad Ibrahim Al Heh</v>
      </c>
      <c r="E33" s="7" t="str">
        <f>VLOOKUP(B33,'Updated Progress % + TCC'!B:J,9,FALSE)</f>
        <v>Central</v>
      </c>
      <c r="F33" s="13" t="str">
        <f t="shared" ref="F33:F71" si="2">IF(M33&gt;70.01%,"No","Yes")</f>
        <v>Yes</v>
      </c>
      <c r="G33" s="13" t="s">
        <v>25</v>
      </c>
      <c r="H33" s="13"/>
      <c r="I33" s="13"/>
      <c r="J33" s="13"/>
      <c r="K33" s="14">
        <f>VLOOKUP(B33,'Detailed Update'!B:D,3,FALSE)</f>
        <v>45841</v>
      </c>
      <c r="L33" s="18">
        <f>VLOOKUP(B33,'Detailed Update'!B:I,4,FALSE)</f>
        <v>0.88729999999999998</v>
      </c>
      <c r="M33" s="18">
        <f>VLOOKUP(B33,'Detailed Update'!B:I,5,FALSE)</f>
        <v>0.46610000000000001</v>
      </c>
      <c r="N33" s="18">
        <f t="shared" si="1"/>
        <v>-0.42119999999999996</v>
      </c>
      <c r="O33" s="7" t="str">
        <f>VLOOKUP(B33,'Detailed Update'!B:I,6,FALSE)</f>
        <v>SEC</v>
      </c>
      <c r="P33" s="7" t="str">
        <f>VLOOKUP(B33,'Detailed Update'!B:I,8,FALSE)</f>
        <v>Hail</v>
      </c>
      <c r="Q33" s="17" t="s">
        <v>53</v>
      </c>
      <c r="R33" s="10">
        <f>VLOOKUP(B33,'Detailed Update'!B:T,11,FALSE)</f>
        <v>46176</v>
      </c>
      <c r="S33" s="10">
        <f>VLOOKUP(B33,'Detailed Update'!B:T,12,FALSE)</f>
        <v>46176</v>
      </c>
      <c r="T33" s="9">
        <f>VLOOKUP(B33,'Detailed Update'!B:T,13,FALSE)</f>
        <v>46280</v>
      </c>
      <c r="U33" s="9">
        <f>VLOOKUP(B33,'Detailed Update'!B:T,17,FALSE)</f>
        <v>46329</v>
      </c>
      <c r="V33" s="9">
        <f>VLOOKUP(B33,'Detailed Update'!B:S,18,FALSE)</f>
        <v>46329</v>
      </c>
      <c r="W33" s="9">
        <f>VLOOKUP(B33,'Detailed Update'!B:T,19,FALSE)</f>
        <v>46433</v>
      </c>
      <c r="X33" s="11" t="str">
        <f>VLOOKUP(B33,'Detailed Update'!B:U,20,FALSE)</f>
        <v>1-Delay in approving critical designs such as FF designs, &amp; Remote end AMI , with some submittals open for more than 3 months
2- Delay in design inputs has delayed grid studies submission &amp; approval cycles
3- Delay in Alfanar equipment delivery:
   - Auxiliary transformer
   - AC &amp; DC Panels
   - TFR &amp; DSM
   - Remote End AMI &amp; Metering
4- Delay in BESS Supplier fire fighting protion delivery (BESS gas pipes)
5- Delay in Firefighting pumps delivery
6- Delay in surge arrestors, and post insulators delivery
7- Delay in 33Kv SWGR termination kits delivery
8- Delay in HGIS Delivery: 1 out of 2 Bays delivered
9- Delay in UPS delivery</v>
      </c>
    </row>
    <row r="34" spans="1:24" ht="25.35" customHeight="1">
      <c r="A34" s="7">
        <v>31</v>
      </c>
      <c r="B34" s="7" t="s">
        <v>61</v>
      </c>
      <c r="C34" s="20" t="str">
        <f>VLOOKUP(B34,'Detailed Update'!B:C,2,FALSE)</f>
        <v xml:space="preserve">Conv of Riyadh CC PP10 - Phase 2				</v>
      </c>
      <c r="D34" s="13" t="str">
        <f>VLOOKUP(B34,'Updated Progress % + TCC'!B:D,3,FALSE)</f>
        <v>Muhannad Badawi</v>
      </c>
      <c r="E34" s="7" t="str">
        <f>VLOOKUP(B34,'Updated Progress % + TCC'!B:J,9,FALSE)</f>
        <v>Central</v>
      </c>
      <c r="F34" s="13" t="str">
        <f t="shared" si="2"/>
        <v>Yes</v>
      </c>
      <c r="G34" s="13" t="str">
        <f>IF(N34&gt;70.01%,"No","Yes")</f>
        <v>Yes</v>
      </c>
      <c r="H34" s="13"/>
      <c r="I34" s="13"/>
      <c r="J34" s="13"/>
      <c r="K34" s="14">
        <f>VLOOKUP(B34,'Detailed Update'!B:D,3,FALSE)</f>
        <v>45785</v>
      </c>
      <c r="L34" s="18">
        <f>VLOOKUP(B34,'Detailed Update'!B:I,4,FALSE)</f>
        <v>0.40189999999999998</v>
      </c>
      <c r="M34" s="18">
        <f>VLOOKUP(B34,'Detailed Update'!B:I,5,FALSE)</f>
        <v>0.16420000000000001</v>
      </c>
      <c r="N34" s="18">
        <f t="shared" si="1"/>
        <v>-0.23769999999999997</v>
      </c>
      <c r="O34" s="7" t="str">
        <f>VLOOKUP(B34,'Detailed Update'!B:I,6,FALSE)</f>
        <v>SEC</v>
      </c>
      <c r="P34" s="7" t="str">
        <f>VLOOKUP(B34,'Detailed Update'!B:I,8,FALSE)</f>
        <v>Riyadh</v>
      </c>
      <c r="Q34" s="17" t="s">
        <v>53</v>
      </c>
      <c r="R34" s="10">
        <f>VLOOKUP(B34,'Detailed Update'!B:T,11,FALSE)</f>
        <v>46515</v>
      </c>
      <c r="S34" s="10">
        <f>VLOOKUP(B34,'Detailed Update'!B:T,12,FALSE)</f>
        <v>46515</v>
      </c>
      <c r="T34" s="9">
        <f>VLOOKUP(B34,'Detailed Update'!B:T,13,FALSE)</f>
        <v>46765</v>
      </c>
      <c r="U34" s="9">
        <f>VLOOKUP(B34,'Detailed Update'!B:T,17,FALSE)</f>
        <v>46912</v>
      </c>
      <c r="V34" s="9">
        <f>VLOOKUP(B34,'Detailed Update'!B:S,18,FALSE)</f>
        <v>46912</v>
      </c>
      <c r="W34" s="9">
        <f>VLOOKUP(B34,'Detailed Update'!B:T,19,FALSE)</f>
        <v>47162</v>
      </c>
      <c r="X34" s="11" t="str">
        <f>VLOOKUP(B34,'Detailed Update'!B:U,20,FALSE)</f>
        <v>1.Base Design Approval : Disagreement with SE on interpretation of the Contract.
2.Engineering Review Cycle Delays : Agreed timelines for review are not being adhered.
3.Delivery durations for critical  (LLIs) exceed the Contractual timeline, creating a significant risk to meeting the contractual milestones.
4.Accelerated Dec 2026 completion requested by SE for GT 1st Fire.
5.Site Access Gate Permits &amp; Work Permit issues.</v>
      </c>
    </row>
    <row r="35" spans="1:24" ht="25.35" customHeight="1">
      <c r="A35" s="7">
        <v>32</v>
      </c>
      <c r="B35" s="7" t="s">
        <v>62</v>
      </c>
      <c r="C35" s="20" t="str">
        <f>VLOOKUP(B35,'Detailed Update'!B:C,2,FALSE)</f>
        <v>380KV OHTL | MAWQAQ BSP CONNECTION</v>
      </c>
      <c r="D35" s="13" t="str">
        <f>VLOOKUP(B35,'Updated Progress % + TCC'!B:D,3,FALSE)</f>
        <v>Omar Samman</v>
      </c>
      <c r="E35" s="7" t="str">
        <f>VLOOKUP(B35,'Updated Progress % + TCC'!B:J,9,FALSE)</f>
        <v>Central</v>
      </c>
      <c r="F35" s="13" t="str">
        <f t="shared" si="2"/>
        <v>Yes</v>
      </c>
      <c r="G35" s="13" t="s">
        <v>50</v>
      </c>
      <c r="H35" s="13"/>
      <c r="I35" s="13"/>
      <c r="J35" s="13"/>
      <c r="K35" s="14">
        <f>VLOOKUP(B35,'Detailed Update'!B:D,3,FALSE)</f>
        <v>45897</v>
      </c>
      <c r="L35" s="18">
        <f>VLOOKUP(B35,'Detailed Update'!B:I,4,FALSE)</f>
        <v>0.53310000000000002</v>
      </c>
      <c r="M35" s="18">
        <f>VLOOKUP(B35,'Detailed Update'!B:I,5,FALSE)</f>
        <v>0.16059999999999999</v>
      </c>
      <c r="N35" s="18">
        <f t="shared" si="1"/>
        <v>-0.37250000000000005</v>
      </c>
      <c r="O35" s="7" t="str">
        <f>VLOOKUP(B35,'Detailed Update'!B:I,6,FALSE)</f>
        <v>SEC</v>
      </c>
      <c r="P35" s="7" t="str">
        <f>VLOOKUP(B35,'Detailed Update'!B:I,8,FALSE)</f>
        <v>Riyadh</v>
      </c>
      <c r="Q35" s="32" t="s">
        <v>53</v>
      </c>
      <c r="R35" s="10">
        <f>VLOOKUP(B35,'Detailed Update'!B:T,11,FALSE)</f>
        <v>46446</v>
      </c>
      <c r="S35" s="10">
        <f>VLOOKUP(B35,'Detailed Update'!B:T,12,FALSE)</f>
        <v>46446</v>
      </c>
      <c r="T35" s="9">
        <f>VLOOKUP(B35,'Detailed Update'!B:T,13,FALSE)</f>
        <v>46723</v>
      </c>
      <c r="U35" s="9">
        <f>VLOOKUP(B35,'Detailed Update'!B:T,17,FALSE)</f>
        <v>46595</v>
      </c>
      <c r="V35" s="9">
        <f>VLOOKUP(B35,'Detailed Update'!B:S,18,FALSE)</f>
        <v>46595</v>
      </c>
      <c r="W35" s="9">
        <f>VLOOKUP(B35,'Detailed Update'!B:T,19,FALSE)</f>
        <v>46873</v>
      </c>
      <c r="X35" s="11" t="str">
        <f>VLOOKUP(B35,'Detailed Update'!B:U,20,FALSE)</f>
        <v xml:space="preserve">1) Revised Route with additional  change order.Revised Route under approval
2) Finalization of the route is pending for the portion that falls under KSRR.
3) Cost and time impact resulting from the increased transmission line route length and associated scope changes.
4) Delay in approval of plan and profile </v>
      </c>
    </row>
    <row r="36" spans="1:24" ht="25.35" customHeight="1">
      <c r="A36" s="7">
        <v>33</v>
      </c>
      <c r="B36" s="7" t="s">
        <v>63</v>
      </c>
      <c r="C36" s="20" t="str">
        <f>VLOOKUP(B36,'Detailed Update'!B:C,2,FALSE)</f>
        <v>SMP|OPERATION &amp; PROF. SERVICES (HES&amp;HHU)</v>
      </c>
      <c r="D36" s="13" t="str">
        <f>VLOOKUP(B36,'Updated Progress % + TCC'!B:D,3,FALSE)</f>
        <v>Hazem Mahmoud</v>
      </c>
      <c r="E36" s="7" t="str">
        <f>VLOOKUP(B36,'Updated Progress % + TCC'!B:J,9,FALSE)</f>
        <v>Central</v>
      </c>
      <c r="F36" s="13" t="str">
        <f t="shared" si="2"/>
        <v>No</v>
      </c>
      <c r="G36" s="13"/>
      <c r="H36" s="13"/>
      <c r="I36" s="13"/>
      <c r="J36" s="13"/>
      <c r="K36" s="14">
        <f>VLOOKUP(B36,'Detailed Update'!B:D,3,FALSE)</f>
        <v>45853</v>
      </c>
      <c r="L36" s="18">
        <f>VLOOKUP(B36,'Detailed Update'!B:I,4,FALSE)</f>
        <v>0.83330000000000004</v>
      </c>
      <c r="M36" s="18">
        <f>VLOOKUP(B36,'Detailed Update'!B:I,5,FALSE)</f>
        <v>0.83330000000000004</v>
      </c>
      <c r="N36" s="18">
        <f t="shared" si="1"/>
        <v>0</v>
      </c>
      <c r="O36" s="7" t="str">
        <f>VLOOKUP(B36,'Detailed Update'!B:I,6,FALSE)</f>
        <v>SEC</v>
      </c>
      <c r="P36" s="7" t="str">
        <f>VLOOKUP(B36,'Detailed Update'!B:I,8,FALSE)</f>
        <v>Riyadh</v>
      </c>
      <c r="Q36" s="32" t="s">
        <v>53</v>
      </c>
      <c r="R36" s="10">
        <f>VLOOKUP(B36,'Detailed Update'!B:T,11,FALSE)</f>
        <v>46217</v>
      </c>
      <c r="S36" s="10">
        <f>VLOOKUP(B36,'Detailed Update'!B:T,12,FALSE)</f>
        <v>46309</v>
      </c>
      <c r="T36" s="9">
        <f>VLOOKUP(B36,'Detailed Update'!B:T,13,FALSE)</f>
        <v>46309</v>
      </c>
      <c r="U36" s="9">
        <f>VLOOKUP(B36,'Detailed Update'!B:T,17,FALSE)</f>
        <v>46217</v>
      </c>
      <c r="V36" s="9">
        <f>VLOOKUP(B36,'Detailed Update'!B:S,18,FALSE)</f>
        <v>46309</v>
      </c>
      <c r="W36" s="9">
        <f>VLOOKUP(B36,'Detailed Update'!B:T,19,FALSE)</f>
        <v>46309</v>
      </c>
      <c r="X36" s="11" t="str">
        <f>VLOOKUP(B36,'Detailed Update'!B:U,20,FALSE)</f>
        <v>Extension of 1 quarter received</v>
      </c>
    </row>
    <row r="37" spans="1:24" ht="25.35" customHeight="1">
      <c r="A37" s="7">
        <v>34</v>
      </c>
      <c r="B37" s="7" t="s">
        <v>64</v>
      </c>
      <c r="C37" s="20" t="str">
        <f>VLOOKUP(B37,'Detailed Update'!B:C,2,FALSE)</f>
        <v>132KV SS |CONST. SPORTS BOULEVARD-RIYADH</v>
      </c>
      <c r="D37" s="13" t="str">
        <f>VLOOKUP(B37,'Updated Progress % + TCC'!B:D,3,FALSE)</f>
        <v>Mirza Ikramullah</v>
      </c>
      <c r="E37" s="7" t="str">
        <f>VLOOKUP(B37,'Updated Progress % + TCC'!B:J,9,FALSE)</f>
        <v>Central</v>
      </c>
      <c r="F37" s="13" t="str">
        <f t="shared" si="2"/>
        <v>Yes</v>
      </c>
      <c r="G37" s="13" t="s">
        <v>25</v>
      </c>
      <c r="H37" s="13"/>
      <c r="I37" s="13"/>
      <c r="J37" s="13"/>
      <c r="K37" s="14">
        <f>VLOOKUP(B37,'Detailed Update'!B:D,3,FALSE)</f>
        <v>45882</v>
      </c>
      <c r="L37" s="18">
        <f>VLOOKUP(B37,'Detailed Update'!B:I,4,FALSE)</f>
        <v>0.33239999999999997</v>
      </c>
      <c r="M37" s="18">
        <f>VLOOKUP(B37,'Detailed Update'!B:I,5,FALSE)</f>
        <v>0.21940000000000001</v>
      </c>
      <c r="N37" s="18">
        <f t="shared" si="1"/>
        <v>-0.11299999999999996</v>
      </c>
      <c r="O37" s="7" t="str">
        <f>VLOOKUP(B37,'Detailed Update'!B:I,6,FALSE)</f>
        <v>SEC</v>
      </c>
      <c r="P37" s="7" t="str">
        <f>VLOOKUP(B37,'Detailed Update'!B:I,8,FALSE)</f>
        <v>Riyadh</v>
      </c>
      <c r="Q37" s="32" t="s">
        <v>53</v>
      </c>
      <c r="R37" s="10">
        <f>VLOOKUP(B37,'Detailed Update'!B:T,11,FALSE)</f>
        <v>46429</v>
      </c>
      <c r="S37" s="10">
        <f>VLOOKUP(B37,'Detailed Update'!B:T,12,FALSE)</f>
        <v>46429</v>
      </c>
      <c r="T37" s="9">
        <f>VLOOKUP(B37,'Detailed Update'!B:T,13,FALSE)</f>
        <v>46660</v>
      </c>
      <c r="U37" s="9">
        <f>VLOOKUP(B37,'Detailed Update'!B:T,17,FALSE)</f>
        <v>46579</v>
      </c>
      <c r="V37" s="9">
        <f>VLOOKUP(B37,'Detailed Update'!B:S,18,FALSE)</f>
        <v>46579</v>
      </c>
      <c r="W37" s="9">
        <f>VLOOKUP(B37,'Detailed Update'!B:T,19,FALSE)</f>
        <v>46810</v>
      </c>
      <c r="X37" s="11" t="str">
        <f>VLOOKUP(B37,'Detailed Update'!B:U,20,FALSE)</f>
        <v>Delay in Site Handing Over. Not handed over yet</v>
      </c>
    </row>
    <row r="38" spans="1:24" ht="25.35" customHeight="1">
      <c r="A38" s="7">
        <v>35</v>
      </c>
      <c r="B38" s="7" t="s">
        <v>65</v>
      </c>
      <c r="C38" s="20" t="str">
        <f>VLOOKUP(B38,'Detailed Update'!B:C,2,FALSE)</f>
        <v>HVDC-1 | COA-WOA | RUH-9022</v>
      </c>
      <c r="D38" s="13" t="str">
        <f>VLOOKUP(B38,'Updated Progress % + TCC'!B:D,3,FALSE)</f>
        <v>Mohamed Sabri</v>
      </c>
      <c r="E38" s="7" t="str">
        <f>VLOOKUP(B38,'Updated Progress % + TCC'!B:J,9,FALSE)</f>
        <v>Central</v>
      </c>
      <c r="F38" s="13" t="str">
        <f t="shared" si="2"/>
        <v>Yes</v>
      </c>
      <c r="G38" s="13"/>
      <c r="H38" s="13" t="str">
        <f t="shared" si="0"/>
        <v>No</v>
      </c>
      <c r="I38" s="13" t="str">
        <f t="shared" si="0"/>
        <v>No</v>
      </c>
      <c r="J38" s="13"/>
      <c r="K38" s="14">
        <f>VLOOKUP(B38,'Detailed Update'!B:D,3,FALSE)</f>
        <v>45470</v>
      </c>
      <c r="L38" s="18">
        <f>VLOOKUP(B38,'Detailed Update'!B:I,4,FALSE)</f>
        <v>0.79320000000000002</v>
      </c>
      <c r="M38" s="18">
        <f>VLOOKUP(B38,'Detailed Update'!B:I,5,FALSE)</f>
        <v>0.69710000000000005</v>
      </c>
      <c r="N38" s="18">
        <f t="shared" si="1"/>
        <v>-9.6099999999999963E-2</v>
      </c>
      <c r="O38" s="7" t="str">
        <f>VLOOKUP(B38,'Detailed Update'!B:I,6,FALSE)</f>
        <v xml:space="preserve">SEC </v>
      </c>
      <c r="P38" s="7" t="str">
        <f>VLOOKUP(B38,'Detailed Update'!B:I,8,FALSE)</f>
        <v>Riyadh</v>
      </c>
      <c r="Q38" s="17" t="s">
        <v>53</v>
      </c>
      <c r="R38" s="10">
        <f>VLOOKUP(B38,'Detailed Update'!B:T,11,FALSE)</f>
        <v>46387</v>
      </c>
      <c r="S38" s="10">
        <f>VLOOKUP(B38,'Detailed Update'!B:T,12,FALSE)</f>
        <v>46387</v>
      </c>
      <c r="T38" s="9">
        <f>VLOOKUP(B38,'Detailed Update'!B:T,13,FALSE)</f>
        <v>46418</v>
      </c>
      <c r="U38" s="9">
        <f>VLOOKUP(B38,'Detailed Update'!B:T,17,FALSE)</f>
        <v>46538</v>
      </c>
      <c r="V38" s="9">
        <f>VLOOKUP(B38,'Detailed Update'!B:S,18,FALSE)</f>
        <v>46538</v>
      </c>
      <c r="W38" s="9">
        <f>VLOOKUP(B38,'Detailed Update'!B:T,19,FALSE)</f>
        <v>46569</v>
      </c>
      <c r="X38" s="11" t="str">
        <f>VLOOKUP(B38,'Detailed Update'!B:U,20,FALSE)</f>
        <v>-</v>
      </c>
    </row>
    <row r="39" spans="1:24" ht="25.35" customHeight="1">
      <c r="A39" s="7">
        <v>36</v>
      </c>
      <c r="B39" s="7" t="s">
        <v>66</v>
      </c>
      <c r="C39" s="20" t="str">
        <f>VLOOKUP(B39,'Detailed Update'!B:C,2,FALSE)</f>
        <v>HVDC-2 | COA-SOA | RUH-9041</v>
      </c>
      <c r="D39" s="13" t="str">
        <f>VLOOKUP(B39,'Updated Progress % + TCC'!B:D,3,FALSE)</f>
        <v>Mohamed Sabri</v>
      </c>
      <c r="E39" s="7" t="str">
        <f>VLOOKUP(B39,'Updated Progress % + TCC'!B:J,9,FALSE)</f>
        <v>Central</v>
      </c>
      <c r="F39" s="13" t="str">
        <f t="shared" si="2"/>
        <v>No</v>
      </c>
      <c r="G39" s="13"/>
      <c r="H39" s="13"/>
      <c r="I39" s="13" t="s">
        <v>45</v>
      </c>
      <c r="J39" s="13"/>
      <c r="K39" s="14">
        <f>VLOOKUP(B39,'Detailed Update'!B:D,3,FALSE)</f>
        <v>45470</v>
      </c>
      <c r="L39" s="18">
        <f>VLOOKUP(B39,'Detailed Update'!B:I,4,FALSE)</f>
        <v>0.89480000000000004</v>
      </c>
      <c r="M39" s="18">
        <f>VLOOKUP(B39,'Detailed Update'!B:I,5,FALSE)</f>
        <v>0.7873</v>
      </c>
      <c r="N39" s="18">
        <f t="shared" si="1"/>
        <v>-0.10750000000000004</v>
      </c>
      <c r="O39" s="7" t="str">
        <f>VLOOKUP(B39,'Detailed Update'!B:I,6,FALSE)</f>
        <v xml:space="preserve">SEC </v>
      </c>
      <c r="P39" s="7" t="str">
        <f>VLOOKUP(B39,'Detailed Update'!B:I,8,FALSE)</f>
        <v>Riyadh</v>
      </c>
      <c r="Q39" s="17" t="s">
        <v>53</v>
      </c>
      <c r="R39" s="10">
        <f>VLOOKUP(B39,'Detailed Update'!B:T,11,FALSE)</f>
        <v>46387</v>
      </c>
      <c r="S39" s="10">
        <f>VLOOKUP(B39,'Detailed Update'!B:T,12,FALSE)</f>
        <v>46387</v>
      </c>
      <c r="T39" s="9">
        <f>VLOOKUP(B39,'Detailed Update'!B:T,13,FALSE)</f>
        <v>46446</v>
      </c>
      <c r="U39" s="9">
        <f>VLOOKUP(B39,'Detailed Update'!B:T,17,FALSE)</f>
        <v>46538</v>
      </c>
      <c r="V39" s="9">
        <f>VLOOKUP(B39,'Detailed Update'!B:S,18,FALSE)</f>
        <v>46538</v>
      </c>
      <c r="W39" s="9">
        <f>VLOOKUP(B39,'Detailed Update'!B:T,19,FALSE)</f>
        <v>46597</v>
      </c>
      <c r="X39" s="11" t="str">
        <f>VLOOKUP(B39,'Detailed Update'!B:U,20,FALSE)</f>
        <v>-</v>
      </c>
    </row>
    <row r="40" spans="1:24" ht="25.35" customHeight="1">
      <c r="A40" s="7">
        <v>37</v>
      </c>
      <c r="B40" s="7" t="s">
        <v>67</v>
      </c>
      <c r="C40" s="20" t="str">
        <f>VLOOKUP(B40,'Detailed Update'!B:C,2,FALSE)</f>
        <v>SULYBIAH SS 8823 132/33KV</v>
      </c>
      <c r="D40" s="13" t="str">
        <f>VLOOKUP(B40,'Updated Progress % + TCC'!B:D,3,FALSE)</f>
        <v>Youssef Al Mohtaesab</v>
      </c>
      <c r="E40" s="7" t="str">
        <f>VLOOKUP(B40,'Updated Progress % + TCC'!B:J,9,FALSE)</f>
        <v>Central</v>
      </c>
      <c r="F40" s="13" t="str">
        <f t="shared" si="2"/>
        <v>Yes</v>
      </c>
      <c r="G40" s="13"/>
      <c r="H40" s="13"/>
      <c r="I40" s="13"/>
      <c r="J40" s="13"/>
      <c r="K40" s="14">
        <f>VLOOKUP(B40,'Detailed Update'!B:D,3,FALSE)</f>
        <v>46047</v>
      </c>
      <c r="L40" s="18">
        <f>VLOOKUP(B40,'Detailed Update'!B:I,4,FALSE)</f>
        <v>5.0500000000000003E-2</v>
      </c>
      <c r="M40" s="18">
        <f>VLOOKUP(B40,'Detailed Update'!B:I,5,FALSE)</f>
        <v>3.4200000000000001E-2</v>
      </c>
      <c r="N40" s="18">
        <f t="shared" si="1"/>
        <v>-1.6300000000000002E-2</v>
      </c>
      <c r="O40" s="7" t="str">
        <f>VLOOKUP(B40,'Detailed Update'!B:I,6,FALSE)</f>
        <v>SEC</v>
      </c>
      <c r="P40" s="7" t="str">
        <f>VLOOKUP(B40,'Detailed Update'!B:I,8,FALSE)</f>
        <v>Qassim</v>
      </c>
      <c r="Q40" s="32" t="s">
        <v>53</v>
      </c>
      <c r="R40" s="10">
        <f>VLOOKUP(B40,'Detailed Update'!B:T,11,FALSE)</f>
        <v>46593</v>
      </c>
      <c r="S40" s="10">
        <f>VLOOKUP(B40,'Detailed Update'!B:T,12,FALSE)</f>
        <v>46593</v>
      </c>
      <c r="T40" s="9">
        <f>VLOOKUP(B40,'Detailed Update'!B:T,13,FALSE)</f>
        <v>46673</v>
      </c>
      <c r="U40" s="9">
        <f>VLOOKUP(B40,'Detailed Update'!B:T,17,FALSE)</f>
        <v>46746</v>
      </c>
      <c r="V40" s="9">
        <f>VLOOKUP(B40,'Detailed Update'!B:S,18,FALSE)</f>
        <v>46746</v>
      </c>
      <c r="W40" s="9">
        <f>VLOOKUP(B40,'Detailed Update'!B:T,19,FALSE)</f>
        <v>46826</v>
      </c>
      <c r="X40" s="11" t="str">
        <f>VLOOKUP(B40,'Detailed Update'!B:U,20,FALSE)</f>
        <v>1. Delay in Receiving Design for GIS Package Supplied by SEC Vendor
2. Delay in soil investigation activities due to one corner of the substation located on farmland
3. Terminal compound 1 location changed
4. Repetition of soil investigation activities due to the client's rejection of the proposed vendor</v>
      </c>
    </row>
    <row r="41" spans="1:24" ht="25.35" customHeight="1">
      <c r="A41" s="7">
        <v>38</v>
      </c>
      <c r="B41" s="7" t="s">
        <v>68</v>
      </c>
      <c r="C41" s="20" t="str">
        <f>VLOOKUP(B41,'Detailed Update'!B:C,2,FALSE)</f>
        <v>AL-DWADMI SS 8618 132/33KV</v>
      </c>
      <c r="D41" s="13" t="str">
        <f>VLOOKUP(B41,'Updated Progress % + TCC'!B:D,3,FALSE)</f>
        <v>Mohamed Azhar</v>
      </c>
      <c r="E41" s="7" t="str">
        <f>VLOOKUP(B41,'Updated Progress % + TCC'!B:J,9,FALSE)</f>
        <v>Central</v>
      </c>
      <c r="F41" s="13" t="str">
        <f t="shared" si="2"/>
        <v>Yes</v>
      </c>
      <c r="G41" s="13"/>
      <c r="H41" s="13"/>
      <c r="I41" s="13"/>
      <c r="J41" s="13"/>
      <c r="K41" s="14">
        <f>VLOOKUP(B41,'Detailed Update'!B:D,3,FALSE)</f>
        <v>46036</v>
      </c>
      <c r="L41" s="18">
        <f>VLOOKUP(B41,'Detailed Update'!B:I,4,FALSE)</f>
        <v>8.5800000000000001E-2</v>
      </c>
      <c r="M41" s="18">
        <f>VLOOKUP(B41,'Detailed Update'!B:I,5,FALSE)</f>
        <v>5.79E-2</v>
      </c>
      <c r="N41" s="18">
        <f t="shared" si="1"/>
        <v>-2.7900000000000001E-2</v>
      </c>
      <c r="O41" s="7" t="str">
        <f>VLOOKUP(B41,'Detailed Update'!B:I,6,FALSE)</f>
        <v>SEC</v>
      </c>
      <c r="P41" s="7" t="str">
        <f>VLOOKUP(B41,'Detailed Update'!B:I,8,FALSE)</f>
        <v>Riyadh</v>
      </c>
      <c r="Q41" s="32" t="s">
        <v>53</v>
      </c>
      <c r="R41" s="10">
        <f>VLOOKUP(B41,'Detailed Update'!B:T,11,FALSE)</f>
        <v>46580</v>
      </c>
      <c r="S41" s="10">
        <f>VLOOKUP(B41,'Detailed Update'!B:T,12,FALSE)</f>
        <v>46580</v>
      </c>
      <c r="T41" s="9">
        <f>VLOOKUP(B41,'Detailed Update'!B:T,13,FALSE)</f>
        <v>46660</v>
      </c>
      <c r="U41" s="9">
        <f>VLOOKUP(B41,'Detailed Update'!B:T,17,FALSE)</f>
        <v>46733</v>
      </c>
      <c r="V41" s="9">
        <f>VLOOKUP(B41,'Detailed Update'!B:S,18,FALSE)</f>
        <v>46733</v>
      </c>
      <c r="W41" s="9">
        <f>VLOOKUP(B41,'Detailed Update'!B:T,19,FALSE)</f>
        <v>46813</v>
      </c>
      <c r="X41" s="11" t="str">
        <f>VLOOKUP(B41,'Detailed Update'!B:U,20,FALSE)</f>
        <v xml:space="preserve">1.	Delay in approval of GEL
2.	Delay of Receiving Design for GIS Package Supplied by SEC (GIS Delivery delayed )
3.	Delay in municipality approval
4.	Delay in Issuance Of P.O Transformer </v>
      </c>
    </row>
    <row r="42" spans="1:24" ht="25.35" customHeight="1">
      <c r="A42" s="7">
        <v>39</v>
      </c>
      <c r="B42" s="7" t="s">
        <v>69</v>
      </c>
      <c r="C42" s="20" t="str">
        <f>VLOOKUP(B42,'Detailed Update'!B:C,2,FALSE)</f>
        <v>NEW AL-GHADIR SS#8237 132/33K</v>
      </c>
      <c r="D42" s="13" t="str">
        <f>VLOOKUP(B42,'Updated Progress % + TCC'!B:D,3,FALSE)</f>
        <v xml:space="preserve">Rafa Awad Al Hassan </v>
      </c>
      <c r="E42" s="7" t="str">
        <f>VLOOKUP(B42,'Updated Progress % + TCC'!B:J,9,FALSE)</f>
        <v>Central</v>
      </c>
      <c r="F42" s="13" t="str">
        <f t="shared" si="2"/>
        <v>Yes</v>
      </c>
      <c r="G42" s="13"/>
      <c r="H42" s="13"/>
      <c r="I42" s="13"/>
      <c r="J42" s="13"/>
      <c r="K42" s="14">
        <f>VLOOKUP(B42,'Detailed Update'!B:D,3,FALSE)</f>
        <v>46043</v>
      </c>
      <c r="L42" s="18">
        <f>VLOOKUP(B42,'Detailed Update'!B:I,4,FALSE)</f>
        <v>7.3899999999999993E-2</v>
      </c>
      <c r="M42" s="18">
        <f>VLOOKUP(B42,'Detailed Update'!B:I,5,FALSE)</f>
        <v>5.6300000000000003E-2</v>
      </c>
      <c r="N42" s="18">
        <f t="shared" si="1"/>
        <v>-1.7599999999999991E-2</v>
      </c>
      <c r="O42" s="7" t="str">
        <f>VLOOKUP(B42,'Detailed Update'!B:I,6,FALSE)</f>
        <v>SEC</v>
      </c>
      <c r="P42" s="7" t="str">
        <f>VLOOKUP(B42,'Detailed Update'!B:I,8,FALSE)</f>
        <v>Riyadh</v>
      </c>
      <c r="Q42" s="32" t="s">
        <v>53</v>
      </c>
      <c r="R42" s="10">
        <f>VLOOKUP(B42,'Detailed Update'!B:T,11,FALSE)</f>
        <v>46651</v>
      </c>
      <c r="S42" s="10">
        <f>VLOOKUP(B42,'Detailed Update'!B:T,12,FALSE)</f>
        <v>46651</v>
      </c>
      <c r="T42" s="9">
        <f>VLOOKUP(B42,'Detailed Update'!B:T,13,FALSE)</f>
        <v>46681</v>
      </c>
      <c r="U42" s="9">
        <f>VLOOKUP(B42,'Detailed Update'!B:T,17,FALSE)</f>
        <v>46804</v>
      </c>
      <c r="V42" s="9">
        <f>VLOOKUP(B42,'Detailed Update'!B:S,18,FALSE)</f>
        <v>46804</v>
      </c>
      <c r="W42" s="9">
        <f>VLOOKUP(B42,'Detailed Update'!B:T,19,FALSE)</f>
        <v>46834</v>
      </c>
      <c r="X42" s="11" t="str">
        <f>VLOOKUP(B42,'Detailed Update'!B:U,20,FALSE)</f>
        <v>-</v>
      </c>
    </row>
    <row r="43" spans="1:24" ht="25.35" customHeight="1">
      <c r="A43" s="7">
        <v>40</v>
      </c>
      <c r="B43" s="7" t="s">
        <v>70</v>
      </c>
      <c r="C43" s="20" t="str">
        <f>VLOOKUP(B43,'Detailed Update'!B:C,2,FALSE)</f>
        <v>New Al- Wadi 132/13.8Kv  substation #8224 and its Connection in Riyadh City</v>
      </c>
      <c r="D43" s="13" t="str">
        <f>VLOOKUP(B43,'Updated Progress % + TCC'!B:D,3,FALSE)</f>
        <v>Osama Mahood</v>
      </c>
      <c r="E43" s="7" t="str">
        <f>VLOOKUP(B43,'Updated Progress % + TCC'!B:J,9,FALSE)</f>
        <v>Central</v>
      </c>
      <c r="F43" s="13" t="str">
        <f t="shared" si="2"/>
        <v>Yes</v>
      </c>
      <c r="G43" s="13"/>
      <c r="H43" s="13"/>
      <c r="I43" s="13"/>
      <c r="J43" s="13"/>
      <c r="K43" s="14">
        <f>VLOOKUP(B43,'Detailed Update'!B:D,3,FALSE)</f>
        <v>46064</v>
      </c>
      <c r="L43" s="18">
        <f>VLOOKUP(B43,'Detailed Update'!B:I,4,FALSE)</f>
        <v>2.3599999999999999E-2</v>
      </c>
      <c r="M43" s="18">
        <f>VLOOKUP(B43,'Detailed Update'!B:I,5,FALSE)</f>
        <v>3.9E-2</v>
      </c>
      <c r="N43" s="18">
        <f t="shared" si="1"/>
        <v>1.54E-2</v>
      </c>
      <c r="O43" s="7" t="str">
        <f>VLOOKUP(B43,'Detailed Update'!B:I,6,FALSE)</f>
        <v>SEC-COA</v>
      </c>
      <c r="P43" s="7" t="str">
        <f>VLOOKUP(B43,'Detailed Update'!B:I,8,FALSE)</f>
        <v>Riyadh</v>
      </c>
      <c r="Q43" s="32" t="s">
        <v>53</v>
      </c>
      <c r="R43" s="10">
        <f>VLOOKUP(B43,'Detailed Update'!B:T,11,FALSE)</f>
        <v>46671</v>
      </c>
      <c r="S43" s="10">
        <f>VLOOKUP(B43,'Detailed Update'!B:T,12,FALSE)</f>
        <v>46671</v>
      </c>
      <c r="T43" s="9">
        <f>VLOOKUP(B43,'Detailed Update'!B:T,13,FALSE)</f>
        <v>46695</v>
      </c>
      <c r="U43" s="9">
        <f>VLOOKUP(B43,'Detailed Update'!B:T,17,FALSE)</f>
        <v>46823</v>
      </c>
      <c r="V43" s="9">
        <f>VLOOKUP(B43,'Detailed Update'!B:S,18,FALSE)</f>
        <v>46823</v>
      </c>
      <c r="W43" s="9">
        <f>VLOOKUP(B43,'Detailed Update'!B:T,19,FALSE)</f>
        <v>46847</v>
      </c>
      <c r="X43" s="11" t="str">
        <f>VLOOKUP(B43,'Detailed Update'!B:U,20,FALSE)</f>
        <v>1- Civil construction and related engineering/design activities suspended due to site cavities discovered after Soil investigation report.
2- Under Ground cables radar scanning &amp; cable route layout submission.</v>
      </c>
    </row>
    <row r="44" spans="1:24" ht="25.35" customHeight="1">
      <c r="A44" s="4"/>
      <c r="B44" s="4"/>
      <c r="C44" s="5" t="s">
        <v>71</v>
      </c>
      <c r="D44" s="15"/>
      <c r="E44" s="15"/>
      <c r="F44" s="15"/>
      <c r="G44" s="15"/>
      <c r="H44" s="15"/>
      <c r="I44" s="15"/>
      <c r="J44" s="15"/>
      <c r="K44" s="15"/>
      <c r="L44" s="15"/>
      <c r="M44" s="15"/>
      <c r="N44" s="15"/>
      <c r="O44" s="4"/>
      <c r="P44" s="4"/>
      <c r="Q44" s="31"/>
      <c r="R44" s="6"/>
      <c r="S44" s="6"/>
      <c r="T44" s="12"/>
      <c r="U44" s="12"/>
      <c r="V44" s="12"/>
      <c r="W44" s="12"/>
      <c r="X44" s="187"/>
    </row>
    <row r="45" spans="1:24" ht="25.35" customHeight="1">
      <c r="A45" s="473" t="s">
        <v>72</v>
      </c>
      <c r="B45" s="7" t="s">
        <v>73</v>
      </c>
      <c r="C45" s="20" t="s">
        <v>74</v>
      </c>
      <c r="D45" s="13" t="e">
        <f>VLOOKUP(B45,'Updated Progress % + TCC'!B:D,3,FALSE)</f>
        <v>#N/A</v>
      </c>
      <c r="E45" s="7" t="s">
        <v>75</v>
      </c>
      <c r="F45" s="13" t="str">
        <f t="shared" si="2"/>
        <v>No</v>
      </c>
      <c r="G45" s="13" t="s">
        <v>25</v>
      </c>
      <c r="H45" s="13" t="s">
        <v>25</v>
      </c>
      <c r="I45" s="13"/>
      <c r="J45" s="13"/>
      <c r="K45" s="14"/>
      <c r="L45" s="18">
        <v>1</v>
      </c>
      <c r="M45" s="18">
        <v>1</v>
      </c>
      <c r="N45" s="18">
        <f t="shared" ref="N45:N71" si="3">M45-L45</f>
        <v>0</v>
      </c>
      <c r="O45" s="7" t="s">
        <v>76</v>
      </c>
      <c r="P45" s="7" t="s">
        <v>77</v>
      </c>
      <c r="Q45" s="17"/>
      <c r="R45" s="190"/>
      <c r="S45" s="190"/>
      <c r="T45" s="191"/>
      <c r="U45" s="191"/>
      <c r="V45" s="191"/>
      <c r="W45" s="191"/>
      <c r="X45" s="192"/>
    </row>
    <row r="46" spans="1:24" ht="25.35" customHeight="1">
      <c r="A46" s="474"/>
      <c r="B46" s="7" t="s">
        <v>78</v>
      </c>
      <c r="C46" s="20" t="s">
        <v>79</v>
      </c>
      <c r="D46" s="13" t="e">
        <f>VLOOKUP(B46,'Updated Progress % + TCC'!B:D,3,FALSE)</f>
        <v>#N/A</v>
      </c>
      <c r="E46" s="7" t="s">
        <v>75</v>
      </c>
      <c r="F46" s="13" t="str">
        <f t="shared" si="2"/>
        <v>No</v>
      </c>
      <c r="G46" s="13" t="s">
        <v>25</v>
      </c>
      <c r="H46" s="13" t="s">
        <v>25</v>
      </c>
      <c r="I46" s="13"/>
      <c r="J46" s="13"/>
      <c r="K46" s="14">
        <v>41462</v>
      </c>
      <c r="L46" s="18">
        <v>1</v>
      </c>
      <c r="M46" s="18">
        <v>1</v>
      </c>
      <c r="N46" s="18">
        <f t="shared" si="3"/>
        <v>0</v>
      </c>
      <c r="O46" s="7" t="s">
        <v>76</v>
      </c>
      <c r="P46" s="7" t="s">
        <v>77</v>
      </c>
      <c r="Q46" s="17" t="s">
        <v>26</v>
      </c>
      <c r="R46" s="190"/>
      <c r="S46" s="190"/>
      <c r="T46" s="190"/>
      <c r="U46" s="190"/>
      <c r="V46" s="190"/>
      <c r="W46" s="190"/>
      <c r="X46" s="192"/>
    </row>
    <row r="47" spans="1:24" ht="25.35" customHeight="1">
      <c r="A47" s="474"/>
      <c r="B47" s="7" t="s">
        <v>80</v>
      </c>
      <c r="C47" s="20" t="s">
        <v>81</v>
      </c>
      <c r="D47" s="13" t="e">
        <f>VLOOKUP(B47,'Updated Progress % + TCC'!B:D,3,FALSE)</f>
        <v>#N/A</v>
      </c>
      <c r="E47" s="7" t="s">
        <v>75</v>
      </c>
      <c r="F47" s="13" t="str">
        <f t="shared" si="2"/>
        <v>No</v>
      </c>
      <c r="G47" s="13" t="s">
        <v>25</v>
      </c>
      <c r="H47" s="13" t="s">
        <v>25</v>
      </c>
      <c r="I47" s="13"/>
      <c r="J47" s="13"/>
      <c r="K47" s="14">
        <v>41462</v>
      </c>
      <c r="L47" s="18">
        <v>1</v>
      </c>
      <c r="M47" s="18">
        <v>1</v>
      </c>
      <c r="N47" s="18">
        <f t="shared" si="3"/>
        <v>0</v>
      </c>
      <c r="O47" s="7" t="s">
        <v>76</v>
      </c>
      <c r="P47" s="7" t="s">
        <v>77</v>
      </c>
      <c r="Q47" s="17" t="s">
        <v>26</v>
      </c>
      <c r="R47" s="190"/>
      <c r="S47" s="190"/>
      <c r="T47" s="190"/>
      <c r="U47" s="190"/>
      <c r="V47" s="190"/>
      <c r="W47" s="190"/>
      <c r="X47" s="192"/>
    </row>
    <row r="48" spans="1:24" ht="25.35" customHeight="1">
      <c r="A48" s="474"/>
      <c r="B48" s="7" t="s">
        <v>82</v>
      </c>
      <c r="C48" s="20" t="s">
        <v>83</v>
      </c>
      <c r="D48" s="13" t="e">
        <f>VLOOKUP(B48,'Updated Progress % + TCC'!B:D,3,FALSE)</f>
        <v>#N/A</v>
      </c>
      <c r="E48" s="7" t="s">
        <v>75</v>
      </c>
      <c r="F48" s="13" t="str">
        <f t="shared" si="2"/>
        <v>No</v>
      </c>
      <c r="G48" s="13" t="s">
        <v>25</v>
      </c>
      <c r="H48" s="13" t="s">
        <v>25</v>
      </c>
      <c r="I48" s="13"/>
      <c r="J48" s="13"/>
      <c r="K48" s="14">
        <v>41462</v>
      </c>
      <c r="L48" s="18">
        <v>1</v>
      </c>
      <c r="M48" s="18">
        <v>1</v>
      </c>
      <c r="N48" s="18">
        <f t="shared" si="3"/>
        <v>0</v>
      </c>
      <c r="O48" s="7" t="s">
        <v>76</v>
      </c>
      <c r="P48" s="7" t="s">
        <v>77</v>
      </c>
      <c r="Q48" s="17" t="s">
        <v>26</v>
      </c>
      <c r="R48" s="190"/>
      <c r="S48" s="190"/>
      <c r="T48" s="190"/>
      <c r="U48" s="190"/>
      <c r="V48" s="190"/>
      <c r="W48" s="190"/>
      <c r="X48" s="192"/>
    </row>
    <row r="49" spans="1:24" ht="25.35" customHeight="1">
      <c r="A49" s="474"/>
      <c r="B49" s="7" t="s">
        <v>84</v>
      </c>
      <c r="C49" s="20" t="s">
        <v>85</v>
      </c>
      <c r="D49" s="13" t="e">
        <f>VLOOKUP(B49,'Updated Progress % + TCC'!B:D,3,FALSE)</f>
        <v>#N/A</v>
      </c>
      <c r="E49" s="7" t="s">
        <v>75</v>
      </c>
      <c r="F49" s="13" t="str">
        <f t="shared" si="2"/>
        <v>No</v>
      </c>
      <c r="G49" s="13" t="s">
        <v>25</v>
      </c>
      <c r="H49" s="13" t="s">
        <v>25</v>
      </c>
      <c r="I49" s="13"/>
      <c r="J49" s="13"/>
      <c r="K49" s="14">
        <v>41462</v>
      </c>
      <c r="L49" s="18">
        <v>1</v>
      </c>
      <c r="M49" s="18">
        <v>1</v>
      </c>
      <c r="N49" s="18">
        <f t="shared" si="3"/>
        <v>0</v>
      </c>
      <c r="O49" s="7" t="s">
        <v>76</v>
      </c>
      <c r="P49" s="7" t="s">
        <v>77</v>
      </c>
      <c r="Q49" s="17" t="s">
        <v>26</v>
      </c>
      <c r="R49" s="190"/>
      <c r="S49" s="190"/>
      <c r="T49" s="190"/>
      <c r="U49" s="190"/>
      <c r="V49" s="190"/>
      <c r="W49" s="190"/>
      <c r="X49" s="192"/>
    </row>
    <row r="50" spans="1:24" ht="25.35" customHeight="1">
      <c r="A50" s="474"/>
      <c r="B50" s="7" t="s">
        <v>86</v>
      </c>
      <c r="C50" s="20" t="s">
        <v>87</v>
      </c>
      <c r="D50" s="13" t="e">
        <f>VLOOKUP(B50,'Updated Progress % + TCC'!B:D,3,FALSE)</f>
        <v>#N/A</v>
      </c>
      <c r="E50" s="7" t="s">
        <v>75</v>
      </c>
      <c r="F50" s="13" t="str">
        <f t="shared" si="2"/>
        <v>No</v>
      </c>
      <c r="G50" s="13" t="s">
        <v>25</v>
      </c>
      <c r="H50" s="13" t="s">
        <v>25</v>
      </c>
      <c r="I50" s="13"/>
      <c r="J50" s="13"/>
      <c r="K50" s="14">
        <v>41759</v>
      </c>
      <c r="L50" s="18">
        <v>1</v>
      </c>
      <c r="M50" s="18">
        <v>1</v>
      </c>
      <c r="N50" s="18">
        <f t="shared" si="3"/>
        <v>0</v>
      </c>
      <c r="O50" s="7" t="s">
        <v>76</v>
      </c>
      <c r="P50" s="7" t="s">
        <v>77</v>
      </c>
      <c r="Q50" s="17" t="s">
        <v>26</v>
      </c>
      <c r="R50" s="190"/>
      <c r="S50" s="190"/>
      <c r="T50" s="190"/>
      <c r="U50" s="190"/>
      <c r="V50" s="190"/>
      <c r="W50" s="190"/>
      <c r="X50" s="192"/>
    </row>
    <row r="51" spans="1:24" ht="25.35" customHeight="1">
      <c r="A51" s="474"/>
      <c r="B51" s="7" t="s">
        <v>88</v>
      </c>
      <c r="C51" s="20" t="s">
        <v>89</v>
      </c>
      <c r="D51" s="13" t="e">
        <f>VLOOKUP(B51,'Updated Progress % + TCC'!B:D,3,FALSE)</f>
        <v>#N/A</v>
      </c>
      <c r="E51" s="7" t="s">
        <v>75</v>
      </c>
      <c r="F51" s="13" t="str">
        <f t="shared" si="2"/>
        <v>No</v>
      </c>
      <c r="G51" s="13" t="s">
        <v>25</v>
      </c>
      <c r="H51" s="13" t="s">
        <v>25</v>
      </c>
      <c r="I51" s="13"/>
      <c r="J51" s="13"/>
      <c r="K51" s="14">
        <v>41759</v>
      </c>
      <c r="L51" s="18">
        <v>1</v>
      </c>
      <c r="M51" s="18">
        <v>1</v>
      </c>
      <c r="N51" s="18">
        <f t="shared" si="3"/>
        <v>0</v>
      </c>
      <c r="O51" s="7" t="s">
        <v>76</v>
      </c>
      <c r="P51" s="7" t="s">
        <v>90</v>
      </c>
      <c r="Q51" s="17" t="s">
        <v>26</v>
      </c>
      <c r="R51" s="190"/>
      <c r="S51" s="190"/>
      <c r="T51" s="190"/>
      <c r="U51" s="190"/>
      <c r="V51" s="190"/>
      <c r="W51" s="190"/>
      <c r="X51" s="192"/>
    </row>
    <row r="52" spans="1:24" ht="25.35" customHeight="1">
      <c r="A52" s="474"/>
      <c r="B52" s="7" t="s">
        <v>91</v>
      </c>
      <c r="C52" s="20" t="s">
        <v>92</v>
      </c>
      <c r="D52" s="13" t="e">
        <f>VLOOKUP(B52,'Updated Progress % + TCC'!B:D,3,FALSE)</f>
        <v>#N/A</v>
      </c>
      <c r="E52" s="7" t="s">
        <v>75</v>
      </c>
      <c r="F52" s="13" t="str">
        <f t="shared" si="2"/>
        <v>No</v>
      </c>
      <c r="G52" s="13" t="s">
        <v>25</v>
      </c>
      <c r="H52" s="13" t="s">
        <v>25</v>
      </c>
      <c r="I52" s="13"/>
      <c r="J52" s="13"/>
      <c r="K52" s="14">
        <v>42156</v>
      </c>
      <c r="L52" s="18">
        <v>1</v>
      </c>
      <c r="M52" s="18">
        <v>1</v>
      </c>
      <c r="N52" s="18">
        <f t="shared" si="3"/>
        <v>0</v>
      </c>
      <c r="O52" s="7" t="s">
        <v>76</v>
      </c>
      <c r="P52" s="7" t="s">
        <v>93</v>
      </c>
      <c r="Q52" s="17" t="s">
        <v>26</v>
      </c>
      <c r="R52" s="190"/>
      <c r="S52" s="190"/>
      <c r="T52" s="190"/>
      <c r="U52" s="190"/>
      <c r="V52" s="190"/>
      <c r="W52" s="190"/>
      <c r="X52" s="192"/>
    </row>
    <row r="53" spans="1:24" ht="25.35" customHeight="1">
      <c r="A53" s="474"/>
      <c r="B53" s="7" t="s">
        <v>94</v>
      </c>
      <c r="C53" s="20" t="s">
        <v>95</v>
      </c>
      <c r="D53" s="13" t="e">
        <f>VLOOKUP(B53,'Updated Progress % + TCC'!B:D,3,FALSE)</f>
        <v>#N/A</v>
      </c>
      <c r="E53" s="7" t="s">
        <v>75</v>
      </c>
      <c r="F53" s="13" t="str">
        <f t="shared" si="2"/>
        <v>No</v>
      </c>
      <c r="G53" s="13" t="s">
        <v>25</v>
      </c>
      <c r="H53" s="13" t="s">
        <v>25</v>
      </c>
      <c r="I53" s="13"/>
      <c r="J53" s="13"/>
      <c r="K53" s="14">
        <v>42156</v>
      </c>
      <c r="L53" s="18">
        <v>1</v>
      </c>
      <c r="M53" s="18">
        <v>1</v>
      </c>
      <c r="N53" s="18">
        <f t="shared" si="3"/>
        <v>0</v>
      </c>
      <c r="O53" s="7" t="s">
        <v>76</v>
      </c>
      <c r="P53" s="7" t="s">
        <v>93</v>
      </c>
      <c r="Q53" s="17" t="s">
        <v>26</v>
      </c>
      <c r="R53" s="190"/>
      <c r="S53" s="190"/>
      <c r="T53" s="190"/>
      <c r="U53" s="190"/>
      <c r="V53" s="190"/>
      <c r="W53" s="190"/>
      <c r="X53" s="192"/>
    </row>
    <row r="54" spans="1:24" ht="25.35" customHeight="1">
      <c r="A54" s="474"/>
      <c r="B54" s="7" t="s">
        <v>96</v>
      </c>
      <c r="C54" s="20" t="s">
        <v>97</v>
      </c>
      <c r="D54" s="13" t="e">
        <f>VLOOKUP(B54,'Updated Progress % + TCC'!B:D,3,FALSE)</f>
        <v>#N/A</v>
      </c>
      <c r="E54" s="7" t="s">
        <v>75</v>
      </c>
      <c r="F54" s="13" t="str">
        <f t="shared" si="2"/>
        <v>No</v>
      </c>
      <c r="G54" s="13" t="s">
        <v>25</v>
      </c>
      <c r="H54" s="13" t="s">
        <v>25</v>
      </c>
      <c r="I54" s="13"/>
      <c r="J54" s="13"/>
      <c r="K54" s="14">
        <v>42156</v>
      </c>
      <c r="L54" s="18">
        <v>1</v>
      </c>
      <c r="M54" s="18">
        <v>1</v>
      </c>
      <c r="N54" s="18">
        <f t="shared" si="3"/>
        <v>0</v>
      </c>
      <c r="O54" s="7" t="s">
        <v>76</v>
      </c>
      <c r="P54" s="7" t="s">
        <v>93</v>
      </c>
      <c r="Q54" s="17" t="s">
        <v>26</v>
      </c>
      <c r="R54" s="190"/>
      <c r="S54" s="190"/>
      <c r="T54" s="190"/>
      <c r="U54" s="190"/>
      <c r="V54" s="190"/>
      <c r="W54" s="190"/>
      <c r="X54" s="192"/>
    </row>
    <row r="55" spans="1:24" ht="25.35" customHeight="1">
      <c r="A55" s="474"/>
      <c r="B55" s="7" t="s">
        <v>98</v>
      </c>
      <c r="C55" s="20" t="s">
        <v>99</v>
      </c>
      <c r="D55" s="13" t="e">
        <f>VLOOKUP(B55,'Updated Progress % + TCC'!B:D,3,FALSE)</f>
        <v>#N/A</v>
      </c>
      <c r="E55" s="7" t="s">
        <v>75</v>
      </c>
      <c r="F55" s="13" t="str">
        <f t="shared" si="2"/>
        <v>No</v>
      </c>
      <c r="G55" s="13" t="s">
        <v>25</v>
      </c>
      <c r="H55" s="13" t="s">
        <v>25</v>
      </c>
      <c r="I55" s="13"/>
      <c r="J55" s="13"/>
      <c r="K55" s="14">
        <v>42180</v>
      </c>
      <c r="L55" s="18">
        <v>1</v>
      </c>
      <c r="M55" s="18">
        <v>1</v>
      </c>
      <c r="N55" s="18">
        <f t="shared" si="3"/>
        <v>0</v>
      </c>
      <c r="O55" s="7" t="s">
        <v>76</v>
      </c>
      <c r="P55" s="7" t="s">
        <v>77</v>
      </c>
      <c r="Q55" s="17" t="s">
        <v>26</v>
      </c>
      <c r="R55" s="190"/>
      <c r="S55" s="190"/>
      <c r="T55" s="190"/>
      <c r="U55" s="190"/>
      <c r="V55" s="190"/>
      <c r="W55" s="190"/>
      <c r="X55" s="192"/>
    </row>
    <row r="56" spans="1:24" ht="25.35" customHeight="1">
      <c r="A56" s="474"/>
      <c r="B56" s="7" t="s">
        <v>100</v>
      </c>
      <c r="C56" s="20" t="s">
        <v>101</v>
      </c>
      <c r="D56" s="13" t="e">
        <f>VLOOKUP(B56,'Updated Progress % + TCC'!B:D,3,FALSE)</f>
        <v>#N/A</v>
      </c>
      <c r="E56" s="7" t="s">
        <v>75</v>
      </c>
      <c r="F56" s="13" t="str">
        <f t="shared" si="2"/>
        <v>No</v>
      </c>
      <c r="G56" s="13" t="s">
        <v>25</v>
      </c>
      <c r="H56" s="13" t="s">
        <v>25</v>
      </c>
      <c r="I56" s="13"/>
      <c r="J56" s="13"/>
      <c r="K56" s="14">
        <v>42263</v>
      </c>
      <c r="L56" s="18">
        <v>1</v>
      </c>
      <c r="M56" s="18">
        <v>0.999</v>
      </c>
      <c r="N56" s="18">
        <f t="shared" si="3"/>
        <v>-1.0000000000000009E-3</v>
      </c>
      <c r="O56" s="7" t="s">
        <v>76</v>
      </c>
      <c r="P56" s="13" t="s">
        <v>102</v>
      </c>
      <c r="Q56" s="17" t="s">
        <v>26</v>
      </c>
      <c r="R56" s="190"/>
      <c r="S56" s="190"/>
      <c r="T56" s="190"/>
      <c r="U56" s="190"/>
      <c r="V56" s="190"/>
      <c r="W56" s="190"/>
      <c r="X56" s="192"/>
    </row>
    <row r="57" spans="1:24" ht="25.35" customHeight="1">
      <c r="A57" s="474"/>
      <c r="B57" s="7" t="s">
        <v>103</v>
      </c>
      <c r="C57" s="20" t="s">
        <v>104</v>
      </c>
      <c r="D57" s="13" t="e">
        <f>VLOOKUP(B57,'Updated Progress % + TCC'!B:D,3,FALSE)</f>
        <v>#N/A</v>
      </c>
      <c r="E57" s="7" t="s">
        <v>75</v>
      </c>
      <c r="F57" s="13" t="str">
        <f t="shared" si="2"/>
        <v>No</v>
      </c>
      <c r="G57" s="13" t="s">
        <v>25</v>
      </c>
      <c r="H57" s="13" t="s">
        <v>25</v>
      </c>
      <c r="I57" s="13"/>
      <c r="J57" s="13"/>
      <c r="K57" s="14">
        <v>42263</v>
      </c>
      <c r="L57" s="18">
        <v>1</v>
      </c>
      <c r="M57" s="18">
        <v>1</v>
      </c>
      <c r="N57" s="18">
        <f t="shared" si="3"/>
        <v>0</v>
      </c>
      <c r="O57" s="7" t="s">
        <v>76</v>
      </c>
      <c r="P57" s="7" t="s">
        <v>77</v>
      </c>
      <c r="Q57" s="17" t="s">
        <v>26</v>
      </c>
      <c r="R57" s="190"/>
      <c r="S57" s="190"/>
      <c r="T57" s="190"/>
      <c r="U57" s="190"/>
      <c r="V57" s="190"/>
      <c r="W57" s="190"/>
      <c r="X57" s="192"/>
    </row>
    <row r="58" spans="1:24" ht="25.35" customHeight="1">
      <c r="A58" s="474"/>
      <c r="B58" s="7" t="s">
        <v>105</v>
      </c>
      <c r="C58" s="20" t="s">
        <v>106</v>
      </c>
      <c r="D58" s="13" t="e">
        <f>VLOOKUP(B58,'Updated Progress % + TCC'!B:D,3,FALSE)</f>
        <v>#N/A</v>
      </c>
      <c r="E58" s="7" t="s">
        <v>75</v>
      </c>
      <c r="F58" s="13" t="str">
        <f t="shared" si="2"/>
        <v>No</v>
      </c>
      <c r="G58" s="13" t="s">
        <v>25</v>
      </c>
      <c r="H58" s="13" t="s">
        <v>25</v>
      </c>
      <c r="I58" s="13"/>
      <c r="J58" s="13"/>
      <c r="K58" s="14">
        <v>42263</v>
      </c>
      <c r="L58" s="18">
        <v>1</v>
      </c>
      <c r="M58" s="18">
        <v>1</v>
      </c>
      <c r="N58" s="18">
        <f t="shared" si="3"/>
        <v>0</v>
      </c>
      <c r="O58" s="7" t="s">
        <v>76</v>
      </c>
      <c r="P58" s="7" t="s">
        <v>77</v>
      </c>
      <c r="Q58" s="17" t="s">
        <v>26</v>
      </c>
      <c r="R58" s="190"/>
      <c r="S58" s="190"/>
      <c r="T58" s="190"/>
      <c r="U58" s="190"/>
      <c r="V58" s="190"/>
      <c r="W58" s="190"/>
      <c r="X58" s="192"/>
    </row>
    <row r="59" spans="1:24" ht="25.35" customHeight="1">
      <c r="A59" s="474"/>
      <c r="B59" s="7" t="s">
        <v>107</v>
      </c>
      <c r="C59" s="20" t="s">
        <v>108</v>
      </c>
      <c r="D59" s="13" t="e">
        <f>VLOOKUP(B59,'Updated Progress % + TCC'!B:D,3,FALSE)</f>
        <v>#N/A</v>
      </c>
      <c r="E59" s="7" t="s">
        <v>75</v>
      </c>
      <c r="F59" s="13" t="str">
        <f t="shared" si="2"/>
        <v>No</v>
      </c>
      <c r="G59" s="13" t="s">
        <v>25</v>
      </c>
      <c r="H59" s="13" t="s">
        <v>25</v>
      </c>
      <c r="I59" s="13"/>
      <c r="J59" s="13"/>
      <c r="K59" s="14">
        <v>42263</v>
      </c>
      <c r="L59" s="18">
        <v>1</v>
      </c>
      <c r="M59" s="18">
        <v>1</v>
      </c>
      <c r="N59" s="18">
        <f t="shared" si="3"/>
        <v>0</v>
      </c>
      <c r="O59" s="7" t="s">
        <v>76</v>
      </c>
      <c r="P59" s="7" t="s">
        <v>77</v>
      </c>
      <c r="Q59" s="17" t="s">
        <v>26</v>
      </c>
      <c r="R59" s="190"/>
      <c r="S59" s="190"/>
      <c r="T59" s="190"/>
      <c r="U59" s="190"/>
      <c r="V59" s="190"/>
      <c r="W59" s="190"/>
      <c r="X59" s="192"/>
    </row>
    <row r="60" spans="1:24" ht="25.35" customHeight="1">
      <c r="A60" s="474"/>
      <c r="B60" s="7" t="s">
        <v>109</v>
      </c>
      <c r="C60" s="20" t="s">
        <v>110</v>
      </c>
      <c r="D60" s="13" t="e">
        <f>VLOOKUP(B60,'Updated Progress % + TCC'!B:D,3,FALSE)</f>
        <v>#N/A</v>
      </c>
      <c r="E60" s="7" t="s">
        <v>75</v>
      </c>
      <c r="F60" s="13" t="str">
        <f t="shared" si="2"/>
        <v>No</v>
      </c>
      <c r="G60" s="13" t="s">
        <v>25</v>
      </c>
      <c r="H60" s="13" t="s">
        <v>25</v>
      </c>
      <c r="I60" s="13"/>
      <c r="J60" s="13"/>
      <c r="K60" s="14">
        <v>42263</v>
      </c>
      <c r="L60" s="18">
        <v>1</v>
      </c>
      <c r="M60" s="18">
        <v>1</v>
      </c>
      <c r="N60" s="18">
        <f t="shared" si="3"/>
        <v>0</v>
      </c>
      <c r="O60" s="7" t="s">
        <v>76</v>
      </c>
      <c r="P60" s="7" t="s">
        <v>77</v>
      </c>
      <c r="Q60" s="17" t="s">
        <v>26</v>
      </c>
      <c r="R60" s="190"/>
      <c r="S60" s="190"/>
      <c r="T60" s="190"/>
      <c r="U60" s="190"/>
      <c r="V60" s="190"/>
      <c r="W60" s="190"/>
      <c r="X60" s="192"/>
    </row>
    <row r="61" spans="1:24" ht="25.35" customHeight="1">
      <c r="A61" s="474"/>
      <c r="B61" s="7" t="s">
        <v>111</v>
      </c>
      <c r="C61" s="20" t="s">
        <v>112</v>
      </c>
      <c r="D61" s="13" t="e">
        <f>VLOOKUP(B61,'Updated Progress % + TCC'!B:D,3,FALSE)</f>
        <v>#N/A</v>
      </c>
      <c r="E61" s="7" t="s">
        <v>75</v>
      </c>
      <c r="F61" s="13" t="str">
        <f t="shared" si="2"/>
        <v>No</v>
      </c>
      <c r="G61" s="13" t="s">
        <v>25</v>
      </c>
      <c r="H61" s="13" t="s">
        <v>25</v>
      </c>
      <c r="I61" s="13"/>
      <c r="J61" s="13"/>
      <c r="K61" s="14">
        <v>42263</v>
      </c>
      <c r="L61" s="18">
        <v>1</v>
      </c>
      <c r="M61" s="18">
        <v>1</v>
      </c>
      <c r="N61" s="18">
        <f t="shared" si="3"/>
        <v>0</v>
      </c>
      <c r="O61" s="7" t="s">
        <v>76</v>
      </c>
      <c r="P61" s="7" t="s">
        <v>77</v>
      </c>
      <c r="Q61" s="17" t="s">
        <v>26</v>
      </c>
      <c r="R61" s="190"/>
      <c r="S61" s="190"/>
      <c r="T61" s="190"/>
      <c r="U61" s="190"/>
      <c r="V61" s="190"/>
      <c r="W61" s="190"/>
      <c r="X61" s="192"/>
    </row>
    <row r="62" spans="1:24" ht="25.35" customHeight="1">
      <c r="A62" s="474"/>
      <c r="B62" s="7" t="s">
        <v>113</v>
      </c>
      <c r="C62" s="20" t="s">
        <v>114</v>
      </c>
      <c r="D62" s="13" t="e">
        <f>VLOOKUP(B62,'Updated Progress % + TCC'!B:D,3,FALSE)</f>
        <v>#N/A</v>
      </c>
      <c r="E62" s="7" t="s">
        <v>75</v>
      </c>
      <c r="F62" s="13" t="str">
        <f t="shared" si="2"/>
        <v>No</v>
      </c>
      <c r="G62" s="13" t="s">
        <v>25</v>
      </c>
      <c r="H62" s="13" t="s">
        <v>25</v>
      </c>
      <c r="I62" s="13"/>
      <c r="J62" s="13"/>
      <c r="K62" s="14">
        <v>42368</v>
      </c>
      <c r="L62" s="18">
        <v>1</v>
      </c>
      <c r="M62" s="18">
        <v>0.999</v>
      </c>
      <c r="N62" s="18">
        <f t="shared" si="3"/>
        <v>-1.0000000000000009E-3</v>
      </c>
      <c r="O62" s="7" t="s">
        <v>76</v>
      </c>
      <c r="P62" s="7" t="s">
        <v>115</v>
      </c>
      <c r="Q62" s="17" t="s">
        <v>26</v>
      </c>
      <c r="R62" s="190"/>
      <c r="S62" s="190"/>
      <c r="T62" s="190"/>
      <c r="U62" s="190"/>
      <c r="V62" s="190"/>
      <c r="W62" s="190"/>
      <c r="X62" s="192"/>
    </row>
    <row r="63" spans="1:24" ht="25.35" customHeight="1">
      <c r="A63" s="474"/>
      <c r="B63" s="7" t="s">
        <v>116</v>
      </c>
      <c r="C63" s="20" t="s">
        <v>117</v>
      </c>
      <c r="D63" s="13" t="e">
        <f>VLOOKUP(B63,'Updated Progress % + TCC'!B:D,3,FALSE)</f>
        <v>#N/A</v>
      </c>
      <c r="E63" s="7" t="s">
        <v>75</v>
      </c>
      <c r="F63" s="13" t="str">
        <f t="shared" si="2"/>
        <v>No</v>
      </c>
      <c r="G63" s="13" t="s">
        <v>25</v>
      </c>
      <c r="H63" s="13" t="s">
        <v>25</v>
      </c>
      <c r="I63" s="13"/>
      <c r="J63" s="13"/>
      <c r="K63" s="14">
        <v>42368</v>
      </c>
      <c r="L63" s="18">
        <v>1</v>
      </c>
      <c r="M63" s="18">
        <v>1</v>
      </c>
      <c r="N63" s="18">
        <f t="shared" si="3"/>
        <v>0</v>
      </c>
      <c r="O63" s="7" t="s">
        <v>76</v>
      </c>
      <c r="P63" s="13" t="s">
        <v>118</v>
      </c>
      <c r="Q63" s="17" t="s">
        <v>26</v>
      </c>
      <c r="R63" s="190"/>
      <c r="S63" s="190"/>
      <c r="T63" s="190"/>
      <c r="U63" s="190"/>
      <c r="V63" s="190"/>
      <c r="W63" s="190"/>
      <c r="X63" s="192"/>
    </row>
    <row r="64" spans="1:24" ht="25.35" customHeight="1">
      <c r="A64" s="474"/>
      <c r="B64" s="7" t="s">
        <v>119</v>
      </c>
      <c r="C64" s="20" t="s">
        <v>120</v>
      </c>
      <c r="D64" s="13" t="e">
        <f>VLOOKUP(B64,'Updated Progress % + TCC'!B:D,3,FALSE)</f>
        <v>#N/A</v>
      </c>
      <c r="E64" s="7" t="s">
        <v>75</v>
      </c>
      <c r="F64" s="13" t="str">
        <f t="shared" si="2"/>
        <v>No</v>
      </c>
      <c r="G64" s="13" t="s">
        <v>25</v>
      </c>
      <c r="H64" s="13" t="s">
        <v>25</v>
      </c>
      <c r="I64" s="13"/>
      <c r="J64" s="13"/>
      <c r="K64" s="14">
        <v>42368</v>
      </c>
      <c r="L64" s="18">
        <v>1</v>
      </c>
      <c r="M64" s="18">
        <v>1</v>
      </c>
      <c r="N64" s="18">
        <f t="shared" si="3"/>
        <v>0</v>
      </c>
      <c r="O64" s="7" t="s">
        <v>76</v>
      </c>
      <c r="P64" s="7" t="s">
        <v>121</v>
      </c>
      <c r="Q64" s="17" t="s">
        <v>26</v>
      </c>
      <c r="R64" s="190"/>
      <c r="S64" s="190"/>
      <c r="T64" s="190"/>
      <c r="U64" s="190"/>
      <c r="V64" s="190"/>
      <c r="W64" s="190"/>
      <c r="X64" s="192"/>
    </row>
    <row r="65" spans="1:24" ht="25.35" customHeight="1">
      <c r="A65" s="474"/>
      <c r="B65" s="7" t="s">
        <v>122</v>
      </c>
      <c r="C65" s="20" t="str">
        <f>VLOOKUP(B65,'Detailed Update'!B:C,2,FALSE)</f>
        <v>EPC OF PRIMARY ELECTRICAL SUSBSTATION #3</v>
      </c>
      <c r="D65" s="13" t="str">
        <f>VLOOKUP(B65,'Updated Progress % + TCC'!B:D,3,FALSE)</f>
        <v>Sami Atta</v>
      </c>
      <c r="E65" s="7" t="s">
        <v>75</v>
      </c>
      <c r="F65" s="13" t="str">
        <f t="shared" si="2"/>
        <v>No</v>
      </c>
      <c r="G65" s="13" t="s">
        <v>25</v>
      </c>
      <c r="H65" s="13" t="s">
        <v>25</v>
      </c>
      <c r="I65" s="13"/>
      <c r="J65" s="13"/>
      <c r="K65" s="14"/>
      <c r="L65" s="18">
        <v>1</v>
      </c>
      <c r="M65" s="18">
        <v>1</v>
      </c>
      <c r="N65" s="18">
        <f t="shared" si="3"/>
        <v>0</v>
      </c>
      <c r="O65" s="7" t="s">
        <v>76</v>
      </c>
      <c r="P65" s="7" t="s">
        <v>123</v>
      </c>
      <c r="Q65" s="17" t="s">
        <v>26</v>
      </c>
      <c r="R65" s="10">
        <f>VLOOKUP(B65,'Detailed Update'!B:T,11,FALSE)</f>
        <v>44560</v>
      </c>
      <c r="S65" s="10">
        <f>VLOOKUP(B65,'Detailed Update'!B:T,12,FALSE)</f>
        <v>44560</v>
      </c>
      <c r="T65" s="10">
        <f>VLOOKUP(B65,'Detailed Update'!B:T,13,FALSE)</f>
        <v>44552</v>
      </c>
      <c r="U65" s="10">
        <f>VLOOKUP(B65,'Detailed Update'!B:T,17,FALSE)</f>
        <v>44560</v>
      </c>
      <c r="V65" s="10">
        <f>VLOOKUP(B65,'Detailed Update'!B:S,18,FALSE)</f>
        <v>44560</v>
      </c>
      <c r="W65" s="10">
        <f>VLOOKUP(B65,'Detailed Update'!B:T,19,FALSE)</f>
        <v>46022</v>
      </c>
      <c r="X65" s="188" t="str">
        <f>VLOOKUP(B65,'Detailed Update'!B:U,20,FALSE)</f>
        <v xml:space="preserve">All Certificates Recieved </v>
      </c>
    </row>
    <row r="66" spans="1:24" ht="25.35" customHeight="1">
      <c r="A66" s="474"/>
      <c r="B66" s="7" t="s">
        <v>124</v>
      </c>
      <c r="C66" s="20" t="s">
        <v>125</v>
      </c>
      <c r="D66" s="13" t="str">
        <f>VLOOKUP(B66,'Updated Progress % + TCC'!B:D,3,FALSE)</f>
        <v>Walid Ahmed Khater</v>
      </c>
      <c r="E66" s="7" t="s">
        <v>75</v>
      </c>
      <c r="F66" s="13" t="str">
        <f t="shared" si="2"/>
        <v>No</v>
      </c>
      <c r="G66" s="13" t="s">
        <v>25</v>
      </c>
      <c r="H66" s="13" t="s">
        <v>25</v>
      </c>
      <c r="I66" s="13"/>
      <c r="J66" s="13"/>
      <c r="K66" s="14">
        <v>43435</v>
      </c>
      <c r="L66" s="18">
        <v>1</v>
      </c>
      <c r="M66" s="18">
        <v>0.999</v>
      </c>
      <c r="N66" s="18">
        <f t="shared" si="3"/>
        <v>-1.0000000000000009E-3</v>
      </c>
      <c r="O66" s="7" t="s">
        <v>76</v>
      </c>
      <c r="P66" s="7" t="s">
        <v>126</v>
      </c>
      <c r="Q66" s="17" t="s">
        <v>26</v>
      </c>
      <c r="R66" s="10">
        <f>VLOOKUP(B66,'Detailed Update'!B:T,11,FALSE)</f>
        <v>44104</v>
      </c>
      <c r="S66" s="10">
        <f>VLOOKUP(B66,'Detailed Update'!B:T,12,FALSE)</f>
        <v>44104</v>
      </c>
      <c r="T66" s="10">
        <f>VLOOKUP(B66,'Detailed Update'!B:T,13,FALSE)</f>
        <v>44316</v>
      </c>
      <c r="U66" s="10">
        <f>VLOOKUP(B66,'Detailed Update'!B:T,17,FALSE)</f>
        <v>45838</v>
      </c>
      <c r="V66" s="10">
        <f>VLOOKUP(B66,'Detailed Update'!B:S,18,FALSE)</f>
        <v>45838</v>
      </c>
      <c r="W66" s="10">
        <f>VLOOKUP(B66,'Detailed Update'!B:T,19,FALSE)</f>
        <v>45808</v>
      </c>
      <c r="X66" s="188" t="str">
        <f>VLOOKUP(B66,'Detailed Update'!B:U,20,FALSE)</f>
        <v xml:space="preserve">All Certificates Recieved </v>
      </c>
    </row>
    <row r="67" spans="1:24" ht="25.35" customHeight="1">
      <c r="A67" s="474"/>
      <c r="B67" s="7" t="s">
        <v>127</v>
      </c>
      <c r="C67" s="20" t="s">
        <v>128</v>
      </c>
      <c r="D67" s="13" t="e">
        <f>VLOOKUP(B67,'Updated Progress % + TCC'!B:D,3,FALSE)</f>
        <v>#N/A</v>
      </c>
      <c r="E67" s="7" t="s">
        <v>75</v>
      </c>
      <c r="F67" s="13" t="str">
        <f t="shared" si="2"/>
        <v>No</v>
      </c>
      <c r="G67" s="13" t="s">
        <v>25</v>
      </c>
      <c r="H67" s="13" t="s">
        <v>25</v>
      </c>
      <c r="I67" s="13"/>
      <c r="J67" s="13"/>
      <c r="K67" s="14">
        <v>43767</v>
      </c>
      <c r="L67" s="18">
        <v>1</v>
      </c>
      <c r="M67" s="18">
        <v>1</v>
      </c>
      <c r="N67" s="18">
        <f t="shared" si="3"/>
        <v>0</v>
      </c>
      <c r="O67" s="7" t="s">
        <v>76</v>
      </c>
      <c r="P67" s="7" t="s">
        <v>129</v>
      </c>
      <c r="Q67" s="17" t="s">
        <v>26</v>
      </c>
      <c r="R67" s="10" t="e">
        <f>VLOOKUP(B67,'Detailed Update'!B:T,11,FALSE)</f>
        <v>#N/A</v>
      </c>
      <c r="S67" s="10" t="e">
        <f>VLOOKUP(B67,'Detailed Update'!B:T,12,FALSE)</f>
        <v>#N/A</v>
      </c>
      <c r="T67" s="10" t="e">
        <f>VLOOKUP(B67,'Detailed Update'!B:T,13,FALSE)</f>
        <v>#N/A</v>
      </c>
      <c r="U67" s="10" t="e">
        <f>VLOOKUP(B67,'Detailed Update'!B:T,17,FALSE)</f>
        <v>#N/A</v>
      </c>
      <c r="V67" s="10" t="e">
        <f>VLOOKUP(B67,'Detailed Update'!B:S,18,FALSE)</f>
        <v>#N/A</v>
      </c>
      <c r="W67" s="10" t="e">
        <f>VLOOKUP(B67,'Detailed Update'!B:T,19,FALSE)</f>
        <v>#N/A</v>
      </c>
      <c r="X67" s="188" t="e">
        <f>VLOOKUP(B67,'Detailed Update'!B:U,20,FALSE)</f>
        <v>#N/A</v>
      </c>
    </row>
    <row r="68" spans="1:24" ht="25.35" customHeight="1">
      <c r="A68" s="474"/>
      <c r="B68" s="7" t="s">
        <v>130</v>
      </c>
      <c r="C68" s="20" t="s">
        <v>131</v>
      </c>
      <c r="D68" s="13" t="str">
        <f>VLOOKUP(B68,'Updated Progress % + TCC'!B:D,3,FALSE)</f>
        <v>Moath Ahmad Mahmoud Almousa</v>
      </c>
      <c r="E68" s="7" t="s">
        <v>75</v>
      </c>
      <c r="F68" s="13" t="str">
        <f t="shared" si="2"/>
        <v>No</v>
      </c>
      <c r="G68" s="13" t="s">
        <v>25</v>
      </c>
      <c r="H68" s="13" t="s">
        <v>25</v>
      </c>
      <c r="I68" s="13"/>
      <c r="J68" s="13"/>
      <c r="K68" s="14">
        <v>43853</v>
      </c>
      <c r="L68" s="18">
        <v>1</v>
      </c>
      <c r="M68" s="18">
        <v>0.999</v>
      </c>
      <c r="N68" s="18">
        <f t="shared" si="3"/>
        <v>-1.0000000000000009E-3</v>
      </c>
      <c r="O68" s="7" t="s">
        <v>76</v>
      </c>
      <c r="P68" s="7" t="s">
        <v>132</v>
      </c>
      <c r="Q68" s="17" t="s">
        <v>26</v>
      </c>
      <c r="R68" s="10" t="str">
        <f>VLOOKUP(B68,'Detailed Update'!B:T,11,FALSE)</f>
        <v>HUW : 30-Jul-22
UQA : 30-Apr-23</v>
      </c>
      <c r="S68" s="10" t="str">
        <f>VLOOKUP(B68,'Detailed Update'!B:T,12,FALSE)</f>
        <v>HUW : 30-Jul-22
UQA : 30-Apr-23</v>
      </c>
      <c r="T68" s="10" t="str">
        <f>VLOOKUP(B68,'Detailed Update'!B:T,13,FALSE)</f>
        <v>HUW : 30-Sep-22
UQA :30-Aug-26</v>
      </c>
      <c r="U68" s="10" t="str">
        <f>VLOOKUP(B68,'Detailed Update'!B:T,17,FALSE)</f>
        <v>HUW :31-Dec-22
UQA : 30-Sep-23</v>
      </c>
      <c r="V68" s="10" t="str">
        <f>VLOOKUP(B68,'Detailed Update'!B:S,18,FALSE)</f>
        <v>HUW :31-Dec-22
UQA : 30-Sep-23</v>
      </c>
      <c r="W68" s="10" t="str">
        <f>VLOOKUP(B68,'Detailed Update'!B:T,19,FALSE)</f>
        <v>HUW :27-May-25
UQA :30-Nov-26</v>
      </c>
      <c r="X68" s="188" t="str">
        <f>VLOOKUP(B68,'Detailed Update'!B:U,20,FALSE)</f>
        <v>P1: All Certificates Recieved 
P2: No Certificates Recieved</v>
      </c>
    </row>
    <row r="69" spans="1:24" ht="25.35" customHeight="1">
      <c r="A69" s="474"/>
      <c r="B69" s="7" t="s">
        <v>133</v>
      </c>
      <c r="C69" s="20" t="s">
        <v>134</v>
      </c>
      <c r="D69" s="13" t="e">
        <f>VLOOKUP(B69,'Updated Progress % + TCC'!B:D,3,FALSE)</f>
        <v>#N/A</v>
      </c>
      <c r="E69" s="7" t="s">
        <v>75</v>
      </c>
      <c r="F69" s="13" t="str">
        <f t="shared" si="2"/>
        <v>No</v>
      </c>
      <c r="G69" s="13" t="s">
        <v>25</v>
      </c>
      <c r="H69" s="13" t="s">
        <v>25</v>
      </c>
      <c r="I69" s="13"/>
      <c r="J69" s="13"/>
      <c r="K69" s="14">
        <v>44155</v>
      </c>
      <c r="L69" s="18">
        <v>1</v>
      </c>
      <c r="M69" s="18">
        <v>1</v>
      </c>
      <c r="N69" s="18">
        <f t="shared" si="3"/>
        <v>0</v>
      </c>
      <c r="O69" s="7" t="s">
        <v>76</v>
      </c>
      <c r="P69" s="7" t="s">
        <v>135</v>
      </c>
      <c r="Q69" s="17" t="s">
        <v>26</v>
      </c>
      <c r="R69" s="10" t="e">
        <f>VLOOKUP(B69,'Detailed Update'!B:T,11,FALSE)</f>
        <v>#N/A</v>
      </c>
      <c r="S69" s="10" t="e">
        <f>VLOOKUP(B69,'Detailed Update'!B:T,12,FALSE)</f>
        <v>#N/A</v>
      </c>
      <c r="T69" s="10" t="e">
        <f>VLOOKUP(B69,'Detailed Update'!B:T,13,FALSE)</f>
        <v>#N/A</v>
      </c>
      <c r="U69" s="10" t="e">
        <f>VLOOKUP(B69,'Detailed Update'!B:T,17,FALSE)</f>
        <v>#N/A</v>
      </c>
      <c r="V69" s="10" t="e">
        <f>VLOOKUP(B69,'Detailed Update'!B:S,18,FALSE)</f>
        <v>#N/A</v>
      </c>
      <c r="W69" s="10" t="e">
        <f>VLOOKUP(B69,'Detailed Update'!B:T,19,FALSE)</f>
        <v>#N/A</v>
      </c>
      <c r="X69" s="188" t="e">
        <f>VLOOKUP(B69,'Detailed Update'!B:U,20,FALSE)</f>
        <v>#N/A</v>
      </c>
    </row>
    <row r="70" spans="1:24" ht="25.35" customHeight="1">
      <c r="A70" s="474"/>
      <c r="B70" s="7" t="s">
        <v>136</v>
      </c>
      <c r="C70" s="20" t="s">
        <v>137</v>
      </c>
      <c r="D70" s="13" t="str">
        <f>VLOOKUP(B70,'Updated Progress % + TCC'!B:D,3,FALSE)</f>
        <v>Sami Atta</v>
      </c>
      <c r="E70" s="7" t="s">
        <v>75</v>
      </c>
      <c r="F70" s="13" t="str">
        <f t="shared" si="2"/>
        <v>No</v>
      </c>
      <c r="G70" s="13" t="s">
        <v>25</v>
      </c>
      <c r="H70" s="13" t="s">
        <v>25</v>
      </c>
      <c r="I70" s="13"/>
      <c r="J70" s="13"/>
      <c r="K70" s="14"/>
      <c r="L70" s="18">
        <v>1</v>
      </c>
      <c r="M70" s="18">
        <v>1</v>
      </c>
      <c r="N70" s="18">
        <f t="shared" si="3"/>
        <v>0</v>
      </c>
      <c r="O70" s="7" t="s">
        <v>76</v>
      </c>
      <c r="P70" s="7" t="s">
        <v>123</v>
      </c>
      <c r="Q70" s="17" t="s">
        <v>26</v>
      </c>
      <c r="R70" s="10" t="str">
        <f>VLOOKUP(B70,'Detailed Update'!B:T,11,FALSE)</f>
        <v>NA</v>
      </c>
      <c r="S70" s="10" t="str">
        <f>VLOOKUP(B70,'Detailed Update'!B:T,12,FALSE)</f>
        <v>NA</v>
      </c>
      <c r="T70" s="45" t="str">
        <f>VLOOKUP(B70,'Detailed Update'!B:T,13,FALSE)</f>
        <v>NA</v>
      </c>
      <c r="U70" s="45">
        <f>VLOOKUP(B70,'Detailed Update'!B:T,17,FALSE)</f>
        <v>45605</v>
      </c>
      <c r="V70" s="45">
        <f>VLOOKUP(B70,'Detailed Update'!B:S,18,FALSE)</f>
        <v>45605</v>
      </c>
      <c r="W70" s="45">
        <f>VLOOKUP(B70,'Detailed Update'!B:T,19,FALSE)</f>
        <v>46022</v>
      </c>
      <c r="X70" s="188" t="str">
        <f>VLOOKUP(B70,'Detailed Update'!B:U,20,FALSE)</f>
        <v xml:space="preserve">All Certificates Recieved </v>
      </c>
    </row>
    <row r="71" spans="1:24" ht="25.35" customHeight="1">
      <c r="A71" s="475"/>
      <c r="B71" s="7" t="s">
        <v>138</v>
      </c>
      <c r="C71" s="20" t="s">
        <v>139</v>
      </c>
      <c r="D71" s="13" t="str">
        <f>VLOOKUP(B71,'Updated Progress % + TCC'!B:D,3,FALSE)</f>
        <v>Moath Ahmad Mahmoud Almousa</v>
      </c>
      <c r="E71" s="7" t="s">
        <v>75</v>
      </c>
      <c r="F71" s="13" t="str">
        <f t="shared" si="2"/>
        <v>No</v>
      </c>
      <c r="G71" s="13" t="s">
        <v>25</v>
      </c>
      <c r="H71" s="13" t="s">
        <v>25</v>
      </c>
      <c r="I71" s="13"/>
      <c r="J71" s="13"/>
      <c r="K71" s="14">
        <v>44704</v>
      </c>
      <c r="L71" s="18">
        <v>1</v>
      </c>
      <c r="M71" s="18">
        <v>0.999</v>
      </c>
      <c r="N71" s="18">
        <f t="shared" si="3"/>
        <v>-1.0000000000000009E-3</v>
      </c>
      <c r="O71" s="7" t="s">
        <v>140</v>
      </c>
      <c r="P71" s="7" t="s">
        <v>121</v>
      </c>
      <c r="Q71" s="17" t="s">
        <v>33</v>
      </c>
      <c r="R71" s="10">
        <f>VLOOKUP(B71,'Detailed Update'!B:T,11,FALSE)</f>
        <v>45345</v>
      </c>
      <c r="S71" s="10">
        <f>VLOOKUP(B71,'Detailed Update'!B:T,12,FALSE)</f>
        <v>45345</v>
      </c>
      <c r="T71" s="45">
        <f>VLOOKUP(B71,'Detailed Update'!B:T,13,FALSE)</f>
        <v>46053</v>
      </c>
      <c r="U71" s="45">
        <f>VLOOKUP(B71,'Detailed Update'!B:T,17,FALSE)</f>
        <v>45345</v>
      </c>
      <c r="V71" s="45">
        <f>VLOOKUP(B71,'Detailed Update'!B:S,18,FALSE)</f>
        <v>45345</v>
      </c>
      <c r="W71" s="45">
        <f>VLOOKUP(B71,'Detailed Update'!B:T,19,FALSE)</f>
        <v>46053</v>
      </c>
      <c r="X71" s="188" t="str">
        <f>VLOOKUP(B71,'Detailed Update'!B:U,20,FALSE)</f>
        <v>PAC Partially Recieved 
Waiting for final approval of Time Extension on Etimad For FAC
Pending on PE-238</v>
      </c>
    </row>
    <row r="72" spans="1:24" ht="25.35" customHeight="1">
      <c r="A72" s="7">
        <v>41</v>
      </c>
      <c r="B72" s="7" t="s">
        <v>141</v>
      </c>
      <c r="C72" s="20" t="str">
        <f>VLOOKUP(B72,'Detailed Update'!B:C,2,FALSE)</f>
        <v>UTHMANIYAH</v>
      </c>
      <c r="D72" s="13" t="str">
        <f>VLOOKUP(B72,'Updated Progress % + TCC'!B:D,3,FALSE)</f>
        <v>Munther Alkhatib</v>
      </c>
      <c r="E72" s="7" t="str">
        <f>VLOOKUP(B72,'Updated Progress % + TCC'!B:J,9,FALSE)</f>
        <v>Eastern</v>
      </c>
      <c r="F72" s="13" t="str">
        <f t="shared" ref="F72:F89" si="4">IF(M72&gt;70.01%,"No","Yes")</f>
        <v>No</v>
      </c>
      <c r="G72" s="13" t="s">
        <v>25</v>
      </c>
      <c r="H72" s="13" t="s">
        <v>25</v>
      </c>
      <c r="I72" s="13" t="s">
        <v>25</v>
      </c>
      <c r="J72" s="13"/>
      <c r="K72" s="14">
        <f>VLOOKUP(B72,'Detailed Update'!B:D,3,FALSE)</f>
        <v>43884</v>
      </c>
      <c r="L72" s="18">
        <f>VLOOKUP(B72,'Detailed Update'!B:I,4,FALSE)</f>
        <v>1</v>
      </c>
      <c r="M72" s="18">
        <f>VLOOKUP(B72,'Detailed Update'!B:I,5,FALSE)</f>
        <v>0.99977499999999997</v>
      </c>
      <c r="N72" s="18">
        <f t="shared" ref="N72:N82" si="5">M72-L72</f>
        <v>-2.2500000000003073E-4</v>
      </c>
      <c r="O72" s="7" t="str">
        <f>VLOOKUP(B72,'Detailed Update'!B:I,6,FALSE)</f>
        <v>Aramco</v>
      </c>
      <c r="P72" s="7" t="str">
        <f>VLOOKUP(B72,'Detailed Update'!B:I,8,FALSE)</f>
        <v>Dammam</v>
      </c>
      <c r="Q72" s="17" t="s">
        <v>26</v>
      </c>
      <c r="R72" s="10">
        <f>VLOOKUP(B72,'Detailed Update'!B:T,11,FALSE)</f>
        <v>45134</v>
      </c>
      <c r="S72" s="10">
        <f>VLOOKUP(B72,'Detailed Update'!B:T,12,FALSE)</f>
        <v>45626</v>
      </c>
      <c r="T72" s="9">
        <f>VLOOKUP(B72,'Detailed Update'!B:T,13,FALSE)</f>
        <v>45550</v>
      </c>
      <c r="U72" s="9">
        <f>VLOOKUP(B72,'Detailed Update'!B:T,17,FALSE)</f>
        <v>45234</v>
      </c>
      <c r="V72" s="9">
        <f>VLOOKUP(B72,'Detailed Update'!B:S,18,FALSE)</f>
        <v>45626</v>
      </c>
      <c r="W72" s="9">
        <f>VLOOKUP(B72,'Detailed Update'!B:T,19,FALSE)</f>
        <v>46142</v>
      </c>
      <c r="X72" s="188" t="str">
        <f>VLOOKUP(B72,'Detailed Update'!B:U,20,FALSE)</f>
        <v xml:space="preserve">All Certificates Recieved 
FAC not Not applicable/MCC </v>
      </c>
    </row>
    <row r="73" spans="1:24" ht="25.35" customHeight="1">
      <c r="A73" s="7">
        <v>42</v>
      </c>
      <c r="B73" s="7" t="s">
        <v>142</v>
      </c>
      <c r="C73" s="20" t="str">
        <f>VLOOKUP(B73,'Detailed Update'!B:C,2,FALSE)</f>
        <v>Ibn zahr Expn.</v>
      </c>
      <c r="D73" s="13" t="str">
        <f>VLOOKUP(B73,'Updated Progress % + TCC'!B:D,3,FALSE)</f>
        <v>Walid Khater</v>
      </c>
      <c r="E73" s="7" t="str">
        <f>VLOOKUP(B73,'Updated Progress % + TCC'!B:J,9,FALSE)</f>
        <v>Eastern</v>
      </c>
      <c r="F73" s="13" t="str">
        <f t="shared" si="4"/>
        <v>No</v>
      </c>
      <c r="G73" s="13" t="s">
        <v>25</v>
      </c>
      <c r="H73" s="13" t="s">
        <v>25</v>
      </c>
      <c r="I73" s="13" t="s">
        <v>25</v>
      </c>
      <c r="J73" s="13" t="s">
        <v>25</v>
      </c>
      <c r="K73" s="14">
        <f>VLOOKUP(B73,'Detailed Update'!B:D,3,FALSE)</f>
        <v>44357</v>
      </c>
      <c r="L73" s="18">
        <f>VLOOKUP(B73,'Detailed Update'!B:I,4,FALSE)</f>
        <v>1</v>
      </c>
      <c r="M73" s="18">
        <f>VLOOKUP(B73,'Detailed Update'!B:I,5,FALSE)</f>
        <v>0.88294000000000006</v>
      </c>
      <c r="N73" s="18">
        <f t="shared" si="5"/>
        <v>-0.11705999999999994</v>
      </c>
      <c r="O73" s="7" t="str">
        <f>VLOOKUP(B73,'Detailed Update'!B:I,6,FALSE)</f>
        <v>SEC</v>
      </c>
      <c r="P73" s="7" t="str">
        <f>VLOOKUP(B73,'Detailed Update'!B:I,8,FALSE)</f>
        <v>Dammam</v>
      </c>
      <c r="Q73" s="17" t="s">
        <v>26</v>
      </c>
      <c r="R73" s="10">
        <f>VLOOKUP(B73,'Detailed Update'!B:T,11,FALSE)</f>
        <v>44814</v>
      </c>
      <c r="S73" s="10">
        <f>VLOOKUP(B73,'Detailed Update'!B:T,12,FALSE)</f>
        <v>45412</v>
      </c>
      <c r="T73" s="9">
        <f>VLOOKUP(B73,'Detailed Update'!B:T,13,FALSE)</f>
        <v>46331</v>
      </c>
      <c r="U73" s="9">
        <f>VLOOKUP(B73,'Detailed Update'!B:T,17,FALSE)</f>
        <v>44875</v>
      </c>
      <c r="V73" s="9">
        <f>VLOOKUP(B73,'Detailed Update'!B:S,18,FALSE)</f>
        <v>45473</v>
      </c>
      <c r="W73" s="9">
        <f>VLOOKUP(B73,'Detailed Update'!B:T,19,FALSE)</f>
        <v>46392</v>
      </c>
      <c r="X73" s="11" t="str">
        <f>VLOOKUP(B73,'Detailed Update'!B:U,20,FALSE)</f>
        <v>-</v>
      </c>
    </row>
    <row r="74" spans="1:24" ht="25.35" customHeight="1">
      <c r="A74" s="7">
        <v>43</v>
      </c>
      <c r="B74" s="7" t="s">
        <v>143</v>
      </c>
      <c r="C74" s="20" t="str">
        <f>VLOOKUP(B74,'Detailed Update'!B:C,2,FALSE)</f>
        <v>SWCC | BSP Portion</v>
      </c>
      <c r="D74" s="13" t="str">
        <f>VLOOKUP(B74,'Updated Progress % + TCC'!B:D,3,FALSE)</f>
        <v>Sami Abdou Sayed Atta</v>
      </c>
      <c r="E74" s="7" t="str">
        <f>VLOOKUP(B74,'Updated Progress % + TCC'!B:J,9,FALSE)</f>
        <v>Eastern</v>
      </c>
      <c r="F74" s="13" t="str">
        <f t="shared" si="4"/>
        <v>No</v>
      </c>
      <c r="G74" s="13" t="s">
        <v>25</v>
      </c>
      <c r="H74" s="13" t="s">
        <v>25</v>
      </c>
      <c r="I74" s="13" t="s">
        <v>25</v>
      </c>
      <c r="J74" s="13"/>
      <c r="K74" s="14">
        <f>VLOOKUP(B74,'Detailed Update'!B:D,3,FALSE)</f>
        <v>44704</v>
      </c>
      <c r="L74" s="18">
        <f>VLOOKUP(B74,'Detailed Update'!B:I,4,FALSE)</f>
        <v>1.0000000000000002</v>
      </c>
      <c r="M74" s="18">
        <f>VLOOKUP(B74,'Detailed Update'!B:I,5,FALSE)</f>
        <v>0.98172199999999998</v>
      </c>
      <c r="N74" s="18">
        <f t="shared" si="5"/>
        <v>-1.8278000000000239E-2</v>
      </c>
      <c r="O74" s="7" t="str">
        <f>VLOOKUP(B74,'Detailed Update'!B:I,6,FALSE)</f>
        <v>SWCC</v>
      </c>
      <c r="P74" s="7" t="str">
        <f>VLOOKUP(B74,'Detailed Update'!B:I,8,FALSE)</f>
        <v>Jubail</v>
      </c>
      <c r="Q74" s="17" t="s">
        <v>33</v>
      </c>
      <c r="R74" s="10">
        <f>VLOOKUP(B74,'Detailed Update'!B:T,11,FALSE)</f>
        <v>45345</v>
      </c>
      <c r="S74" s="10">
        <f>VLOOKUP(B74,'Detailed Update'!B:T,12,FALSE)</f>
        <v>45345</v>
      </c>
      <c r="T74" s="9">
        <f>VLOOKUP(B74,'Detailed Update'!B:T,13,FALSE)</f>
        <v>46053</v>
      </c>
      <c r="U74" s="9">
        <f>VLOOKUP(B74,'Detailed Update'!B:T,17,FALSE)</f>
        <v>45345</v>
      </c>
      <c r="V74" s="9">
        <f>VLOOKUP(B74,'Detailed Update'!B:S,18,FALSE)</f>
        <v>45345</v>
      </c>
      <c r="W74" s="9">
        <f>VLOOKUP(B74,'Detailed Update'!B:T,19,FALSE)</f>
        <v>46203</v>
      </c>
      <c r="X74" s="188" t="str">
        <f>VLOOKUP(B74,'Detailed Update'!B:U,20,FALSE)</f>
        <v>PAC Partially Recieved 
Waiting for final approval of Time Extension on Etimad For FAC</v>
      </c>
    </row>
    <row r="75" spans="1:24" ht="25.35" customHeight="1">
      <c r="A75" s="7">
        <v>44</v>
      </c>
      <c r="B75" s="7" t="s">
        <v>144</v>
      </c>
      <c r="C75" s="20" t="str">
        <f>VLOOKUP(B75,'Detailed Update'!B:C,2,FALSE)</f>
        <v>SWCC | Solar Package</v>
      </c>
      <c r="D75" s="13" t="str">
        <f>VLOOKUP(B75,'Updated Progress % + TCC'!B:D,3,FALSE)</f>
        <v>Walid Khater</v>
      </c>
      <c r="E75" s="7" t="str">
        <f>VLOOKUP(B75,'Updated Progress % + TCC'!B:J,9,FALSE)</f>
        <v>Eastern</v>
      </c>
      <c r="F75" s="13" t="str">
        <f t="shared" si="4"/>
        <v>No</v>
      </c>
      <c r="G75" s="13" t="s">
        <v>25</v>
      </c>
      <c r="H75" s="13" t="s">
        <v>25</v>
      </c>
      <c r="I75" s="13" t="s">
        <v>25</v>
      </c>
      <c r="J75" s="13"/>
      <c r="K75" s="14">
        <f>VLOOKUP(B75,'Detailed Update'!B:D,3,FALSE)</f>
        <v>45336</v>
      </c>
      <c r="L75" s="18">
        <f>VLOOKUP(B75,'Detailed Update'!B:I,4,FALSE)</f>
        <v>1.0000000000000002</v>
      </c>
      <c r="M75" s="18">
        <f>VLOOKUP(B75,'Detailed Update'!B:I,5,FALSE)</f>
        <v>0.90700000000000003</v>
      </c>
      <c r="N75" s="18">
        <f t="shared" si="5"/>
        <v>-9.3000000000000194E-2</v>
      </c>
      <c r="O75" s="7" t="str">
        <f>VLOOKUP(B75,'Detailed Update'!B:I,6,FALSE)</f>
        <v>SWCC</v>
      </c>
      <c r="P75" s="7" t="str">
        <f>VLOOKUP(B75,'Detailed Update'!B:I,8,FALSE)</f>
        <v>Jubail</v>
      </c>
      <c r="Q75" s="17" t="s">
        <v>33</v>
      </c>
      <c r="R75" s="10">
        <f>VLOOKUP(B75,'Detailed Update'!B:T,11,FALSE)</f>
        <v>45702</v>
      </c>
      <c r="S75" s="10">
        <f>VLOOKUP(B75,'Detailed Update'!B:T,12,FALSE)</f>
        <v>45702</v>
      </c>
      <c r="T75" s="9">
        <f>VLOOKUP(B75,'Detailed Update'!B:T,13,FALSE)</f>
        <v>46203</v>
      </c>
      <c r="U75" s="9">
        <f>VLOOKUP(B75,'Detailed Update'!B:T,17,FALSE)</f>
        <v>45702</v>
      </c>
      <c r="V75" s="9">
        <f>VLOOKUP(B75,'Detailed Update'!B:S,18,FALSE)</f>
        <v>45702</v>
      </c>
      <c r="W75" s="9">
        <f>VLOOKUP(B75,'Detailed Update'!B:T,19,FALSE)</f>
        <v>46203</v>
      </c>
      <c r="X75" s="11" t="str">
        <f>VLOOKUP(B75,'Detailed Update'!B:U,20,FALSE)</f>
        <v>-</v>
      </c>
    </row>
    <row r="76" spans="1:24" ht="25.35" customHeight="1">
      <c r="A76" s="7">
        <v>45</v>
      </c>
      <c r="B76" s="7" t="s">
        <v>145</v>
      </c>
      <c r="C76" s="20" t="str">
        <f>VLOOKUP(B76,'Detailed Update'!B:C,2,FALSE)</f>
        <v>Thuqbah BSP 380/115KV</v>
      </c>
      <c r="D76" s="13" t="str">
        <f>VLOOKUP(B76,'Updated Progress % + TCC'!B:D,3,FALSE)</f>
        <v>Mohammed Kutkut</v>
      </c>
      <c r="E76" s="7" t="str">
        <f>VLOOKUP(B76,'Updated Progress % + TCC'!B:J,9,FALSE)</f>
        <v>Eastern</v>
      </c>
      <c r="F76" s="13" t="str">
        <f t="shared" si="4"/>
        <v>No</v>
      </c>
      <c r="G76" s="13" t="s">
        <v>25</v>
      </c>
      <c r="H76" s="13" t="s">
        <v>25</v>
      </c>
      <c r="I76" s="13" t="s">
        <v>25</v>
      </c>
      <c r="J76" s="13"/>
      <c r="K76" s="14">
        <f>VLOOKUP(B76,'Detailed Update'!B:D,3,FALSE)</f>
        <v>45218</v>
      </c>
      <c r="L76" s="18">
        <f>VLOOKUP(B76,'Detailed Update'!B:I,4,FALSE)</f>
        <v>0.98825000000000007</v>
      </c>
      <c r="M76" s="18">
        <f>VLOOKUP(B76,'Detailed Update'!B:I,5,FALSE)</f>
        <v>0.96606399999999992</v>
      </c>
      <c r="N76" s="18">
        <f t="shared" si="5"/>
        <v>-2.218600000000015E-2</v>
      </c>
      <c r="O76" s="7" t="str">
        <f>VLOOKUP(B76,'Detailed Update'!B:I,6,FALSE)</f>
        <v>SEC</v>
      </c>
      <c r="P76" s="7" t="str">
        <f>VLOOKUP(B76,'Detailed Update'!B:I,8,FALSE)</f>
        <v>Thuqbah</v>
      </c>
      <c r="Q76" s="17" t="s">
        <v>26</v>
      </c>
      <c r="R76" s="10">
        <f>VLOOKUP(B76,'Detailed Update'!B:T,11,FALSE)</f>
        <v>45766</v>
      </c>
      <c r="S76" s="10">
        <f>VLOOKUP(B76,'Detailed Update'!B:T,12,FALSE)</f>
        <v>46173</v>
      </c>
      <c r="T76" s="9">
        <f>VLOOKUP(B76,'Detailed Update'!B:T,13,FALSE)</f>
        <v>46173</v>
      </c>
      <c r="U76" s="9">
        <f>VLOOKUP(B76,'Detailed Update'!B:T,17,FALSE)</f>
        <v>45919</v>
      </c>
      <c r="V76" s="9">
        <f>VLOOKUP(B76,'Detailed Update'!B:S,18,FALSE)</f>
        <v>46326</v>
      </c>
      <c r="W76" s="9">
        <f>VLOOKUP(B76,'Detailed Update'!B:T,19,FALSE)</f>
        <v>46418</v>
      </c>
      <c r="X76" s="11" t="str">
        <f>VLOOKUP(B76,'Detailed Update'!B:U,20,FALSE)</f>
        <v>-</v>
      </c>
    </row>
    <row r="77" spans="1:24" ht="25.35" customHeight="1">
      <c r="A77" s="7">
        <v>46</v>
      </c>
      <c r="B77" s="7" t="s">
        <v>146</v>
      </c>
      <c r="C77" s="20" t="str">
        <f>VLOOKUP(B77,'Detailed Update'!B:C,2,FALSE)</f>
        <v>Repl. of Berry Gas Plant 230/115KV SS</v>
      </c>
      <c r="D77" s="13" t="str">
        <f>VLOOKUP(B77,'Updated Progress % + TCC'!B:D,3,FALSE)</f>
        <v>Moath Ahmad Mahmoud Almousa</v>
      </c>
      <c r="E77" s="7" t="str">
        <f>VLOOKUP(B77,'Updated Progress % + TCC'!B:J,9,FALSE)</f>
        <v>Eastern</v>
      </c>
      <c r="F77" s="13" t="str">
        <f t="shared" si="4"/>
        <v>No</v>
      </c>
      <c r="G77" s="13" t="str">
        <f>IF(N77&gt;70.01%,"No","Yes")</f>
        <v>Yes</v>
      </c>
      <c r="H77" s="13" t="s">
        <v>25</v>
      </c>
      <c r="I77" s="13" t="s">
        <v>25</v>
      </c>
      <c r="J77" s="13" t="s">
        <v>25</v>
      </c>
      <c r="K77" s="14">
        <f>VLOOKUP(B77,'Detailed Update'!B:D,3,FALSE)</f>
        <v>45431</v>
      </c>
      <c r="L77" s="18">
        <f>VLOOKUP(B77,'Detailed Update'!B:I,4,FALSE)</f>
        <v>0.92007822997613209</v>
      </c>
      <c r="M77" s="18">
        <f>VLOOKUP(B77,'Detailed Update'!B:I,5,FALSE)</f>
        <v>0.85511484299051621</v>
      </c>
      <c r="N77" s="18">
        <f t="shared" si="5"/>
        <v>-6.4963386985615879E-2</v>
      </c>
      <c r="O77" s="7" t="str">
        <f>VLOOKUP(B77,'Detailed Update'!B:I,6,FALSE)</f>
        <v>SEC</v>
      </c>
      <c r="P77" s="7" t="str">
        <f>VLOOKUP(B77,'Detailed Update'!B:I,8,FALSE)</f>
        <v>Jubail</v>
      </c>
      <c r="Q77" s="17" t="s">
        <v>33</v>
      </c>
      <c r="R77" s="10">
        <f>VLOOKUP(B77,'Detailed Update'!B:T,11,FALSE)</f>
        <v>46041</v>
      </c>
      <c r="S77" s="10">
        <f>VLOOKUP(B77,'Detailed Update'!B:T,12,FALSE)</f>
        <v>46041</v>
      </c>
      <c r="T77" s="9">
        <f>VLOOKUP(B77,'Detailed Update'!B:T,13,FALSE)</f>
        <v>46305</v>
      </c>
      <c r="U77" s="9">
        <f>VLOOKUP(B77,'Detailed Update'!B:T,17,FALSE)</f>
        <v>46526</v>
      </c>
      <c r="V77" s="9">
        <f>VLOOKUP(B77,'Detailed Update'!B:S,18,FALSE)</f>
        <v>46526</v>
      </c>
      <c r="W77" s="9">
        <f>VLOOKUP(B77,'Detailed Update'!B:T,19,FALSE)</f>
        <v>46701</v>
      </c>
      <c r="X77" s="11" t="str">
        <f>VLOOKUP(B77,'Detailed Update'!B:U,20,FALSE)</f>
        <v>OHTL Portion after 11 months from SS which is shown here</v>
      </c>
    </row>
    <row r="78" spans="1:24" ht="25.35" customHeight="1">
      <c r="A78" s="7">
        <v>47</v>
      </c>
      <c r="B78" s="7" t="s">
        <v>147</v>
      </c>
      <c r="C78" s="20" t="str">
        <f>VLOOKUP(B78,'Detailed Update'!B:C,2,FALSE)</f>
        <v>AL RAMES 380/115 KV BSP</v>
      </c>
      <c r="D78" s="13" t="str">
        <f>VLOOKUP(B78,'Updated Progress % + TCC'!B:D,3,FALSE)</f>
        <v>Mohamed Ali Hafez Aman</v>
      </c>
      <c r="E78" s="7" t="str">
        <f>VLOOKUP(B78,'Updated Progress % + TCC'!B:J,9,FALSE)</f>
        <v>Eastern</v>
      </c>
      <c r="F78" s="13" t="str">
        <f t="shared" si="4"/>
        <v>No</v>
      </c>
      <c r="G78" s="13" t="s">
        <v>25</v>
      </c>
      <c r="H78" s="13" t="s">
        <v>25</v>
      </c>
      <c r="I78" s="13" t="s">
        <v>25</v>
      </c>
      <c r="J78" s="13"/>
      <c r="K78" s="14">
        <f>VLOOKUP(B78,'Detailed Update'!B:D,3,FALSE)</f>
        <v>45218</v>
      </c>
      <c r="L78" s="18">
        <f>VLOOKUP(B78,'Detailed Update'!B:I,4,FALSE)</f>
        <v>0.99474530716400256</v>
      </c>
      <c r="M78" s="18">
        <f>VLOOKUP(B78,'Detailed Update'!B:I,5,FALSE)</f>
        <v>0.99269133105131191</v>
      </c>
      <c r="N78" s="18">
        <f t="shared" si="5"/>
        <v>-2.0539761126906475E-3</v>
      </c>
      <c r="O78" s="7" t="str">
        <f>VLOOKUP(B78,'Detailed Update'!B:I,6,FALSE)</f>
        <v xml:space="preserve">SEC </v>
      </c>
      <c r="P78" s="7" t="str">
        <f>VLOOKUP(B78,'Detailed Update'!B:I,8,FALSE)</f>
        <v>Dammam</v>
      </c>
      <c r="Q78" s="33" t="s">
        <v>26</v>
      </c>
      <c r="R78" s="10">
        <f>VLOOKUP(B78,'Detailed Update'!B:T,11,FALSE)</f>
        <v>45766</v>
      </c>
      <c r="S78" s="10">
        <f>VLOOKUP(B78,'Detailed Update'!B:T,12,FALSE)</f>
        <v>46356</v>
      </c>
      <c r="T78" s="9">
        <f>VLOOKUP(B78,'Detailed Update'!B:T,13,FALSE)</f>
        <v>46173</v>
      </c>
      <c r="U78" s="9">
        <f>VLOOKUP(B78,'Detailed Update'!B:T,17,FALSE)</f>
        <v>45918</v>
      </c>
      <c r="V78" s="9">
        <f>VLOOKUP(B78,'Detailed Update'!B:S,18,FALSE)</f>
        <v>46507</v>
      </c>
      <c r="W78" s="9">
        <f>VLOOKUP(B78,'Detailed Update'!B:T,19,FALSE)</f>
        <v>46568</v>
      </c>
      <c r="X78" s="11" t="str">
        <f>VLOOKUP(B78,'Detailed Update'!B:U,20,FALSE)</f>
        <v>Expected TCC will be on 13 Dec 26 due to delay of FOC readiness (31 Aug 2026) / Disconnector Switch</v>
      </c>
    </row>
    <row r="79" spans="1:24" ht="25.35" customHeight="1">
      <c r="A79" s="7">
        <v>48</v>
      </c>
      <c r="B79" s="13" t="s">
        <v>148</v>
      </c>
      <c r="C79" s="20" t="str">
        <f>VLOOKUP(B79,'Detailed Update'!B:C,2,FALSE)</f>
        <v>Ghazlan-3 BSP</v>
      </c>
      <c r="D79" s="13" t="str">
        <f>VLOOKUP(B79,'Updated Progress % + TCC'!B:D,3,FALSE)</f>
        <v>Mahmoud Abdelaal</v>
      </c>
      <c r="E79" s="7" t="str">
        <f>VLOOKUP(B79,'Updated Progress % + TCC'!B:J,9,FALSE)</f>
        <v>Eastern</v>
      </c>
      <c r="F79" s="13" t="str">
        <f t="shared" si="4"/>
        <v>Yes</v>
      </c>
      <c r="G79" s="13"/>
      <c r="H79" s="13"/>
      <c r="I79" s="13"/>
      <c r="J79" s="13"/>
      <c r="K79" s="14">
        <f>VLOOKUP(B79,'Detailed Update'!B:D,3,FALSE)</f>
        <v>45697</v>
      </c>
      <c r="L79" s="18">
        <f>VLOOKUP(B79,'Detailed Update'!B:I,4,FALSE)</f>
        <v>0.72111000000000014</v>
      </c>
      <c r="M79" s="18">
        <f>VLOOKUP(B79,'Detailed Update'!B:I,5,FALSE)</f>
        <v>0.46529399999999999</v>
      </c>
      <c r="N79" s="18">
        <f t="shared" si="5"/>
        <v>-0.25581600000000015</v>
      </c>
      <c r="O79" s="7" t="str">
        <f>VLOOKUP(B79,'Detailed Update'!B:I,6,FALSE)</f>
        <v xml:space="preserve">SEC </v>
      </c>
      <c r="P79" s="7" t="str">
        <f>VLOOKUP(B79,'Detailed Update'!B:I,8,FALSE)</f>
        <v>Ghazlan</v>
      </c>
      <c r="Q79" s="33" t="s">
        <v>33</v>
      </c>
      <c r="R79" s="10">
        <f>VLOOKUP(B79,'Detailed Update'!B:T,11,FALSE)</f>
        <v>46212</v>
      </c>
      <c r="S79" s="10">
        <f>VLOOKUP(B79,'Detailed Update'!B:T,12,FALSE)</f>
        <v>46212</v>
      </c>
      <c r="T79" s="9">
        <f>VLOOKUP(B79,'Detailed Update'!B:T,13,FALSE)</f>
        <v>46500</v>
      </c>
      <c r="U79" s="9">
        <f>VLOOKUP(B79,'Detailed Update'!B:T,17,FALSE)</f>
        <v>46365</v>
      </c>
      <c r="V79" s="9">
        <f>VLOOKUP(B79,'Detailed Update'!B:S,18,FALSE)</f>
        <v>46365</v>
      </c>
      <c r="W79" s="9">
        <f>VLOOKUP(B79,'Detailed Update'!B:T,19,FALSE)</f>
        <v>46660</v>
      </c>
      <c r="X79" s="11" t="str">
        <f>VLOOKUP(B79,'Detailed Update'!B:U,20,FALSE)</f>
        <v>Planned % is based on orginal baseline however we have a submitted revised schedule showing 80% used for internal reporting</v>
      </c>
    </row>
    <row r="80" spans="1:24" ht="25.35" customHeight="1">
      <c r="A80" s="7">
        <v>49</v>
      </c>
      <c r="B80" s="13" t="s">
        <v>149</v>
      </c>
      <c r="C80" s="20" t="str">
        <f>VLOOKUP(B80,'Detailed Update'!B:C,2,FALSE)</f>
        <v>Nariyah BSP</v>
      </c>
      <c r="D80" s="13" t="str">
        <f>VLOOKUP(B80,'Updated Progress % + TCC'!B:D,3,FALSE)</f>
        <v>Mohamed Elhag</v>
      </c>
      <c r="E80" s="7" t="str">
        <f>VLOOKUP(B80,'Updated Progress % + TCC'!B:J,9,FALSE)</f>
        <v>Eastern</v>
      </c>
      <c r="F80" s="13" t="str">
        <f t="shared" si="4"/>
        <v>Yes</v>
      </c>
      <c r="G80" s="13" t="s">
        <v>25</v>
      </c>
      <c r="H80" s="13"/>
      <c r="I80" s="13"/>
      <c r="J80" s="13"/>
      <c r="K80" s="14">
        <f>VLOOKUP(B80,'Detailed Update'!B:D,3,FALSE)</f>
        <v>45715</v>
      </c>
      <c r="L80" s="18">
        <f>VLOOKUP(B80,'Detailed Update'!B:I,4,FALSE)</f>
        <v>0.95485600000000004</v>
      </c>
      <c r="M80" s="18">
        <f>VLOOKUP(B80,'Detailed Update'!B:I,5,FALSE)</f>
        <v>0.56828000000000001</v>
      </c>
      <c r="N80" s="18">
        <f t="shared" si="5"/>
        <v>-0.38657600000000003</v>
      </c>
      <c r="O80" s="7" t="str">
        <f>VLOOKUP(B80,'Detailed Update'!B:I,6,FALSE)</f>
        <v xml:space="preserve">SEC </v>
      </c>
      <c r="P80" s="7" t="str">
        <f>VLOOKUP(B80,'Detailed Update'!B:I,8,FALSE)</f>
        <v>Nariyah</v>
      </c>
      <c r="Q80" s="33" t="s">
        <v>53</v>
      </c>
      <c r="R80" s="10">
        <f>VLOOKUP(B80,'Detailed Update'!B:T,11,FALSE)</f>
        <v>46291</v>
      </c>
      <c r="S80" s="10">
        <f>VLOOKUP(B80,'Detailed Update'!B:T,12,FALSE)</f>
        <v>46291</v>
      </c>
      <c r="T80" s="9">
        <f>VLOOKUP(B80,'Detailed Update'!B:T,13,FALSE)</f>
        <v>46544</v>
      </c>
      <c r="U80" s="9">
        <f>VLOOKUP(B80,'Detailed Update'!B:T,17,FALSE)</f>
        <v>46444</v>
      </c>
      <c r="V80" s="9">
        <f>VLOOKUP(B80,'Detailed Update'!B:S,18,FALSE)</f>
        <v>46444</v>
      </c>
      <c r="W80" s="9">
        <f>VLOOKUP(B80,'Detailed Update'!B:T,19,FALSE)</f>
        <v>46699</v>
      </c>
      <c r="X80" s="11" t="str">
        <f>VLOOKUP(B80,'Detailed Update'!B:U,20,FALSE)</f>
        <v>Delayed due to the delivery of GIS equipment Delayed 2times 
1st delay till 25-June-26
2nd Delay till 25-Aug-26</v>
      </c>
    </row>
    <row r="81" spans="1:24" ht="25.35" customHeight="1">
      <c r="A81" s="7">
        <v>50</v>
      </c>
      <c r="B81" s="7" t="s">
        <v>150</v>
      </c>
      <c r="C81" s="20" t="str">
        <f>VLOOKUP(B81,'Detailed Update'!B:C,2,FALSE)</f>
        <v>Construction of King Saud Air Base Facilities</v>
      </c>
      <c r="D81" s="13" t="str">
        <f>VLOOKUP(B81,'Updated Progress % + TCC'!B:D,3,FALSE)</f>
        <v>Mohammed Kutkut</v>
      </c>
      <c r="E81" s="7" t="str">
        <f>VLOOKUP(B81,'Updated Progress % + TCC'!B:J,9,FALSE)</f>
        <v>Eastern</v>
      </c>
      <c r="F81" s="13" t="str">
        <f t="shared" si="4"/>
        <v>Yes</v>
      </c>
      <c r="G81" s="13" t="s">
        <v>36</v>
      </c>
      <c r="H81" s="13" t="s">
        <v>25</v>
      </c>
      <c r="I81" s="13"/>
      <c r="J81" s="13"/>
      <c r="K81" s="14">
        <f>VLOOKUP(B81,'Detailed Update'!B:D,3,FALSE)</f>
        <v>45879</v>
      </c>
      <c r="L81" s="18">
        <f>VLOOKUP(B81,'Detailed Update'!B:I,4,FALSE)</f>
        <v>0.1757</v>
      </c>
      <c r="M81" s="18">
        <f>VLOOKUP(B81,'Detailed Update'!B:I,5,FALSE)</f>
        <v>0.12</v>
      </c>
      <c r="N81" s="18">
        <f t="shared" si="5"/>
        <v>-5.57E-2</v>
      </c>
      <c r="O81" s="7" t="str">
        <f>VLOOKUP(B81,'Detailed Update'!B:I,6,FALSE)</f>
        <v>RSAF</v>
      </c>
      <c r="P81" s="7" t="str">
        <f>VLOOKUP(B81,'Detailed Update'!B:I,8,FALSE)</f>
        <v>Haffr Albatan</v>
      </c>
      <c r="Q81" s="33" t="s">
        <v>53</v>
      </c>
      <c r="R81" s="10">
        <f>VLOOKUP(B81,'Detailed Update'!B:T,11,FALSE)</f>
        <v>46609</v>
      </c>
      <c r="S81" s="10">
        <f>VLOOKUP(B81,'Detailed Update'!B:T,12,FALSE)</f>
        <v>46609</v>
      </c>
      <c r="T81" s="9">
        <f>VLOOKUP(B81,'Detailed Update'!B:T,13,FALSE)</f>
        <v>46657</v>
      </c>
      <c r="U81" s="9">
        <f>VLOOKUP(B81,'Detailed Update'!B:T,17,FALSE)</f>
        <v>47097</v>
      </c>
      <c r="V81" s="9">
        <f>VLOOKUP(B81,'Detailed Update'!B:S,18,FALSE)</f>
        <v>47097</v>
      </c>
      <c r="W81" s="9">
        <f>VLOOKUP(B81,'Detailed Update'!B:T,19,FALSE)</f>
        <v>47097</v>
      </c>
      <c r="X81" s="11" t="str">
        <f>VLOOKUP(B81,'Detailed Update'!B:U,20,FALSE)</f>
        <v>Only Scope Alfanar / There is no FAC only based on the 40 Months Completion</v>
      </c>
    </row>
    <row r="82" spans="1:24" ht="27.6" customHeight="1">
      <c r="A82" s="7">
        <v>51</v>
      </c>
      <c r="B82" s="7" t="s">
        <v>151</v>
      </c>
      <c r="C82" s="20" t="str">
        <f>VLOOKUP(B82,'Detailed Update'!B:C,2,FALSE)</f>
        <v>230/115kV SS | JUBAIL SW REPLACEMENT</v>
      </c>
      <c r="D82" s="13" t="str">
        <f>VLOOKUP(B82,'Updated Progress % + TCC'!B:D,3,FALSE)</f>
        <v>Munther Alkhatib</v>
      </c>
      <c r="E82" s="7" t="str">
        <f>VLOOKUP(B82,'Updated Progress % + TCC'!B:J,9,FALSE)</f>
        <v>Eastern</v>
      </c>
      <c r="F82" s="13" t="str">
        <f t="shared" si="4"/>
        <v>Yes</v>
      </c>
      <c r="G82" s="13" t="s">
        <v>25</v>
      </c>
      <c r="H82" s="13"/>
      <c r="I82" s="13"/>
      <c r="J82" s="13"/>
      <c r="K82" s="14">
        <f>VLOOKUP(B82,'Detailed Update'!B:D,3,FALSE)</f>
        <v>45900</v>
      </c>
      <c r="L82" s="18">
        <f>VLOOKUP(B82,'Detailed Update'!B:I,4,FALSE)</f>
        <v>0.19689999999999999</v>
      </c>
      <c r="M82" s="18">
        <f>VLOOKUP(B82,'Detailed Update'!B:I,5,FALSE)</f>
        <v>0.126</v>
      </c>
      <c r="N82" s="18">
        <f t="shared" si="5"/>
        <v>-7.0899999999999991E-2</v>
      </c>
      <c r="O82" s="7" t="str">
        <f>VLOOKUP(B82,'Detailed Update'!B:I,6,FALSE)</f>
        <v xml:space="preserve">SEC </v>
      </c>
      <c r="P82" s="7" t="str">
        <f>VLOOKUP(B82,'Detailed Update'!B:I,8,FALSE)</f>
        <v>Jubail</v>
      </c>
      <c r="Q82" s="37" t="s">
        <v>53</v>
      </c>
      <c r="R82" s="10">
        <f>VLOOKUP(B82,'Detailed Update'!B:T,11,FALSE)</f>
        <v>46630</v>
      </c>
      <c r="S82" s="10">
        <f>VLOOKUP(B82,'Detailed Update'!B:T,12,FALSE)</f>
        <v>46630</v>
      </c>
      <c r="T82" s="9">
        <f>VLOOKUP(B82,'Detailed Update'!B:T,13,FALSE)</f>
        <v>46870</v>
      </c>
      <c r="U82" s="9">
        <f>VLOOKUP(B82,'Detailed Update'!B:T,17,FALSE)</f>
        <v>46783</v>
      </c>
      <c r="V82" s="9">
        <f>VLOOKUP(B82,'Detailed Update'!B:S,18,FALSE)</f>
        <v>46783</v>
      </c>
      <c r="W82" s="9">
        <f>VLOOKUP(B82,'Detailed Update'!B:T,19,FALSE)</f>
        <v>47023</v>
      </c>
      <c r="X82" s="11" t="str">
        <f>VLOOKUP(B82,'Detailed Update'!B:U,20,FALSE)</f>
        <v>Delayed due to site accessibility issues and Water leakage incident</v>
      </c>
    </row>
    <row r="83" spans="1:24" ht="27.6" customHeight="1">
      <c r="A83" s="7">
        <v>52</v>
      </c>
      <c r="B83" s="7" t="s">
        <v>147</v>
      </c>
      <c r="C83" s="20" t="str">
        <f>VLOOKUP(B83,'Detailed Update'!B:C,2,FALSE)</f>
        <v>AL RAMES 380/115 KV BSP</v>
      </c>
      <c r="D83" s="13" t="str">
        <f>VLOOKUP(B83,'Updated Progress % + TCC'!B:D,3,FALSE)</f>
        <v>Mohamed Ali Hafez Aman</v>
      </c>
      <c r="E83" s="7" t="str">
        <f>VLOOKUP(B83,'Updated Progress % + TCC'!B:J,9,FALSE)</f>
        <v>Eastern</v>
      </c>
      <c r="F83" s="13" t="str">
        <f t="shared" si="4"/>
        <v>No</v>
      </c>
      <c r="G83" s="13" t="s">
        <v>25</v>
      </c>
      <c r="H83" s="13"/>
      <c r="I83" s="13"/>
      <c r="J83" s="13"/>
      <c r="K83" s="14">
        <f>VLOOKUP(B83,'Detailed Update'!B:D,3,FALSE)</f>
        <v>45218</v>
      </c>
      <c r="L83" s="18">
        <f>VLOOKUP(B83,'Detailed Update'!B:I,4,FALSE)</f>
        <v>0.99474530716400256</v>
      </c>
      <c r="M83" s="18">
        <f>VLOOKUP(B83,'Detailed Update'!B:I,5,FALSE)</f>
        <v>0.99269133105131191</v>
      </c>
      <c r="N83" s="18">
        <f t="shared" ref="N83:N87" si="6">M83-L83</f>
        <v>-2.0539761126906475E-3</v>
      </c>
      <c r="O83" s="7" t="str">
        <f>VLOOKUP(B83,'Detailed Update'!B:I,6,FALSE)</f>
        <v xml:space="preserve">SEC </v>
      </c>
      <c r="P83" s="7" t="str">
        <f>VLOOKUP(B83,'Detailed Update'!B:I,8,FALSE)</f>
        <v>Dammam</v>
      </c>
      <c r="Q83" s="37" t="s">
        <v>53</v>
      </c>
      <c r="R83" s="10">
        <f>VLOOKUP(B83,'Detailed Update'!B:T,11,FALSE)</f>
        <v>45766</v>
      </c>
      <c r="S83" s="10">
        <f>VLOOKUP(B83,'Detailed Update'!B:T,12,FALSE)</f>
        <v>46356</v>
      </c>
      <c r="T83" s="9">
        <f>VLOOKUP(B83,'Detailed Update'!B:T,13,FALSE)</f>
        <v>46173</v>
      </c>
      <c r="U83" s="9">
        <f>VLOOKUP(B83,'Detailed Update'!B:T,17,FALSE)</f>
        <v>45918</v>
      </c>
      <c r="V83" s="9">
        <f>VLOOKUP(B83,'Detailed Update'!B:S,18,FALSE)</f>
        <v>46507</v>
      </c>
      <c r="W83" s="9">
        <f>VLOOKUP(B83,'Detailed Update'!B:T,19,FALSE)</f>
        <v>46568</v>
      </c>
      <c r="X83" s="11" t="str">
        <f>VLOOKUP(B83,'Detailed Update'!B:U,20,FALSE)</f>
        <v>Expected TCC will be on 13 Dec 26 due to delay of FOC readiness (31 Aug 2026) / Disconnector Switch</v>
      </c>
    </row>
    <row r="84" spans="1:24" ht="27.6" customHeight="1">
      <c r="A84" s="7">
        <v>53</v>
      </c>
      <c r="B84" s="7" t="s">
        <v>148</v>
      </c>
      <c r="C84" s="20" t="str">
        <f>VLOOKUP(B84,'Detailed Update'!B:C,2,FALSE)</f>
        <v>Ghazlan-3 BSP</v>
      </c>
      <c r="D84" s="13" t="str">
        <f>VLOOKUP(B84,'Updated Progress % + TCC'!B:D,3,FALSE)</f>
        <v>Mahmoud Abdelaal</v>
      </c>
      <c r="E84" s="7" t="str">
        <f>VLOOKUP(B84,'Updated Progress % + TCC'!B:J,9,FALSE)</f>
        <v>Eastern</v>
      </c>
      <c r="F84" s="13" t="str">
        <f t="shared" si="4"/>
        <v>Yes</v>
      </c>
      <c r="G84" s="13" t="s">
        <v>36</v>
      </c>
      <c r="H84" s="13"/>
      <c r="I84" s="13"/>
      <c r="J84" s="13"/>
      <c r="K84" s="14">
        <f>VLOOKUP(B84,'Detailed Update'!B:D,3,FALSE)</f>
        <v>45697</v>
      </c>
      <c r="L84" s="18">
        <f>VLOOKUP(B84,'Detailed Update'!B:I,4,FALSE)</f>
        <v>0.72111000000000014</v>
      </c>
      <c r="M84" s="18">
        <f>VLOOKUP(B84,'Detailed Update'!B:I,5,FALSE)</f>
        <v>0.46529399999999999</v>
      </c>
      <c r="N84" s="18">
        <f t="shared" si="6"/>
        <v>-0.25581600000000015</v>
      </c>
      <c r="O84" s="7" t="str">
        <f>VLOOKUP(B84,'Detailed Update'!B:I,6,FALSE)</f>
        <v xml:space="preserve">SEC </v>
      </c>
      <c r="P84" s="7" t="str">
        <f>VLOOKUP(B84,'Detailed Update'!B:I,8,FALSE)</f>
        <v>Ghazlan</v>
      </c>
      <c r="Q84" s="37" t="s">
        <v>53</v>
      </c>
      <c r="R84" s="10">
        <f>VLOOKUP(B84,'Detailed Update'!B:T,11,FALSE)</f>
        <v>46212</v>
      </c>
      <c r="S84" s="10">
        <f>VLOOKUP(B84,'Detailed Update'!B:T,12,FALSE)</f>
        <v>46212</v>
      </c>
      <c r="T84" s="9">
        <f>VLOOKUP(B84,'Detailed Update'!B:T,13,FALSE)</f>
        <v>46500</v>
      </c>
      <c r="U84" s="9">
        <f>VLOOKUP(B84,'Detailed Update'!B:T,17,FALSE)</f>
        <v>46365</v>
      </c>
      <c r="V84" s="9">
        <f>VLOOKUP(B84,'Detailed Update'!B:S,18,FALSE)</f>
        <v>46365</v>
      </c>
      <c r="W84" s="9">
        <f>VLOOKUP(B84,'Detailed Update'!B:T,19,FALSE)</f>
        <v>46660</v>
      </c>
      <c r="X84" s="11" t="str">
        <f>VLOOKUP(B84,'Detailed Update'!B:U,20,FALSE)</f>
        <v>Planned % is based on orginal baseline however we have a submitted revised schedule showing 80% used for internal reporting</v>
      </c>
    </row>
    <row r="85" spans="1:24" ht="27.6" customHeight="1">
      <c r="A85" s="7">
        <v>54</v>
      </c>
      <c r="B85" s="7" t="s">
        <v>149</v>
      </c>
      <c r="C85" s="20" t="str">
        <f>VLOOKUP(B85,'Detailed Update'!B:C,2,FALSE)</f>
        <v>Nariyah BSP</v>
      </c>
      <c r="D85" s="13" t="str">
        <f>VLOOKUP(B85,'Updated Progress % + TCC'!B:D,3,FALSE)</f>
        <v>Mohamed Elhag</v>
      </c>
      <c r="E85" s="7" t="str">
        <f>VLOOKUP(B85,'Updated Progress % + TCC'!B:J,9,FALSE)</f>
        <v>Eastern</v>
      </c>
      <c r="F85" s="13" t="str">
        <f t="shared" si="4"/>
        <v>Yes</v>
      </c>
      <c r="G85" s="13" t="s">
        <v>50</v>
      </c>
      <c r="H85" s="13"/>
      <c r="I85" s="13"/>
      <c r="J85" s="13"/>
      <c r="K85" s="14">
        <f>VLOOKUP(B85,'Detailed Update'!B:D,3,FALSE)</f>
        <v>45715</v>
      </c>
      <c r="L85" s="18">
        <f>VLOOKUP(B85,'Detailed Update'!B:I,4,FALSE)</f>
        <v>0.95485600000000004</v>
      </c>
      <c r="M85" s="18">
        <f>VLOOKUP(B85,'Detailed Update'!B:I,5,FALSE)</f>
        <v>0.56828000000000001</v>
      </c>
      <c r="N85" s="18">
        <f t="shared" si="6"/>
        <v>-0.38657600000000003</v>
      </c>
      <c r="O85" s="7" t="str">
        <f>VLOOKUP(B85,'Detailed Update'!B:I,6,FALSE)</f>
        <v xml:space="preserve">SEC </v>
      </c>
      <c r="P85" s="7" t="str">
        <f>VLOOKUP(B85,'Detailed Update'!B:I,8,FALSE)</f>
        <v>Nariyah</v>
      </c>
      <c r="Q85" s="37" t="s">
        <v>53</v>
      </c>
      <c r="R85" s="10">
        <f>VLOOKUP(B85,'Detailed Update'!B:T,11,FALSE)</f>
        <v>46291</v>
      </c>
      <c r="S85" s="10">
        <f>VLOOKUP(B85,'Detailed Update'!B:T,12,FALSE)</f>
        <v>46291</v>
      </c>
      <c r="T85" s="9">
        <f>VLOOKUP(B85,'Detailed Update'!B:T,13,FALSE)</f>
        <v>46544</v>
      </c>
      <c r="U85" s="9">
        <f>VLOOKUP(B85,'Detailed Update'!B:T,17,FALSE)</f>
        <v>46444</v>
      </c>
      <c r="V85" s="9">
        <f>VLOOKUP(B85,'Detailed Update'!B:S,18,FALSE)</f>
        <v>46444</v>
      </c>
      <c r="W85" s="9">
        <f>VLOOKUP(B85,'Detailed Update'!B:T,19,FALSE)</f>
        <v>46699</v>
      </c>
      <c r="X85" s="11" t="str">
        <f>VLOOKUP(B85,'Detailed Update'!B:U,20,FALSE)</f>
        <v>Delayed due to the delivery of GIS equipment Delayed 2times 
1st delay till 25-June-26
2nd Delay till 25-Aug-26</v>
      </c>
    </row>
    <row r="86" spans="1:24" ht="27.6" customHeight="1">
      <c r="A86" s="7">
        <v>55</v>
      </c>
      <c r="B86" s="149" t="s">
        <v>150</v>
      </c>
      <c r="C86" s="20" t="str">
        <f>VLOOKUP(B86,'Detailed Update'!B:C,2,FALSE)</f>
        <v>Construction of King Saud Air Base Facilities</v>
      </c>
      <c r="D86" s="13" t="str">
        <f>VLOOKUP(B86,'Updated Progress % + TCC'!B:D,3,FALSE)</f>
        <v>Mohammed Kutkut</v>
      </c>
      <c r="E86" s="7" t="str">
        <f>VLOOKUP(B86,'Updated Progress % + TCC'!B:J,9,FALSE)</f>
        <v>Eastern</v>
      </c>
      <c r="F86" s="13" t="str">
        <f t="shared" si="4"/>
        <v>Yes</v>
      </c>
      <c r="G86" s="13" t="s">
        <v>36</v>
      </c>
      <c r="H86" s="13"/>
      <c r="I86" s="13"/>
      <c r="J86" s="13"/>
      <c r="K86" s="14">
        <f>VLOOKUP(B86,'Detailed Update'!B:D,3,FALSE)</f>
        <v>45879</v>
      </c>
      <c r="L86" s="18">
        <f>VLOOKUP(B86,'Detailed Update'!B:I,4,FALSE)</f>
        <v>0.1757</v>
      </c>
      <c r="M86" s="18">
        <f>VLOOKUP(B86,'Detailed Update'!B:I,5,FALSE)</f>
        <v>0.12</v>
      </c>
      <c r="N86" s="18">
        <f t="shared" si="6"/>
        <v>-5.57E-2</v>
      </c>
      <c r="O86" s="7" t="str">
        <f>VLOOKUP(B86,'Detailed Update'!B:I,6,FALSE)</f>
        <v>RSAF</v>
      </c>
      <c r="P86" s="7" t="str">
        <f>VLOOKUP(B86,'Detailed Update'!B:I,8,FALSE)</f>
        <v>Haffr Albatan</v>
      </c>
      <c r="Q86" s="37" t="s">
        <v>53</v>
      </c>
      <c r="R86" s="10">
        <f>VLOOKUP(B86,'Detailed Update'!B:T,11,FALSE)</f>
        <v>46609</v>
      </c>
      <c r="S86" s="10">
        <f>VLOOKUP(B86,'Detailed Update'!B:T,12,FALSE)</f>
        <v>46609</v>
      </c>
      <c r="T86" s="9">
        <f>VLOOKUP(B86,'Detailed Update'!B:T,13,FALSE)</f>
        <v>46657</v>
      </c>
      <c r="U86" s="9">
        <f>VLOOKUP(B86,'Detailed Update'!B:T,17,FALSE)</f>
        <v>47097</v>
      </c>
      <c r="V86" s="9">
        <f>VLOOKUP(B86,'Detailed Update'!B:S,18,FALSE)</f>
        <v>47097</v>
      </c>
      <c r="W86" s="9">
        <f>VLOOKUP(B86,'Detailed Update'!B:T,19,FALSE)</f>
        <v>47097</v>
      </c>
      <c r="X86" s="11" t="str">
        <f>VLOOKUP(B86,'Detailed Update'!B:U,20,FALSE)</f>
        <v>Only Scope Alfanar / There is no FAC only based on the 40 Months Completion</v>
      </c>
    </row>
    <row r="87" spans="1:24" ht="27.6" customHeight="1">
      <c r="A87" s="7">
        <v>56</v>
      </c>
      <c r="B87" s="7" t="s">
        <v>151</v>
      </c>
      <c r="C87" s="20" t="str">
        <f>VLOOKUP(B87,'Detailed Update'!B:C,2,FALSE)</f>
        <v>230/115kV SS | JUBAIL SW REPLACEMENT</v>
      </c>
      <c r="D87" s="13" t="str">
        <f>VLOOKUP(B87,'Updated Progress % + TCC'!B:D,3,FALSE)</f>
        <v>Munther Alkhatib</v>
      </c>
      <c r="E87" s="7" t="str">
        <f>VLOOKUP(B87,'Updated Progress % + TCC'!B:J,9,FALSE)</f>
        <v>Eastern</v>
      </c>
      <c r="F87" s="13" t="str">
        <f t="shared" si="4"/>
        <v>Yes</v>
      </c>
      <c r="G87" s="13" t="s">
        <v>25</v>
      </c>
      <c r="H87" s="13"/>
      <c r="I87" s="13"/>
      <c r="J87" s="13"/>
      <c r="K87" s="14">
        <f>VLOOKUP(B87,'Detailed Update'!B:D,3,FALSE)</f>
        <v>45900</v>
      </c>
      <c r="L87" s="18">
        <f>VLOOKUP(B87,'Detailed Update'!B:I,4,FALSE)</f>
        <v>0.19689999999999999</v>
      </c>
      <c r="M87" s="18">
        <f>VLOOKUP(B87,'Detailed Update'!B:I,5,FALSE)</f>
        <v>0.126</v>
      </c>
      <c r="N87" s="18">
        <f t="shared" si="6"/>
        <v>-7.0899999999999991E-2</v>
      </c>
      <c r="O87" s="7" t="str">
        <f>VLOOKUP(B87,'Detailed Update'!B:I,6,FALSE)</f>
        <v xml:space="preserve">SEC </v>
      </c>
      <c r="P87" s="7" t="str">
        <f>VLOOKUP(B87,'Detailed Update'!B:I,8,FALSE)</f>
        <v>Jubail</v>
      </c>
      <c r="Q87" s="37" t="s">
        <v>53</v>
      </c>
      <c r="R87" s="10">
        <f>VLOOKUP(B87,'Detailed Update'!B:T,11,FALSE)</f>
        <v>46630</v>
      </c>
      <c r="S87" s="10">
        <f>VLOOKUP(B87,'Detailed Update'!B:T,12,FALSE)</f>
        <v>46630</v>
      </c>
      <c r="T87" s="9">
        <f>VLOOKUP(B87,'Detailed Update'!B:T,13,FALSE)</f>
        <v>46870</v>
      </c>
      <c r="U87" s="9">
        <f>VLOOKUP(B87,'Detailed Update'!B:T,17,FALSE)</f>
        <v>46783</v>
      </c>
      <c r="V87" s="9">
        <f>VLOOKUP(B87,'Detailed Update'!B:S,18,FALSE)</f>
        <v>46783</v>
      </c>
      <c r="W87" s="9">
        <f>VLOOKUP(B87,'Detailed Update'!B:T,19,FALSE)</f>
        <v>47023</v>
      </c>
      <c r="X87" s="11" t="str">
        <f>VLOOKUP(B87,'Detailed Update'!B:U,20,FALSE)</f>
        <v>Delayed due to site accessibility issues and Water leakage incident</v>
      </c>
    </row>
    <row r="88" spans="1:24" ht="27.6" customHeight="1">
      <c r="A88" s="7">
        <v>57</v>
      </c>
      <c r="B88" s="156" t="s">
        <v>152</v>
      </c>
      <c r="C88" s="20" t="str">
        <f>VLOOKUP(B88,'Detailed Update'!B:C,2,FALSE)</f>
        <v xml:space="preserve">Qulayyib 380 kV BSP </v>
      </c>
      <c r="D88" s="13" t="str">
        <f>VLOOKUP(B88,'Updated Progress % + TCC'!B:D,3,FALSE)</f>
        <v>Tarig Mohammed</v>
      </c>
      <c r="E88" s="7" t="str">
        <f>VLOOKUP(B88,'Updated Progress % + TCC'!B:J,9,FALSE)</f>
        <v>Eastern</v>
      </c>
      <c r="F88" s="13" t="str">
        <f t="shared" si="4"/>
        <v>Yes</v>
      </c>
      <c r="G88" s="13"/>
      <c r="H88" s="13"/>
      <c r="I88" s="13"/>
      <c r="J88" s="13"/>
      <c r="K88" s="14">
        <f>VLOOKUP(B88,'Detailed Update'!B:D,3,FALSE)</f>
        <v>46113</v>
      </c>
      <c r="L88" s="18">
        <f>VLOOKUP(B88,'Detailed Update'!B:I,4,FALSE)</f>
        <v>6.7430000000000004E-2</v>
      </c>
      <c r="M88" s="18">
        <f>VLOOKUP(B88,'Detailed Update'!B:I,5,FALSE)</f>
        <v>3.9980000000000002E-2</v>
      </c>
      <c r="N88" s="18">
        <f t="shared" ref="N88" si="7">M88-L88</f>
        <v>-2.7450000000000002E-2</v>
      </c>
      <c r="O88" s="7" t="str">
        <f>VLOOKUP(B88,'Detailed Update'!B:I,6,FALSE)</f>
        <v xml:space="preserve">MGC-Mutlaq Al Gowairi Company </v>
      </c>
      <c r="P88" s="7" t="str">
        <f>VLOOKUP(B88,'Detailed Update'!B:I,8,FALSE)</f>
        <v>Qulayyib Area</v>
      </c>
      <c r="Q88" s="37" t="s">
        <v>53</v>
      </c>
      <c r="R88" s="10">
        <f>VLOOKUP(B88,'Detailed Update'!B:T,11,FALSE)</f>
        <v>46905</v>
      </c>
      <c r="S88" s="10">
        <f>VLOOKUP(B88,'Detailed Update'!B:T,12,FALSE)</f>
        <v>46905</v>
      </c>
      <c r="T88" s="9">
        <f>VLOOKUP(B88,'Detailed Update'!B:T,13,FALSE)</f>
        <v>46943</v>
      </c>
      <c r="U88" s="9">
        <f>VLOOKUP(B88,'Detailed Update'!B:T,17,FALSE)</f>
        <v>47270</v>
      </c>
      <c r="V88" s="9">
        <f>VLOOKUP(B88,'Detailed Update'!B:S,18,FALSE)</f>
        <v>47270</v>
      </c>
      <c r="W88" s="9">
        <f>VLOOKUP(B88,'Detailed Update'!B:T,19,FALSE)</f>
        <v>47308</v>
      </c>
      <c r="X88" s="11" t="str">
        <f>VLOOKUP(B88,'Detailed Update'!B:U,20,FALSE)</f>
        <v>-</v>
      </c>
    </row>
    <row r="89" spans="1:24" ht="27.6" customHeight="1">
      <c r="A89" s="7">
        <v>58</v>
      </c>
      <c r="B89" s="354" t="s">
        <v>153</v>
      </c>
      <c r="C89" s="20" t="str">
        <f>VLOOKUP(B89,'Detailed Update'!B:C,2,FALSE)</f>
        <v>Construction of NEW VSC HVDC Overhead Transmission Line for EOA-COA Link 1</v>
      </c>
      <c r="D89" s="13" t="str">
        <f>VLOOKUP(B89,'Updated Progress % + TCC'!B:D,3,FALSE)</f>
        <v>Moath Ahmad Mahmoud Almousa</v>
      </c>
      <c r="E89" s="7" t="str">
        <f>VLOOKUP(B89,'Updated Progress % + TCC'!B:J,9,FALSE)</f>
        <v>Eastern</v>
      </c>
      <c r="F89" s="13" t="str">
        <f t="shared" si="4"/>
        <v>Yes</v>
      </c>
      <c r="G89" s="13"/>
      <c r="H89" s="13"/>
      <c r="I89" s="13"/>
      <c r="J89" s="13"/>
      <c r="K89" s="14">
        <f>VLOOKUP(B89,'Detailed Update'!B:D,3,FALSE)</f>
        <v>46146</v>
      </c>
      <c r="L89" s="18">
        <f>VLOOKUP(B89,'Detailed Update'!B:I,4,FALSE)</f>
        <v>2.9387000000000003E-2</v>
      </c>
      <c r="M89" s="18">
        <f>VLOOKUP(B89,'Detailed Update'!B:I,5,FALSE)</f>
        <v>1.8270000000000002E-2</v>
      </c>
      <c r="N89" s="18">
        <f t="shared" ref="N89" si="8">M89-L89</f>
        <v>-1.1117000000000002E-2</v>
      </c>
      <c r="O89" s="7" t="str">
        <f>VLOOKUP(B89,'Detailed Update'!B:I,6,FALSE)</f>
        <v>SEC</v>
      </c>
      <c r="P89" s="7" t="str">
        <f>VLOOKUP(B89,'Detailed Update'!B:I,8,FALSE)</f>
        <v>Nariyah</v>
      </c>
      <c r="Q89" s="37" t="s">
        <v>53</v>
      </c>
      <c r="R89" s="10">
        <f>VLOOKUP(B89,'Detailed Update'!B:T,11,FALSE)</f>
        <v>47061</v>
      </c>
      <c r="S89" s="10">
        <f>VLOOKUP(B89,'Detailed Update'!B:T,12,FALSE)</f>
        <v>47061</v>
      </c>
      <c r="T89" s="9">
        <f>VLOOKUP(B89,'Detailed Update'!B:T,13,FALSE)</f>
        <v>47079</v>
      </c>
      <c r="U89" s="9">
        <f>VLOOKUP(B89,'Detailed Update'!B:T,17,FALSE)</f>
        <v>47212</v>
      </c>
      <c r="V89" s="9">
        <f>VLOOKUP(B89,'Detailed Update'!B:S,18,FALSE)</f>
        <v>47212</v>
      </c>
      <c r="W89" s="9">
        <f>VLOOKUP(B89,'Detailed Update'!B:T,19,FALSE)</f>
        <v>47236</v>
      </c>
      <c r="X89" s="11" t="s">
        <v>154</v>
      </c>
    </row>
    <row r="90" spans="1:24" ht="27.6" customHeight="1">
      <c r="A90" s="4"/>
      <c r="B90" s="4"/>
      <c r="C90" s="5" t="s">
        <v>155</v>
      </c>
      <c r="D90" s="15"/>
      <c r="E90" s="15"/>
      <c r="F90" s="15"/>
      <c r="G90" s="15"/>
      <c r="H90" s="15"/>
      <c r="I90" s="15"/>
      <c r="J90" s="15"/>
      <c r="K90" s="15"/>
      <c r="L90" s="15"/>
      <c r="M90" s="15"/>
      <c r="N90" s="15"/>
      <c r="O90" s="4"/>
      <c r="P90" s="4"/>
      <c r="Q90" s="31"/>
      <c r="R90" s="6"/>
      <c r="S90" s="6"/>
      <c r="T90" s="12"/>
      <c r="U90" s="12"/>
      <c r="V90" s="12"/>
      <c r="W90" s="12"/>
      <c r="X90" s="187"/>
    </row>
    <row r="91" spans="1:24" ht="27.6" customHeight="1">
      <c r="A91" s="7">
        <v>59</v>
      </c>
      <c r="B91" s="7" t="s">
        <v>156</v>
      </c>
      <c r="C91" s="20" t="str">
        <f>VLOOKUP(B91,'Detailed Update'!B:C,2,FALSE)</f>
        <v>Installation of Dynamic Reactive Power Compensation(DRPC) at Tabuk 380KV BSP</v>
      </c>
      <c r="D91" s="13" t="str">
        <f>VLOOKUP(B91,'Updated Progress % + TCC'!B:D,3,FALSE)</f>
        <v>Shafqat Zia</v>
      </c>
      <c r="E91" s="7" t="str">
        <f>VLOOKUP(B91,'Updated Progress % + TCC'!B:J,9,FALSE)</f>
        <v>Western</v>
      </c>
      <c r="F91" s="13" t="str">
        <f t="shared" ref="F91:F138" si="9">IF(M91&gt;70.01%,"No","Yes")</f>
        <v>No</v>
      </c>
      <c r="G91" s="13"/>
      <c r="H91" s="13"/>
      <c r="I91" s="13"/>
      <c r="J91" s="13"/>
      <c r="K91" s="14">
        <f>VLOOKUP(B91,'Detailed Update'!B:D,3,FALSE)</f>
        <v>44700</v>
      </c>
      <c r="L91" s="18">
        <f>VLOOKUP(B91,'Detailed Update'!B:I,4,FALSE)</f>
        <v>1</v>
      </c>
      <c r="M91" s="18">
        <f>VLOOKUP(B91,'Detailed Update'!B:I,5,FALSE)</f>
        <v>1</v>
      </c>
      <c r="N91" s="18">
        <f t="shared" ref="N91:N136" si="10">M91-L91</f>
        <v>0</v>
      </c>
      <c r="O91" s="7" t="str">
        <f>VLOOKUP(B91,'Detailed Update'!B:I,6,FALSE)</f>
        <v xml:space="preserve">SEC </v>
      </c>
      <c r="P91" s="7" t="str">
        <f>VLOOKUP(B91,'Detailed Update'!B:I,8,FALSE)</f>
        <v>Tabuk</v>
      </c>
      <c r="Q91" s="17" t="s">
        <v>53</v>
      </c>
      <c r="R91" s="10">
        <f>VLOOKUP(B91,'Detailed Update'!B:T,11,FALSE)</f>
        <v>45492</v>
      </c>
      <c r="S91" s="10">
        <f>VLOOKUP(B91,'Detailed Update'!B:T,12,FALSE)</f>
        <v>45777</v>
      </c>
      <c r="T91" s="9">
        <f>VLOOKUP(B91,'Detailed Update'!B:T,13,FALSE)</f>
        <v>45777</v>
      </c>
      <c r="U91" s="9">
        <f>VLOOKUP(B91,'Detailed Update'!B:T,17,FALSE)</f>
        <v>45615</v>
      </c>
      <c r="V91" s="9">
        <f>VLOOKUP(B91,'Detailed Update'!B:S,18,FALSE)</f>
        <v>46052</v>
      </c>
      <c r="W91" s="9">
        <f>VLOOKUP(B91,'Detailed Update'!B:T,19,FALSE)</f>
        <v>46446</v>
      </c>
      <c r="X91" s="11" t="str">
        <f>VLOOKUP(B91,'Detailed Update'!B:U,20,FALSE)</f>
        <v>Energization done without TSC Panel, TCC received. Partial PAC (21-Jan-2026) also received; 
Balance PAC &amp; FAC upon delivery of remaining TSC Panel;
Alfanar requested for FAC invoice and under discussion with SEC.</v>
      </c>
    </row>
    <row r="92" spans="1:24" ht="27.6" customHeight="1">
      <c r="A92" s="7">
        <v>60</v>
      </c>
      <c r="B92" s="7" t="s">
        <v>157</v>
      </c>
      <c r="C92" s="20" t="str">
        <f>VLOOKUP(B92,'Detailed Update'!B:C,2,FALSE)</f>
        <v xml:space="preserve">Expansion of Existing Yanbu Central (YCNT) </v>
      </c>
      <c r="D92" s="13" t="str">
        <f>VLOOKUP(B92,'Updated Progress % + TCC'!B:D,3,FALSE)</f>
        <v>Zohaib Iqbal</v>
      </c>
      <c r="E92" s="7" t="str">
        <f>VLOOKUP(B92,'Updated Progress % + TCC'!B:J,9,FALSE)</f>
        <v>Western</v>
      </c>
      <c r="F92" s="13" t="str">
        <f t="shared" si="9"/>
        <v>No</v>
      </c>
      <c r="G92" s="13"/>
      <c r="H92" s="13"/>
      <c r="I92" s="13"/>
      <c r="J92" s="13"/>
      <c r="K92" s="14">
        <f>VLOOKUP(B92,'Detailed Update'!B:D,3,FALSE)</f>
        <v>44598</v>
      </c>
      <c r="L92" s="18">
        <f>VLOOKUP(B92,'Detailed Update'!B:I,4,FALSE)</f>
        <v>1</v>
      </c>
      <c r="M92" s="18">
        <f>VLOOKUP(B92,'Detailed Update'!B:I,5,FALSE)</f>
        <v>0.98899999999999999</v>
      </c>
      <c r="N92" s="18">
        <f t="shared" si="10"/>
        <v>-1.100000000000001E-2</v>
      </c>
      <c r="O92" s="7" t="str">
        <f>VLOOKUP(B92,'Detailed Update'!B:I,6,FALSE)</f>
        <v xml:space="preserve">SEC </v>
      </c>
      <c r="P92" s="7" t="str">
        <f>VLOOKUP(B92,'Detailed Update'!B:I,8,FALSE)</f>
        <v>Yanbu,Umluj&amp; Alwajh</v>
      </c>
      <c r="Q92" s="17" t="s">
        <v>53</v>
      </c>
      <c r="R92" s="10">
        <f>VLOOKUP(B92,'Detailed Update'!B:T,11,FALSE)</f>
        <v>45297</v>
      </c>
      <c r="S92" s="10">
        <f>VLOOKUP(B92,'Detailed Update'!B:T,12,FALSE)</f>
        <v>45565</v>
      </c>
      <c r="T92" s="9">
        <f>VLOOKUP(B92,'Detailed Update'!B:T,13,FALSE)</f>
        <v>45565</v>
      </c>
      <c r="U92" s="9">
        <f>VLOOKUP(B92,'Detailed Update'!B:T,17,FALSE)</f>
        <v>45449</v>
      </c>
      <c r="V92" s="9">
        <f>VLOOKUP(B92,'Detailed Update'!B:S,18,FALSE)</f>
        <v>45716</v>
      </c>
      <c r="W92" s="9">
        <f>VLOOKUP(B92,'Detailed Update'!B:T,19,FALSE)</f>
        <v>46285</v>
      </c>
      <c r="X92" s="11" t="str">
        <f>VLOOKUP(B92,'Detailed Update'!B:U,20,FALSE)</f>
        <v>PAC received, not yet energized due to SE shutdown issues for all the area</v>
      </c>
    </row>
    <row r="93" spans="1:24" ht="27.6" customHeight="1">
      <c r="A93" s="7">
        <v>61</v>
      </c>
      <c r="B93" s="7" t="s">
        <v>158</v>
      </c>
      <c r="C93" s="20" t="str">
        <f>VLOOKUP(B93,'Detailed Update'!B:C,2,FALSE)</f>
        <v>Expansions of Existing MHD 380 KV BSP</v>
      </c>
      <c r="D93" s="13" t="str">
        <f>VLOOKUP(B93,'Updated Progress % + TCC'!B:D,3,FALSE)</f>
        <v>Omar Samman</v>
      </c>
      <c r="E93" s="7" t="str">
        <f>VLOOKUP(B93,'Updated Progress % + TCC'!B:J,9,FALSE)</f>
        <v>Western</v>
      </c>
      <c r="F93" s="13" t="str">
        <f t="shared" si="9"/>
        <v>No</v>
      </c>
      <c r="G93" s="13"/>
      <c r="H93" s="13"/>
      <c r="I93" s="13"/>
      <c r="J93" s="13"/>
      <c r="K93" s="14">
        <f>VLOOKUP(B93,'Detailed Update'!B:D,3,FALSE)</f>
        <v>44868</v>
      </c>
      <c r="L93" s="18">
        <f>VLOOKUP(B93,'Detailed Update'!B:I,4,FALSE)</f>
        <v>1</v>
      </c>
      <c r="M93" s="18">
        <f>VLOOKUP(B93,'Detailed Update'!B:I,5,FALSE)</f>
        <v>0.99890000000000001</v>
      </c>
      <c r="N93" s="18">
        <f t="shared" si="10"/>
        <v>-1.0999999999999899E-3</v>
      </c>
      <c r="O93" s="7" t="str">
        <f>VLOOKUP(B93,'Detailed Update'!B:I,6,FALSE)</f>
        <v xml:space="preserve">SEC </v>
      </c>
      <c r="P93" s="7" t="str">
        <f>VLOOKUP(B93,'Detailed Update'!B:I,8,FALSE)</f>
        <v>Madinah</v>
      </c>
      <c r="Q93" s="17" t="s">
        <v>53</v>
      </c>
      <c r="R93" s="10">
        <f>VLOOKUP(B93,'Detailed Update'!B:T,11,FALSE)</f>
        <v>45415</v>
      </c>
      <c r="S93" s="10">
        <f>VLOOKUP(B93,'Detailed Update'!B:T,12,FALSE)</f>
        <v>45960</v>
      </c>
      <c r="T93" s="9">
        <f>VLOOKUP(B93,'Detailed Update'!B:T,13,FALSE)</f>
        <v>46021</v>
      </c>
      <c r="U93" s="9">
        <f>VLOOKUP(B93,'Detailed Update'!B:T,17,FALSE)</f>
        <v>45567</v>
      </c>
      <c r="V93" s="9">
        <f>VLOOKUP(B93,'Detailed Update'!B:S,18,FALSE)</f>
        <v>46111</v>
      </c>
      <c r="W93" s="9">
        <f>VLOOKUP(B93,'Detailed Update'!B:T,19,FALSE)</f>
        <v>46174</v>
      </c>
      <c r="X93" s="11" t="str">
        <f>VLOOKUP(B93,'Detailed Update'!B:U,20,FALSE)</f>
        <v>As-built drawings under SEC review &amp; approval. FAC certification waiting from SE; Request for issuance of FAC / Commitment for Completion of Outstanding Work was submitted on 20-Jul-26.</v>
      </c>
    </row>
    <row r="94" spans="1:24" ht="27.6" customHeight="1">
      <c r="A94" s="7">
        <v>62</v>
      </c>
      <c r="B94" s="7" t="s">
        <v>159</v>
      </c>
      <c r="C94" s="20" t="str">
        <f>VLOOKUP(B94,'Detailed Update'!B:C,2,FALSE)</f>
        <v>Taif East Governorate Project</v>
      </c>
      <c r="D94" s="13" t="str">
        <f>VLOOKUP(B94,'Updated Progress % + TCC'!B:D,3,FALSE)</f>
        <v>Mahmoud Sobhy El Sayed</v>
      </c>
      <c r="E94" s="7" t="str">
        <f>VLOOKUP(B94,'Updated Progress % + TCC'!B:J,9,FALSE)</f>
        <v>Western</v>
      </c>
      <c r="F94" s="13" t="str">
        <f t="shared" si="9"/>
        <v>No</v>
      </c>
      <c r="G94" s="13" t="s">
        <v>25</v>
      </c>
      <c r="H94" s="13"/>
      <c r="I94" s="13"/>
      <c r="J94" s="13"/>
      <c r="K94" s="14">
        <f>VLOOKUP(B94,'Detailed Update'!B:D,3,FALSE)</f>
        <v>44882</v>
      </c>
      <c r="L94" s="18">
        <f>VLOOKUP(B94,'Detailed Update'!B:I,4,FALSE)</f>
        <v>1</v>
      </c>
      <c r="M94" s="18">
        <f>VLOOKUP(B94,'Detailed Update'!B:I,5,FALSE)</f>
        <v>0.9</v>
      </c>
      <c r="N94" s="18">
        <f t="shared" si="10"/>
        <v>-9.9999999999999978E-2</v>
      </c>
      <c r="O94" s="7" t="str">
        <f>VLOOKUP(B94,'Detailed Update'!B:I,6,FALSE)</f>
        <v xml:space="preserve">SEC </v>
      </c>
      <c r="P94" s="7" t="str">
        <f>VLOOKUP(B94,'Detailed Update'!B:I,8,FALSE)</f>
        <v>Taif</v>
      </c>
      <c r="Q94" s="17" t="s">
        <v>53</v>
      </c>
      <c r="R94" s="10">
        <f>VLOOKUP(B94,'Detailed Update'!B:T,11,FALSE)</f>
        <v>45399</v>
      </c>
      <c r="S94" s="10">
        <f>VLOOKUP(B94,'Detailed Update'!B:T,12,FALSE)</f>
        <v>45643</v>
      </c>
      <c r="T94" s="9">
        <f>VLOOKUP(B94,'Detailed Update'!B:T,13,FALSE)</f>
        <v>46295</v>
      </c>
      <c r="U94" s="9">
        <f>VLOOKUP(B94,'Detailed Update'!B:T,17,FALSE)</f>
        <v>45552</v>
      </c>
      <c r="V94" s="9">
        <f>VLOOKUP(B94,'Detailed Update'!B:S,18,FALSE)</f>
        <v>45793</v>
      </c>
      <c r="W94" s="9">
        <f>VLOOKUP(B94,'Detailed Update'!B:T,19,FALSE)</f>
        <v>46414</v>
      </c>
      <c r="X94" s="11" t="str">
        <f>VLOOKUP(B94,'Detailed Update'!B:U,20,FALSE)</f>
        <v>1. EOT-1 Approved upto 14-Dec-24, EOT-2 submitted on 12th Aug 25, TCC upto 17th Jun 26. (Under SEC Approval). EOT to be resubmitted. 
2. SAS testing pending due to EWS V.O finalization and delivery (V.O)
3. OHTL Line readiness pending from SE, no clarity on readiness</v>
      </c>
    </row>
    <row r="95" spans="1:24" ht="27.6" customHeight="1">
      <c r="A95" s="7">
        <v>63</v>
      </c>
      <c r="B95" s="7" t="s">
        <v>160</v>
      </c>
      <c r="C95" s="20" t="str">
        <f>VLOOKUP(B95,'Detailed Update'!B:C,2,FALSE)</f>
        <v>110/13.8KV  HARAZAT SUB JEDDAH</v>
      </c>
      <c r="D95" s="13" t="str">
        <f>VLOOKUP(B95,'Updated Progress % + TCC'!B:D,3,FALSE)</f>
        <v>Muhammad Ilyas</v>
      </c>
      <c r="E95" s="7" t="str">
        <f>VLOOKUP(B95,'Updated Progress % + TCC'!B:J,9,FALSE)</f>
        <v>Western</v>
      </c>
      <c r="F95" s="13" t="str">
        <f t="shared" si="9"/>
        <v>No</v>
      </c>
      <c r="G95" s="13" t="s">
        <v>25</v>
      </c>
      <c r="H95" s="13" t="s">
        <v>25</v>
      </c>
      <c r="I95" s="13" t="s">
        <v>25</v>
      </c>
      <c r="J95" s="13"/>
      <c r="K95" s="14">
        <f>VLOOKUP(B95,'Detailed Update'!B:D,3,FALSE)</f>
        <v>45120</v>
      </c>
      <c r="L95" s="18">
        <f>VLOOKUP(B95,'Detailed Update'!B:I,4,FALSE)</f>
        <v>1</v>
      </c>
      <c r="M95" s="18">
        <f>VLOOKUP(B95,'Detailed Update'!B:I,5,FALSE)</f>
        <v>0.98409999999999997</v>
      </c>
      <c r="N95" s="18">
        <f t="shared" si="10"/>
        <v>-1.5900000000000025E-2</v>
      </c>
      <c r="O95" s="7" t="str">
        <f>VLOOKUP(B95,'Detailed Update'!B:I,6,FALSE)</f>
        <v>SEC</v>
      </c>
      <c r="P95" s="7" t="str">
        <f>VLOOKUP(B95,'Detailed Update'!B:I,8,FALSE)</f>
        <v>Jeddah</v>
      </c>
      <c r="Q95" s="17" t="s">
        <v>53</v>
      </c>
      <c r="R95" s="10">
        <f>VLOOKUP(B95,'Detailed Update'!B:T,11,FALSE)</f>
        <v>45609</v>
      </c>
      <c r="S95" s="10">
        <f>VLOOKUP(B95,'Detailed Update'!B:T,12,FALSE)</f>
        <v>45729</v>
      </c>
      <c r="T95" s="9">
        <f>VLOOKUP(B95,'Detailed Update'!B:T,13,FALSE)</f>
        <v>45867</v>
      </c>
      <c r="U95" s="9">
        <f>VLOOKUP(B95,'Detailed Update'!B:T,17,FALSE)</f>
        <v>45760</v>
      </c>
      <c r="V95" s="9">
        <f>VLOOKUP(B95,'Detailed Update'!B:S,18,FALSE)</f>
        <v>45882</v>
      </c>
      <c r="W95" s="9">
        <f>VLOOKUP(B95,'Detailed Update'!B:T,19,FALSE)</f>
        <v>46295</v>
      </c>
      <c r="X95" s="11" t="str">
        <f>VLOOKUP(B95,'Detailed Update'!B:U,20,FALSE)</f>
        <v>Remote End Works:
1.  Installation of Telecom Panels completed, testing will be done, once line readiness from client.
 (Dependent on Line Readiness from Client)
2. Final Settings of Line Protection Panels. (Dependent on Line Readiness from Client)
Punchlist &amp; As built works are in progress, completion date 30-Sep-26.
 Punchlist:Total 309 nos, 295 Completed, 5 nos ready to close.
Asbuilt: 90% completed.</v>
      </c>
    </row>
    <row r="96" spans="1:24" ht="27.6" customHeight="1">
      <c r="A96" s="7">
        <v>64</v>
      </c>
      <c r="B96" s="7" t="s">
        <v>161</v>
      </c>
      <c r="C96" s="20" t="str">
        <f>VLOOKUP(B96,'Detailed Update'!B:C,2,FALSE)</f>
        <v>Fadelah 110/13.8KV SS - JEDDAH</v>
      </c>
      <c r="D96" s="13" t="str">
        <f>VLOOKUP(B96,'Updated Progress % + TCC'!B:D,3,FALSE)</f>
        <v>Khaled Abdelaty Hassan Emara Shehata</v>
      </c>
      <c r="E96" s="7" t="str">
        <f>VLOOKUP(B96,'Updated Progress % + TCC'!B:J,9,FALSE)</f>
        <v>Western</v>
      </c>
      <c r="F96" s="13" t="str">
        <f t="shared" si="9"/>
        <v>No</v>
      </c>
      <c r="G96" s="13" t="s">
        <v>25</v>
      </c>
      <c r="H96" s="13" t="s">
        <v>25</v>
      </c>
      <c r="I96" s="13" t="s">
        <v>25</v>
      </c>
      <c r="J96" s="13"/>
      <c r="K96" s="14">
        <f>VLOOKUP(B96,'Detailed Update'!B:D,3,FALSE)</f>
        <v>45131</v>
      </c>
      <c r="L96" s="18">
        <f>VLOOKUP(B96,'Detailed Update'!B:I,4,FALSE)</f>
        <v>1</v>
      </c>
      <c r="M96" s="18">
        <f>VLOOKUP(B96,'Detailed Update'!B:I,5,FALSE)</f>
        <v>0.98419999999999996</v>
      </c>
      <c r="N96" s="18">
        <f t="shared" si="10"/>
        <v>-1.5800000000000036E-2</v>
      </c>
      <c r="O96" s="7" t="str">
        <f>VLOOKUP(B96,'Detailed Update'!B:I,6,FALSE)</f>
        <v xml:space="preserve">SEC </v>
      </c>
      <c r="P96" s="7" t="str">
        <f>VLOOKUP(B96,'Detailed Update'!B:I,8,FALSE)</f>
        <v>Jeddah</v>
      </c>
      <c r="Q96" s="17" t="s">
        <v>53</v>
      </c>
      <c r="R96" s="10">
        <f>VLOOKUP(B96,'Detailed Update'!B:T,11,FALSE)</f>
        <v>45620</v>
      </c>
      <c r="S96" s="10">
        <f>VLOOKUP(B96,'Detailed Update'!B:T,12,FALSE)</f>
        <v>45924</v>
      </c>
      <c r="T96" s="9">
        <f>VLOOKUP(B96,'Detailed Update'!B:T,13,FALSE)</f>
        <v>45834</v>
      </c>
      <c r="U96" s="9">
        <f>VLOOKUP(B96,'Detailed Update'!B:T,17,FALSE)</f>
        <v>45771</v>
      </c>
      <c r="V96" s="9">
        <f>VLOOKUP(B96,'Detailed Update'!B:S,18,FALSE)</f>
        <v>46138</v>
      </c>
      <c r="W96" s="9">
        <f>VLOOKUP(B96,'Detailed Update'!B:T,19,FALSE)</f>
        <v>46295</v>
      </c>
      <c r="X96" s="11" t="str">
        <f>VLOOKUP(B96,'Detailed Update'!B:U,20,FALSE)</f>
        <v>1) Energization done with temporary line, (Permanent line readiness Dependent on Client).
2) AMI integration with WRCC. (Dependent on Line Readiness from Client).
3) Modon GIS extension bays (Shutdown -Relay setting ) 85% completed.
Punchlist &amp; As built works are in progress, completion date 30-Sep-26.
Punch points : Out of 10, 2 completed, 3 ready to close.
As built status: out of 12, 12 ready to close.</v>
      </c>
    </row>
    <row r="97" spans="1:24" ht="27.6" customHeight="1">
      <c r="A97" s="7">
        <v>65</v>
      </c>
      <c r="B97" s="7" t="s">
        <v>162</v>
      </c>
      <c r="C97" s="20" t="str">
        <f>VLOOKUP(B97,'Detailed Update'!B:C,2,FALSE)</f>
        <v>HENAKIYAH BSP 380 KV</v>
      </c>
      <c r="D97" s="13" t="str">
        <f>VLOOKUP(B97,'Updated Progress % + TCC'!B:D,3,FALSE)</f>
        <v>Mahmoud Sobhy El Sayed</v>
      </c>
      <c r="E97" s="7" t="str">
        <f>VLOOKUP(B97,'Updated Progress % + TCC'!B:J,9,FALSE)</f>
        <v>Western</v>
      </c>
      <c r="F97" s="13" t="str">
        <f t="shared" si="9"/>
        <v>No</v>
      </c>
      <c r="G97" s="13" t="s">
        <v>25</v>
      </c>
      <c r="H97" s="13" t="s">
        <v>25</v>
      </c>
      <c r="I97" s="13" t="s">
        <v>25</v>
      </c>
      <c r="J97" s="13"/>
      <c r="K97" s="14">
        <f>VLOOKUP(B97,'Detailed Update'!B:D,3,FALSE)</f>
        <v>44861</v>
      </c>
      <c r="L97" s="18">
        <f>VLOOKUP(B97,'Detailed Update'!B:I,4,FALSE)</f>
        <v>1</v>
      </c>
      <c r="M97" s="18">
        <f>VLOOKUP(B97,'Detailed Update'!B:I,5,FALSE)</f>
        <v>1</v>
      </c>
      <c r="N97" s="18">
        <f t="shared" si="10"/>
        <v>0</v>
      </c>
      <c r="O97" s="7" t="str">
        <f>VLOOKUP(B97,'Detailed Update'!B:I,6,FALSE)</f>
        <v>SEC</v>
      </c>
      <c r="P97" s="7" t="str">
        <f>VLOOKUP(B97,'Detailed Update'!B:I,8,FALSE)</f>
        <v>Madinah</v>
      </c>
      <c r="Q97" s="17" t="s">
        <v>53</v>
      </c>
      <c r="R97" s="10">
        <f>VLOOKUP(B97,'Detailed Update'!B:T,11,FALSE)</f>
        <v>45562</v>
      </c>
      <c r="S97" s="10">
        <f>VLOOKUP(B97,'Detailed Update'!B:T,12,FALSE)</f>
        <v>45657</v>
      </c>
      <c r="T97" s="9">
        <f>VLOOKUP(B97,'Detailed Update'!B:T,13,FALSE)</f>
        <v>45754</v>
      </c>
      <c r="U97" s="9">
        <f>VLOOKUP(B97,'Detailed Update'!B:T,17,FALSE)</f>
        <v>45715</v>
      </c>
      <c r="V97" s="9">
        <f>VLOOKUP(B97,'Detailed Update'!B:S,18,FALSE)</f>
        <v>45807</v>
      </c>
      <c r="W97" s="9">
        <f>VLOOKUP(B97,'Detailed Update'!B:T,19,FALSE)</f>
        <v>46149</v>
      </c>
      <c r="X97" s="11" t="str">
        <f>VLOOKUP(B97,'Detailed Update'!B:U,20,FALSE)</f>
        <v>FAC received</v>
      </c>
    </row>
    <row r="98" spans="1:24" ht="27.6" customHeight="1">
      <c r="A98" s="7">
        <v>66</v>
      </c>
      <c r="B98" s="7" t="s">
        <v>163</v>
      </c>
      <c r="C98" s="20" t="str">
        <f>VLOOKUP(B98,'Detailed Update'!B:C,2,FALSE)</f>
        <v>Sanabel con.at Jeddah</v>
      </c>
      <c r="D98" s="13" t="str">
        <f>VLOOKUP(B98,'Updated Progress % + TCC'!B:D,3,FALSE)</f>
        <v>Abdelazeem Morsy</v>
      </c>
      <c r="E98" s="7" t="str">
        <f>VLOOKUP(B98,'Updated Progress % + TCC'!B:J,9,FALSE)</f>
        <v>Western</v>
      </c>
      <c r="F98" s="13" t="str">
        <f t="shared" si="9"/>
        <v>No</v>
      </c>
      <c r="G98" s="13" t="s">
        <v>25</v>
      </c>
      <c r="H98" s="13" t="s">
        <v>25</v>
      </c>
      <c r="I98" s="13" t="s">
        <v>25</v>
      </c>
      <c r="J98" s="13"/>
      <c r="K98" s="14">
        <f>VLOOKUP(B98,'Detailed Update'!B:D,3,FALSE)</f>
        <v>44924</v>
      </c>
      <c r="L98" s="18">
        <f>VLOOKUP(B98,'Detailed Update'!B:I,4,FALSE)</f>
        <v>1</v>
      </c>
      <c r="M98" s="18">
        <f>VLOOKUP(B98,'Detailed Update'!B:I,5,FALSE)</f>
        <v>0.97499999999999998</v>
      </c>
      <c r="N98" s="18">
        <f t="shared" si="10"/>
        <v>-2.5000000000000022E-2</v>
      </c>
      <c r="O98" s="7" t="str">
        <f>VLOOKUP(B98,'Detailed Update'!B:I,6,FALSE)</f>
        <v>SEC</v>
      </c>
      <c r="P98" s="7" t="str">
        <f>VLOOKUP(B98,'Detailed Update'!B:I,8,FALSE)</f>
        <v>Jeddah</v>
      </c>
      <c r="Q98" s="17" t="s">
        <v>26</v>
      </c>
      <c r="R98" s="10">
        <f>VLOOKUP(B98,'Detailed Update'!B:T,11,FALSE)</f>
        <v>45594</v>
      </c>
      <c r="S98" s="10">
        <f>VLOOKUP(B98,'Detailed Update'!B:T,12,FALSE)</f>
        <v>45687</v>
      </c>
      <c r="T98" s="9">
        <f>VLOOKUP(B98,'Detailed Update'!B:T,13,FALSE)</f>
        <v>45992</v>
      </c>
      <c r="U98" s="9">
        <f>VLOOKUP(B98,'Detailed Update'!B:T,17,FALSE)</f>
        <v>45744</v>
      </c>
      <c r="V98" s="9">
        <f>VLOOKUP(B98,'Detailed Update'!B:S,18,FALSE)</f>
        <v>45841</v>
      </c>
      <c r="W98" s="9">
        <f>VLOOKUP(B98,'Detailed Update'!B:T,19,FALSE)</f>
        <v>46298</v>
      </c>
      <c r="X98" s="11" t="str">
        <f>VLOOKUP(B98,'Detailed Update'!B:U,20,FALSE)</f>
        <v xml:space="preserve">SAS Configuration and testing pending, due to AES team mobilization pending </v>
      </c>
    </row>
    <row r="99" spans="1:24" ht="27.6" customHeight="1">
      <c r="A99" s="7">
        <v>67</v>
      </c>
      <c r="B99" s="7" t="s">
        <v>164</v>
      </c>
      <c r="C99" s="20" t="str">
        <f>VLOOKUP(B99,'Detailed Update'!B:C,2,FALSE)</f>
        <v>Reinf. of Thuwal Town  KAUST 2</v>
      </c>
      <c r="D99" s="13" t="str">
        <f>VLOOKUP(B99,'Updated Progress % + TCC'!B:D,3,FALSE)</f>
        <v>Abdelazeem Morsy</v>
      </c>
      <c r="E99" s="7" t="str">
        <f>VLOOKUP(B99,'Updated Progress % + TCC'!B:J,9,FALSE)</f>
        <v>Western</v>
      </c>
      <c r="F99" s="13" t="str">
        <f t="shared" si="9"/>
        <v>No</v>
      </c>
      <c r="G99" s="13" t="s">
        <v>25</v>
      </c>
      <c r="H99" s="13" t="s">
        <v>25</v>
      </c>
      <c r="I99" s="13" t="s">
        <v>25</v>
      </c>
      <c r="J99" s="13"/>
      <c r="K99" s="14">
        <f>VLOOKUP(B99,'Detailed Update'!B:D,3,FALSE)</f>
        <v>44924</v>
      </c>
      <c r="L99" s="18">
        <f>VLOOKUP(B99,'Detailed Update'!B:I,4,FALSE)</f>
        <v>1</v>
      </c>
      <c r="M99" s="18">
        <f>VLOOKUP(B99,'Detailed Update'!B:I,5,FALSE)</f>
        <v>0.96960000000000002</v>
      </c>
      <c r="N99" s="18">
        <f t="shared" si="10"/>
        <v>-3.0399999999999983E-2</v>
      </c>
      <c r="O99" s="7" t="str">
        <f>VLOOKUP(B99,'Detailed Update'!B:I,6,FALSE)</f>
        <v xml:space="preserve">SEC </v>
      </c>
      <c r="P99" s="7" t="str">
        <f>VLOOKUP(B99,'Detailed Update'!B:I,8,FALSE)</f>
        <v>Jeddah</v>
      </c>
      <c r="Q99" s="17" t="s">
        <v>26</v>
      </c>
      <c r="R99" s="10">
        <f>VLOOKUP(B99,'Detailed Update'!B:T,11,FALSE)</f>
        <v>45533</v>
      </c>
      <c r="S99" s="10">
        <f>VLOOKUP(B99,'Detailed Update'!B:T,12,FALSE)</f>
        <v>45656</v>
      </c>
      <c r="T99" s="9">
        <f>VLOOKUP(B99,'Detailed Update'!B:T,13,FALSE)</f>
        <v>45992</v>
      </c>
      <c r="U99" s="9">
        <f>VLOOKUP(B99,'Detailed Update'!B:T,17,FALSE)</f>
        <v>45685</v>
      </c>
      <c r="V99" s="9">
        <f>VLOOKUP(B99,'Detailed Update'!B:S,18,FALSE)</f>
        <v>45811</v>
      </c>
      <c r="W99" s="9">
        <f>VLOOKUP(B99,'Detailed Update'!B:T,19,FALSE)</f>
        <v>46298</v>
      </c>
      <c r="X99" s="11" t="str">
        <f>VLOOKUP(B99,'Detailed Update'!B:U,20,FALSE)</f>
        <v>SAS Configuration and testing pending</v>
      </c>
    </row>
    <row r="100" spans="1:24" ht="27.6" customHeight="1">
      <c r="A100" s="7">
        <v>68</v>
      </c>
      <c r="B100" s="7" t="s">
        <v>165</v>
      </c>
      <c r="C100" s="20" t="str">
        <f>VLOOKUP(B100,'Detailed Update'!B:C,2,FALSE)</f>
        <v>Waly Alahad-4 110/13.8KV SS</v>
      </c>
      <c r="D100" s="13" t="str">
        <f>VLOOKUP(B100,'Updated Progress % + TCC'!B:D,3,FALSE)</f>
        <v>Moustafa Elkayyal</v>
      </c>
      <c r="E100" s="7" t="str">
        <f>VLOOKUP(B100,'Updated Progress % + TCC'!B:J,9,FALSE)</f>
        <v>Western</v>
      </c>
      <c r="F100" s="13" t="str">
        <f t="shared" si="9"/>
        <v>No</v>
      </c>
      <c r="G100" s="13" t="s">
        <v>25</v>
      </c>
      <c r="H100" s="13" t="s">
        <v>25</v>
      </c>
      <c r="I100" s="13" t="s">
        <v>25</v>
      </c>
      <c r="J100" s="13"/>
      <c r="K100" s="14">
        <f>VLOOKUP(B100,'Detailed Update'!B:D,3,FALSE)</f>
        <v>45218</v>
      </c>
      <c r="L100" s="18">
        <f>VLOOKUP(B100,'Detailed Update'!B:I,4,FALSE)</f>
        <v>1</v>
      </c>
      <c r="M100" s="18">
        <f>VLOOKUP(B100,'Detailed Update'!B:I,5,FALSE)</f>
        <v>0.94530000000000003</v>
      </c>
      <c r="N100" s="18">
        <f t="shared" si="10"/>
        <v>-5.4699999999999971E-2</v>
      </c>
      <c r="O100" s="7" t="str">
        <f>VLOOKUP(B100,'Detailed Update'!B:I,6,FALSE)</f>
        <v xml:space="preserve">SEC </v>
      </c>
      <c r="P100" s="7" t="str">
        <f>VLOOKUP(B100,'Detailed Update'!B:I,8,FALSE)</f>
        <v>Makkah</v>
      </c>
      <c r="Q100" s="17" t="s">
        <v>53</v>
      </c>
      <c r="R100" s="10">
        <f>VLOOKUP(B100,'Detailed Update'!B:T,11,FALSE)</f>
        <v>45707</v>
      </c>
      <c r="S100" s="10">
        <f>VLOOKUP(B100,'Detailed Update'!B:T,12,FALSE)</f>
        <v>45980</v>
      </c>
      <c r="T100" s="9">
        <f>VLOOKUP(B100,'Detailed Update'!B:T,13,FALSE)</f>
        <v>45980</v>
      </c>
      <c r="U100" s="9">
        <f>VLOOKUP(B100,'Detailed Update'!B:T,17,FALSE)</f>
        <v>45857</v>
      </c>
      <c r="V100" s="9">
        <f>VLOOKUP(B100,'Detailed Update'!B:S,18,FALSE)</f>
        <v>46131</v>
      </c>
      <c r="W100" s="9">
        <f>VLOOKUP(B100,'Detailed Update'!B:T,19,FALSE)</f>
        <v>46321</v>
      </c>
      <c r="X100" s="11" t="str">
        <f>VLOOKUP(B100,'Detailed Update'!B:U,20,FALSE)</f>
        <v>1) Line readiness pending from SEC</v>
      </c>
    </row>
    <row r="101" spans="1:24" ht="27.6" customHeight="1">
      <c r="A101" s="7">
        <v>69</v>
      </c>
      <c r="B101" s="7" t="s">
        <v>166</v>
      </c>
      <c r="C101" s="20" t="str">
        <f>VLOOKUP(B101,'Detailed Update'!B:C,2,FALSE)</f>
        <v>110KV SS - KAEC-3</v>
      </c>
      <c r="D101" s="13" t="str">
        <f>VLOOKUP(B101,'Updated Progress % + TCC'!B:D,3,FALSE)</f>
        <v>Hossam Amin</v>
      </c>
      <c r="E101" s="7" t="str">
        <f>VLOOKUP(B101,'Updated Progress % + TCC'!B:J,9,FALSE)</f>
        <v>Western</v>
      </c>
      <c r="F101" s="13" t="str">
        <f t="shared" si="9"/>
        <v>No</v>
      </c>
      <c r="G101" s="13" t="s">
        <v>25</v>
      </c>
      <c r="H101" s="13" t="s">
        <v>25</v>
      </c>
      <c r="I101" s="13" t="s">
        <v>25</v>
      </c>
      <c r="J101" s="13"/>
      <c r="K101" s="14">
        <f>VLOOKUP(B101,'Detailed Update'!B:D,3,FALSE)</f>
        <v>45442</v>
      </c>
      <c r="L101" s="18">
        <f>VLOOKUP(B101,'Detailed Update'!B:I,4,FALSE)</f>
        <v>1</v>
      </c>
      <c r="M101" s="18">
        <f>VLOOKUP(B101,'Detailed Update'!B:I,5,FALSE)</f>
        <v>0.99</v>
      </c>
      <c r="N101" s="18">
        <f t="shared" si="10"/>
        <v>-1.0000000000000009E-2</v>
      </c>
      <c r="O101" s="7" t="str">
        <f>VLOOKUP(B101,'Detailed Update'!B:I,6,FALSE)</f>
        <v>SEC</v>
      </c>
      <c r="P101" s="7" t="str">
        <f>VLOOKUP(B101,'Detailed Update'!B:I,8,FALSE)</f>
        <v>Jeddah</v>
      </c>
      <c r="Q101" s="17" t="s">
        <v>53</v>
      </c>
      <c r="R101" s="10">
        <f>VLOOKUP(B101,'Detailed Update'!B:T,11,FALSE)</f>
        <v>45991</v>
      </c>
      <c r="S101" s="10">
        <f>VLOOKUP(B101,'Detailed Update'!B:T,12,FALSE)</f>
        <v>45991</v>
      </c>
      <c r="T101" s="9">
        <f>VLOOKUP(B101,'Detailed Update'!B:T,13,FALSE)</f>
        <v>45991</v>
      </c>
      <c r="U101" s="9">
        <f>VLOOKUP(B101,'Detailed Update'!B:T,17,FALSE)</f>
        <v>46141</v>
      </c>
      <c r="V101" s="9">
        <f>VLOOKUP(B101,'Detailed Update'!B:S,18,FALSE)</f>
        <v>46141</v>
      </c>
      <c r="W101" s="9">
        <f>VLOOKUP(B101,'Detailed Update'!B:T,19,FALSE)</f>
        <v>46203</v>
      </c>
      <c r="X101" s="11" t="str">
        <f>VLOOKUP(B101,'Detailed Update'!B:U,20,FALSE)</f>
        <v>TCC, PAC Received. FAC Letter Submitted to Client</v>
      </c>
    </row>
    <row r="102" spans="1:24" ht="27.6" customHeight="1">
      <c r="A102" s="7">
        <v>70</v>
      </c>
      <c r="B102" s="7" t="s">
        <v>167</v>
      </c>
      <c r="C102" s="20" t="str">
        <f>VLOOKUP(B102,'Detailed Update'!B:C,2,FALSE)</f>
        <v>NG Taif</v>
      </c>
      <c r="D102" s="13" t="str">
        <f>VLOOKUP(B102,'Updated Progress % + TCC'!B:D,3,FALSE)</f>
        <v>Omar Samman</v>
      </c>
      <c r="E102" s="7" t="str">
        <f>VLOOKUP(B102,'Updated Progress % + TCC'!B:J,9,FALSE)</f>
        <v>Western</v>
      </c>
      <c r="F102" s="13" t="str">
        <f t="shared" si="9"/>
        <v>No</v>
      </c>
      <c r="G102" s="13" t="s">
        <v>25</v>
      </c>
      <c r="H102" s="13" t="s">
        <v>25</v>
      </c>
      <c r="I102" s="13" t="s">
        <v>25</v>
      </c>
      <c r="J102" s="13"/>
      <c r="K102" s="14">
        <f>VLOOKUP(B102,'Detailed Update'!B:D,3,FALSE)</f>
        <v>43156</v>
      </c>
      <c r="L102" s="18">
        <f>VLOOKUP(B102,'Detailed Update'!B:I,4,FALSE)</f>
        <v>1</v>
      </c>
      <c r="M102" s="18">
        <f>VLOOKUP(B102,'Detailed Update'!B:I,5,FALSE)</f>
        <v>0.99650000000000005</v>
      </c>
      <c r="N102" s="18">
        <f t="shared" si="10"/>
        <v>-3.4999999999999476E-3</v>
      </c>
      <c r="O102" s="7" t="str">
        <f>VLOOKUP(B102,'Detailed Update'!B:I,6,FALSE)</f>
        <v>NG</v>
      </c>
      <c r="P102" s="7" t="str">
        <f>VLOOKUP(B102,'Detailed Update'!B:I,8,FALSE)</f>
        <v>Taif</v>
      </c>
      <c r="Q102" s="17" t="s">
        <v>33</v>
      </c>
      <c r="R102" s="10" t="str">
        <f>VLOOKUP(B102,'Detailed Update'!B:T,11,FALSE)</f>
        <v>NA</v>
      </c>
      <c r="S102" s="10" t="str">
        <f>VLOOKUP(B102,'Detailed Update'!B:T,12,FALSE)</f>
        <v>NA</v>
      </c>
      <c r="T102" s="9" t="str">
        <f>VLOOKUP(B102,'Detailed Update'!B:T,13,FALSE)</f>
        <v>NA</v>
      </c>
      <c r="U102" s="9">
        <f>VLOOKUP(B102,'Detailed Update'!B:T,17,FALSE)</f>
        <v>44252</v>
      </c>
      <c r="V102" s="9">
        <f>VLOOKUP(B102,'Detailed Update'!B:S,18,FALSE)</f>
        <v>46217</v>
      </c>
      <c r="W102" s="9">
        <f>VLOOKUP(B102,'Detailed Update'!B:T,19,FALSE)</f>
        <v>46568</v>
      </c>
      <c r="X102" s="11" t="str">
        <f>VLOOKUP(B102,'Detailed Update'!B:U,20,FALSE)</f>
        <v>EOT: Contract amendment approved,PCC on 14th Jul 25, EOT-2 submitted on 4th Nov 25, with 8 months (PCC: 14th Mar 26), Under SEC approval
1) All cable ceiling end joints works replacing works in progress, expected compeltion by 30th May 26.
2) Remote end-1 final setting done, Remote end 2 final setting completion by 10th May.
3) HV Test and end to end test pending expected completion by 15th Jun and 30th Jun</v>
      </c>
    </row>
    <row r="103" spans="1:24" ht="27.6" customHeight="1">
      <c r="A103" s="7">
        <v>71</v>
      </c>
      <c r="B103" s="7" t="s">
        <v>168</v>
      </c>
      <c r="C103" s="20" t="str">
        <f>VLOOKUP(B103,'Detailed Update'!B:C,2,FALSE)</f>
        <v>UM-AL-JOUD BSP</v>
      </c>
      <c r="D103" s="13" t="str">
        <f>VLOOKUP(B103,'Updated Progress % + TCC'!B:D,3,FALSE)</f>
        <v xml:space="preserve">Bander Khalid Al Qalah </v>
      </c>
      <c r="E103" s="7" t="str">
        <f>VLOOKUP(B103,'Updated Progress % + TCC'!B:J,9,FALSE)</f>
        <v>Western</v>
      </c>
      <c r="F103" s="13" t="str">
        <f t="shared" si="9"/>
        <v>No</v>
      </c>
      <c r="G103" s="13" t="s">
        <v>25</v>
      </c>
      <c r="H103" s="13" t="s">
        <v>25</v>
      </c>
      <c r="I103" s="13" t="s">
        <v>25</v>
      </c>
      <c r="J103" s="13"/>
      <c r="K103" s="14">
        <f>VLOOKUP(B103,'Detailed Update'!B:D,3,FALSE)</f>
        <v>44812</v>
      </c>
      <c r="L103" s="18">
        <f>VLOOKUP(B103,'Detailed Update'!B:I,4,FALSE)</f>
        <v>1</v>
      </c>
      <c r="M103" s="18">
        <f>VLOOKUP(B103,'Detailed Update'!B:I,5,FALSE)</f>
        <v>0.88949999999999996</v>
      </c>
      <c r="N103" s="18">
        <f t="shared" si="10"/>
        <v>-0.11050000000000004</v>
      </c>
      <c r="O103" s="7" t="str">
        <f>VLOOKUP(B103,'Detailed Update'!B:I,6,FALSE)</f>
        <v>SEC</v>
      </c>
      <c r="P103" s="7" t="str">
        <f>VLOOKUP(B103,'Detailed Update'!B:I,8,FALSE)</f>
        <v>Makkah</v>
      </c>
      <c r="Q103" s="17" t="s">
        <v>33</v>
      </c>
      <c r="R103" s="10">
        <f>VLOOKUP(B103,'Detailed Update'!B:T,11,FALSE)</f>
        <v>45238</v>
      </c>
      <c r="S103" s="10">
        <f>VLOOKUP(B103,'Detailed Update'!B:T,12,FALSE)</f>
        <v>45695</v>
      </c>
      <c r="T103" s="9">
        <f>VLOOKUP(B103,'Detailed Update'!B:T,13,FALSE)</f>
        <v>46264</v>
      </c>
      <c r="U103" s="9">
        <f>VLOOKUP(B103,'Detailed Update'!B:T,17,FALSE)</f>
        <v>45390</v>
      </c>
      <c r="V103" s="9">
        <f>VLOOKUP(B103,'Detailed Update'!B:S,18,FALSE)</f>
        <v>45845</v>
      </c>
      <c r="W103" s="9">
        <f>VLOOKUP(B103,'Detailed Update'!B:T,19,FALSE)</f>
        <v>46417</v>
      </c>
      <c r="X103" s="11" t="str">
        <f>VLOOKUP(B103,'Detailed Update'!B:U,20,FALSE)</f>
        <v>1) EOT-2 submitted to client on 8th Jan 25, Revised TCC date confirmation is pending by SEC (Due to no clarity in readiness of remote end i.e. Fahya SS). EOT-2 resubmitted on 14-June-26 for Revised TCC on 31-July-27. Once approved, TCC letter will be submitted.
2) Remote end protection desing approval pending from SEC. Holding the procurement of loose material &amp; modification work at remote end.
3) Protection scope for Fahya Substation is unknown: Due to which Design submission and approval for modification and procuring loose material is still not finalized
4) Restriction to work inside Rusifah Substation: No confirmation on Panel Installation is provided in Rusifah Substation due to limitations of space. Also, FOC cable pulling &amp; termination inside SS is on hold.
5) Testing of Fiber &amp; High Voltage cable is required to start. Waiting for SEC witness.
6) Shut down from SEC is required for Replacing Relay from Rushifah to Umaljoud. Still no clarity on shutdown also.</v>
      </c>
    </row>
    <row r="104" spans="1:24" ht="27.6" customHeight="1">
      <c r="A104" s="7">
        <v>72</v>
      </c>
      <c r="B104" s="7" t="s">
        <v>169</v>
      </c>
      <c r="C104" s="20" t="str">
        <f>VLOOKUP(B104,'Detailed Update'!B:C,2,FALSE)</f>
        <v>MOWAIH PV 380/110V BSP</v>
      </c>
      <c r="D104" s="13" t="str">
        <f>VLOOKUP(B104,'Updated Progress % + TCC'!B:D,3,FALSE)</f>
        <v>Mohammed Fathy</v>
      </c>
      <c r="E104" s="7" t="str">
        <f>VLOOKUP(B104,'Updated Progress % + TCC'!B:J,9,FALSE)</f>
        <v>Western</v>
      </c>
      <c r="F104" s="13" t="str">
        <f t="shared" si="9"/>
        <v>No</v>
      </c>
      <c r="G104" s="13" t="s">
        <v>25</v>
      </c>
      <c r="H104" s="13" t="s">
        <v>25</v>
      </c>
      <c r="I104" s="13" t="s">
        <v>25</v>
      </c>
      <c r="J104" s="13"/>
      <c r="K104" s="14">
        <f>VLOOKUP(B104,'Detailed Update'!B:D,3,FALSE)</f>
        <v>45014</v>
      </c>
      <c r="L104" s="18">
        <f>VLOOKUP(B104,'Detailed Update'!B:I,4,FALSE)</f>
        <v>1</v>
      </c>
      <c r="M104" s="18">
        <f>VLOOKUP(B104,'Detailed Update'!B:I,5,FALSE)</f>
        <v>0.99</v>
      </c>
      <c r="N104" s="18">
        <f t="shared" si="10"/>
        <v>-1.0000000000000009E-2</v>
      </c>
      <c r="O104" s="7" t="str">
        <f>VLOOKUP(B104,'Detailed Update'!B:I,6,FALSE)</f>
        <v xml:space="preserve">SEC </v>
      </c>
      <c r="P104" s="7" t="str">
        <f>VLOOKUP(B104,'Detailed Update'!B:I,8,FALSE)</f>
        <v>Taif</v>
      </c>
      <c r="Q104" s="17" t="s">
        <v>33</v>
      </c>
      <c r="R104" s="10">
        <f>VLOOKUP(B104,'Detailed Update'!B:T,11,FALSE)</f>
        <v>45745</v>
      </c>
      <c r="S104" s="10">
        <f>VLOOKUP(B104,'Detailed Update'!B:T,12,FALSE)</f>
        <v>45961</v>
      </c>
      <c r="T104" s="9">
        <f>VLOOKUP(B104,'Detailed Update'!B:T,13,FALSE)</f>
        <v>46028</v>
      </c>
      <c r="U104" s="9">
        <f>VLOOKUP(B104,'Detailed Update'!B:T,17,FALSE)</f>
        <v>45897</v>
      </c>
      <c r="V104" s="9">
        <f>VLOOKUP(B104,'Detailed Update'!B:S,18,FALSE)</f>
        <v>46081</v>
      </c>
      <c r="W104" s="9">
        <f>VLOOKUP(B104,'Detailed Update'!B:T,19,FALSE)</f>
        <v>46264</v>
      </c>
      <c r="X104" s="11" t="str">
        <f>VLOOKUP(B104,'Detailed Update'!B:U,20,FALSE)</f>
        <v>EOT is submitted with TCC and was approved on 21st Apr 26
Energization done, and TCC was received on 21st Apr 26</v>
      </c>
    </row>
    <row r="105" spans="1:24" ht="27.6" customHeight="1">
      <c r="A105" s="7">
        <v>73</v>
      </c>
      <c r="B105" s="7" t="s">
        <v>170</v>
      </c>
      <c r="C105" s="20" t="str">
        <f>VLOOKUP(B105,'Detailed Update'!B:C,2,FALSE)</f>
        <v>110/33 KV ALMAHANI S/S IN TAIF</v>
      </c>
      <c r="D105" s="13" t="str">
        <f>VLOOKUP(B105,'Updated Progress % + TCC'!B:D,3,FALSE)</f>
        <v>Mudasir Sheikh</v>
      </c>
      <c r="E105" s="7" t="str">
        <f>VLOOKUP(B105,'Updated Progress % + TCC'!B:J,9,FALSE)</f>
        <v>Western</v>
      </c>
      <c r="F105" s="13" t="str">
        <f t="shared" si="9"/>
        <v>No</v>
      </c>
      <c r="G105" s="13" t="s">
        <v>25</v>
      </c>
      <c r="H105" s="13" t="s">
        <v>25</v>
      </c>
      <c r="I105" s="13" t="s">
        <v>25</v>
      </c>
      <c r="J105" s="13"/>
      <c r="K105" s="14">
        <f>VLOOKUP(B105,'Detailed Update'!B:D,3,FALSE)</f>
        <v>45060</v>
      </c>
      <c r="L105" s="18">
        <f>VLOOKUP(B105,'Detailed Update'!B:I,4,FALSE)</f>
        <v>1</v>
      </c>
      <c r="M105" s="18">
        <f>VLOOKUP(B105,'Detailed Update'!B:I,5,FALSE)</f>
        <v>0.92300000000000004</v>
      </c>
      <c r="N105" s="18">
        <f t="shared" si="10"/>
        <v>-7.6999999999999957E-2</v>
      </c>
      <c r="O105" s="7" t="str">
        <f>VLOOKUP(B105,'Detailed Update'!B:I,6,FALSE)</f>
        <v>SEC</v>
      </c>
      <c r="P105" s="7" t="str">
        <f>VLOOKUP(B105,'Detailed Update'!B:I,8,FALSE)</f>
        <v>Taif</v>
      </c>
      <c r="Q105" s="17" t="s">
        <v>33</v>
      </c>
      <c r="R105" s="10">
        <f>VLOOKUP(B105,'Detailed Update'!B:T,11,FALSE)</f>
        <v>45671</v>
      </c>
      <c r="S105" s="10">
        <f>VLOOKUP(B105,'Detailed Update'!B:T,12,FALSE)</f>
        <v>45991</v>
      </c>
      <c r="T105" s="9">
        <f>VLOOKUP(B105,'Detailed Update'!B:T,13,FALSE)</f>
        <v>46325</v>
      </c>
      <c r="U105" s="9">
        <f>VLOOKUP(B105,'Detailed Update'!B:T,17,FALSE)</f>
        <v>45822</v>
      </c>
      <c r="V105" s="9">
        <f>VLOOKUP(B105,'Detailed Update'!B:S,18,FALSE)</f>
        <v>46111</v>
      </c>
      <c r="W105" s="9">
        <f>VLOOKUP(B105,'Detailed Update'!B:T,19,FALSE)</f>
        <v>46446</v>
      </c>
      <c r="X105" s="11" t="str">
        <f>VLOOKUP(B105,'Detailed Update'!B:U,20,FALSE)</f>
        <v xml:space="preserve">EOT: EOT submitted TCC upto 30-Nov-26. Under SEC approval.
1) delay in final setting approval for SWGR and Capacitor bank and line protection delaying open loop Tests
2) Delayed HV kit for GIS HV test (was scheduled by Jul-26) now rescheduled to 20-Aug-26
3) Delayed installations of the (HV Terminations, CSE, MV Terminations) pending subcontractor. (PO Under finalization with SCD)
4) Delayed open loop tests for the major equipment due to non-availability of SAS engineer. (Will be mobilized after Approval of final settings)
5) OHTL Line readinees (AL-mahani to MAHD), No clarity on the completion by other contractor. </v>
      </c>
    </row>
    <row r="106" spans="1:24" ht="27.6" customHeight="1">
      <c r="A106" s="7">
        <v>74</v>
      </c>
      <c r="B106" s="7" t="s">
        <v>171</v>
      </c>
      <c r="C106" s="20" t="str">
        <f>VLOOKUP(B106,'Detailed Update'!B:C,2,FALSE)</f>
        <v>EXT. OF THE EXIS. THAGEF &amp;ADAM</v>
      </c>
      <c r="D106" s="13" t="str">
        <f>VLOOKUP(B106,'Updated Progress % + TCC'!B:D,3,FALSE)</f>
        <v>Sohaib Afdal</v>
      </c>
      <c r="E106" s="7" t="str">
        <f>VLOOKUP(B106,'Updated Progress % + TCC'!B:J,9,FALSE)</f>
        <v>Western</v>
      </c>
      <c r="F106" s="13" t="str">
        <f t="shared" si="9"/>
        <v>No</v>
      </c>
      <c r="G106" s="13" t="s">
        <v>25</v>
      </c>
      <c r="H106" s="13" t="s">
        <v>25</v>
      </c>
      <c r="I106" s="13" t="s">
        <v>25</v>
      </c>
      <c r="J106" s="13"/>
      <c r="K106" s="14">
        <f>VLOOKUP(B106,'Detailed Update'!B:D,3,FALSE)</f>
        <v>45060</v>
      </c>
      <c r="L106" s="18">
        <f>VLOOKUP(B106,'Detailed Update'!B:I,4,FALSE)</f>
        <v>1</v>
      </c>
      <c r="M106" s="18">
        <f>VLOOKUP(B106,'Detailed Update'!B:I,5,FALSE)</f>
        <v>0.86629999999999996</v>
      </c>
      <c r="N106" s="18">
        <f t="shared" si="10"/>
        <v>-0.13370000000000004</v>
      </c>
      <c r="O106" s="7" t="str">
        <f>VLOOKUP(B106,'Detailed Update'!B:I,6,FALSE)</f>
        <v xml:space="preserve">SEC </v>
      </c>
      <c r="P106" s="7" t="str">
        <f>VLOOKUP(B106,'Detailed Update'!B:I,8,FALSE)</f>
        <v>Taif</v>
      </c>
      <c r="Q106" s="17" t="s">
        <v>33</v>
      </c>
      <c r="R106" s="10">
        <f>VLOOKUP(B106,'Detailed Update'!B:T,11,FALSE)</f>
        <v>45671</v>
      </c>
      <c r="S106" s="10">
        <f>VLOOKUP(B106,'Detailed Update'!B:T,12,FALSE)</f>
        <v>45944</v>
      </c>
      <c r="T106" s="9">
        <f>VLOOKUP(B106,'Detailed Update'!B:T,13,FALSE)</f>
        <v>46356</v>
      </c>
      <c r="U106" s="9">
        <f>VLOOKUP(B106,'Detailed Update'!B:T,17,FALSE)</f>
        <v>45822</v>
      </c>
      <c r="V106" s="9">
        <f>VLOOKUP(B106,'Detailed Update'!B:S,18,FALSE)</f>
        <v>46067</v>
      </c>
      <c r="W106" s="9">
        <f>VLOOKUP(B106,'Detailed Update'!B:T,19,FALSE)</f>
        <v>46476</v>
      </c>
      <c r="X106" s="11" t="str">
        <f>VLOOKUP(B106,'Detailed Update'!B:U,20,FALSE)</f>
        <v>EOT: EOT-2 submitted with TCC date of  27-Jul-26. (Under SEC Approval)
1) AES Control panel (Mosaic and Annciator) detail design still under approval &amp; no clarity on FAT date. (expected by Sep-26).
2) Missing BCU units for ADAM LCC (Hyundai), Provided by AES (Purchased from SIEMENS) Delayed since Feb-26, Latest provided date by AES is by Oct-26
3) Loose materials are required from AES for Protection, LCC Panels. To be compatible with existing systems and proceed commissioning activities
4) Delayed delivery of the PC Workstation (EWS) and the PO is still under Finalization with SCD
4) No Clarity of OHTL Line readiness.</v>
      </c>
    </row>
    <row r="107" spans="1:24" ht="27.6" customHeight="1">
      <c r="A107" s="7">
        <v>75</v>
      </c>
      <c r="B107" s="7" t="s">
        <v>172</v>
      </c>
      <c r="C107" s="20" t="str">
        <f>VLOOKUP(B107,'Detailed Update'!B:C,2,FALSE)</f>
        <v>CONST KAR 380 110KV BSP</v>
      </c>
      <c r="D107" s="13" t="str">
        <f>VLOOKUP(B107,'Updated Progress % + TCC'!B:D,3,FALSE)</f>
        <v xml:space="preserve">Bander Khalid Al Qalah </v>
      </c>
      <c r="E107" s="7" t="str">
        <f>VLOOKUP(B107,'Updated Progress % + TCC'!B:J,9,FALSE)</f>
        <v>Western</v>
      </c>
      <c r="F107" s="13" t="str">
        <f t="shared" si="9"/>
        <v>No</v>
      </c>
      <c r="G107" s="13" t="s">
        <v>25</v>
      </c>
      <c r="H107" s="13" t="s">
        <v>25</v>
      </c>
      <c r="I107" s="13" t="s">
        <v>25</v>
      </c>
      <c r="J107" s="13"/>
      <c r="K107" s="14">
        <f>VLOOKUP(B107,'Detailed Update'!B:D,3,FALSE)</f>
        <v>45078</v>
      </c>
      <c r="L107" s="18">
        <f>VLOOKUP(B107,'Detailed Update'!B:I,4,FALSE)</f>
        <v>1</v>
      </c>
      <c r="M107" s="18">
        <f>VLOOKUP(B107,'Detailed Update'!B:I,5,FALSE)</f>
        <v>0.97940000000000005</v>
      </c>
      <c r="N107" s="18">
        <f t="shared" si="10"/>
        <v>-2.0599999999999952E-2</v>
      </c>
      <c r="O107" s="7" t="str">
        <f>VLOOKUP(B107,'Detailed Update'!B:I,6,FALSE)</f>
        <v>Masar</v>
      </c>
      <c r="P107" s="7" t="str">
        <f>VLOOKUP(B107,'Detailed Update'!B:I,8,FALSE)</f>
        <v>Makkah</v>
      </c>
      <c r="Q107" s="17" t="s">
        <v>26</v>
      </c>
      <c r="R107" s="10">
        <f>VLOOKUP(B107,'Detailed Update'!B:T,11,FALSE)</f>
        <v>45808</v>
      </c>
      <c r="S107" s="10">
        <f>VLOOKUP(B107,'Detailed Update'!B:T,12,FALSE)</f>
        <v>46022</v>
      </c>
      <c r="T107" s="9">
        <f>VLOOKUP(B107,'Detailed Update'!B:T,13,FALSE)</f>
        <v>46022</v>
      </c>
      <c r="U107" s="9">
        <f>VLOOKUP(B107,'Detailed Update'!B:T,17,FALSE)</f>
        <v>45930</v>
      </c>
      <c r="V107" s="9">
        <f>VLOOKUP(B107,'Detailed Update'!B:S,18,FALSE)</f>
        <v>46143</v>
      </c>
      <c r="W107" s="9">
        <f>VLOOKUP(B107,'Detailed Update'!B:T,19,FALSE)</f>
        <v>46364</v>
      </c>
      <c r="X107" s="11" t="str">
        <f>VLOOKUP(B107,'Detailed Update'!B:U,20,FALSE)</f>
        <v xml:space="preserve">1.Close loop test completed
2. HVAC Testing:  Completed
3. FF &amp; FA Testing: All testing is completed and Remaining Final testing with ISD is in progress. 
4. C04 modification work will be started after Energization of C06 Feeder as per SEC instruction. This will required 2 months to complete the task.
5. TCC received
6. New Change Order (confrimed) i.e. Duct Bank for future Area.-Completed
7.End to end test in progress, Expected engization by Aug'26 end. </v>
      </c>
    </row>
    <row r="108" spans="1:24" ht="27.6" customHeight="1">
      <c r="A108" s="7">
        <v>76</v>
      </c>
      <c r="B108" s="7" t="s">
        <v>173</v>
      </c>
      <c r="C108" s="20" t="str">
        <f>VLOOKUP(B108,'Detailed Update'!B:C,2,FALSE)</f>
        <v>110KV SS - KAEC-2</v>
      </c>
      <c r="D108" s="13" t="str">
        <f>VLOOKUP(B108,'Updated Progress % + TCC'!B:D,3,FALSE)</f>
        <v>Hossam Amin</v>
      </c>
      <c r="E108" s="7" t="str">
        <f>VLOOKUP(B108,'Updated Progress % + TCC'!B:J,9,FALSE)</f>
        <v>Western</v>
      </c>
      <c r="F108" s="13" t="str">
        <f t="shared" si="9"/>
        <v>No</v>
      </c>
      <c r="G108" s="13" t="s">
        <v>25</v>
      </c>
      <c r="H108" s="13" t="s">
        <v>25</v>
      </c>
      <c r="I108" s="13" t="s">
        <v>25</v>
      </c>
      <c r="J108" s="13"/>
      <c r="K108" s="14">
        <f>VLOOKUP(B108,'Detailed Update'!B:D,3,FALSE)</f>
        <v>45442</v>
      </c>
      <c r="L108" s="18">
        <f>VLOOKUP(B108,'Detailed Update'!B:I,4,FALSE)</f>
        <v>1</v>
      </c>
      <c r="M108" s="18">
        <f>VLOOKUP(B108,'Detailed Update'!B:I,5,FALSE)</f>
        <v>1</v>
      </c>
      <c r="N108" s="18">
        <f t="shared" si="10"/>
        <v>0</v>
      </c>
      <c r="O108" s="7" t="str">
        <f>VLOOKUP(B108,'Detailed Update'!B:I,6,FALSE)</f>
        <v>SEC</v>
      </c>
      <c r="P108" s="7" t="str">
        <f>VLOOKUP(B108,'Detailed Update'!B:I,8,FALSE)</f>
        <v>Jeddah</v>
      </c>
      <c r="Q108" s="17" t="s">
        <v>33</v>
      </c>
      <c r="R108" s="10">
        <f>VLOOKUP(B108,'Detailed Update'!B:T,11,FALSE)</f>
        <v>45991</v>
      </c>
      <c r="S108" s="10">
        <f>VLOOKUP(B108,'Detailed Update'!B:T,12,FALSE)</f>
        <v>45991</v>
      </c>
      <c r="T108" s="9">
        <f>VLOOKUP(B108,'Detailed Update'!B:T,13,FALSE)</f>
        <v>45991</v>
      </c>
      <c r="U108" s="9">
        <f>VLOOKUP(B108,'Detailed Update'!B:T,17,FALSE)</f>
        <v>46141</v>
      </c>
      <c r="V108" s="9">
        <f>VLOOKUP(B108,'Detailed Update'!B:S,18,FALSE)</f>
        <v>46141</v>
      </c>
      <c r="W108" s="9">
        <f>VLOOKUP(B108,'Detailed Update'!B:T,19,FALSE)</f>
        <v>46141</v>
      </c>
      <c r="X108" s="11" t="str">
        <f>VLOOKUP(B108,'Detailed Update'!B:U,20,FALSE)</f>
        <v>FAC received</v>
      </c>
    </row>
    <row r="109" spans="1:24" ht="27.6" customHeight="1">
      <c r="A109" s="7">
        <v>77</v>
      </c>
      <c r="B109" s="7" t="s">
        <v>174</v>
      </c>
      <c r="C109" s="20" t="str">
        <f>VLOOKUP(B109,'Detailed Update'!B:C,2,FALSE)</f>
        <v>SEC Smart Distribution Control Centre</v>
      </c>
      <c r="D109" s="13" t="str">
        <f>VLOOKUP(B109,'Updated Progress % + TCC'!B:D,3,FALSE)</f>
        <v>Hany Kamal</v>
      </c>
      <c r="E109" s="7" t="str">
        <f>VLOOKUP(B109,'Updated Progress % + TCC'!B:J,9,FALSE)</f>
        <v>Western</v>
      </c>
      <c r="F109" s="13" t="str">
        <f t="shared" si="9"/>
        <v>No</v>
      </c>
      <c r="G109" s="13" t="s">
        <v>25</v>
      </c>
      <c r="H109" s="13"/>
      <c r="I109" s="13"/>
      <c r="J109" s="13"/>
      <c r="K109" s="14">
        <f>VLOOKUP(B109,'Detailed Update'!B:D,3,FALSE)</f>
        <v>45498</v>
      </c>
      <c r="L109" s="18">
        <f>VLOOKUP(B109,'Detailed Update'!B:I,4,FALSE)</f>
        <v>0.98309999999999997</v>
      </c>
      <c r="M109" s="18">
        <f>VLOOKUP(B109,'Detailed Update'!B:I,5,FALSE)</f>
        <v>0.90210000000000001</v>
      </c>
      <c r="N109" s="18">
        <f t="shared" si="10"/>
        <v>-8.0999999999999961E-2</v>
      </c>
      <c r="O109" s="7" t="str">
        <f>VLOOKUP(B109,'Detailed Update'!B:I,6,FALSE)</f>
        <v>SEC</v>
      </c>
      <c r="P109" s="7" t="str">
        <f>VLOOKUP(B109,'Detailed Update'!B:I,8,FALSE)</f>
        <v>Jeddah</v>
      </c>
      <c r="Q109" s="17" t="s">
        <v>53</v>
      </c>
      <c r="R109" s="10">
        <f>VLOOKUP(B109,'Detailed Update'!B:T,11,FALSE)</f>
        <v>46228</v>
      </c>
      <c r="S109" s="10">
        <f>VLOOKUP(B109,'Detailed Update'!B:T,12,FALSE)</f>
        <v>46228</v>
      </c>
      <c r="T109" s="9">
        <f>VLOOKUP(B109,'Detailed Update'!B:T,13,FALSE)</f>
        <v>46387</v>
      </c>
      <c r="U109" s="9">
        <f>VLOOKUP(B109,'Detailed Update'!B:T,17,FALSE)</f>
        <v>46654</v>
      </c>
      <c r="V109" s="9">
        <f>VLOOKUP(B109,'Detailed Update'!B:S,18,FALSE)</f>
        <v>46654</v>
      </c>
      <c r="W109" s="9">
        <f>VLOOKUP(B109,'Detailed Update'!B:T,19,FALSE)</f>
        <v>46801</v>
      </c>
      <c r="X109" s="11" t="str">
        <f>VLOOKUP(B109,'Detailed Update'!B:U,20,FALSE)</f>
        <v xml:space="preserve">1. SLD Submission for Downstream : CET/NARI Shortage on Manpower where current manpower is 28 and plan to be 39  by  31-Jul-26 , Target Completion Madinah : 05-Sep-26 , Jeddah :06-Oct-26 ,Makkah : 06-Oct-26 ,Abha :03-Sep-26 , Jizan : 16-Sep-26.
2. Abha ADMS System Crash: SLD NDesigner application crashed during implementation activities in Abha, resulting in delays to SLD preparation, submission, and validation activities.
3. Cyber Security Audit : Audit plan not yet Approved by SE and the PO (Third Party) has not been issued by NARI (affecting Cutover). The audit requires approximately 10 weeks after PO issuance.
4. NARI End-to-End Testing Team : A dedicated NARI team is required to focus exclusively on End-to-End testing activities. A total of nine engineers are expected to be mobilized by the  31 July 2026.
5. Delay in Telecom Panel Local Test for Remote End (MADINAH LDC).
6. Delay delivery of DWDM (PO issued to AES) – waiting the final confirmation for the recent traffic plan in Madina, Abha &amp; Jizan.
7.  All Submittal under review with FEC / HSSE.
8. Requirements from STC connectivity regarding IP Telephone (SIP) services.
9.1 ICT reviewer’s new comments regarding the passive scope and Beit Al Anzima rejection._x000B_9.2 ICT rejected the material in Rev-02 although no comments were received in Rev-01._x000B_9.3 The material has already been delivered and installed on site.
9.4 The ICT reviewer has been rejecting every submitted versions without providing any specific technical comments or justified reasons, Also rejecting both of the approved  Design Consultant and the Contractor. This repeated rejection practice is causing significant delays to the project and directly impacting the implementation and activation of critical ICT services, including Internet connectivity, IP Telephony, and system integrations. </v>
      </c>
    </row>
    <row r="110" spans="1:24" ht="27.6" customHeight="1">
      <c r="A110" s="7">
        <v>78</v>
      </c>
      <c r="B110" s="7" t="s">
        <v>175</v>
      </c>
      <c r="C110" s="20" t="str">
        <f>VLOOKUP(B110,'Detailed Update'!B:C,2,FALSE)</f>
        <v>Exp. of YCNT BSP for Power to Neom</v>
      </c>
      <c r="D110" s="13" t="str">
        <f>VLOOKUP(B110,'Updated Progress % + TCC'!B:D,3,FALSE)</f>
        <v>Zohaib Iqbal</v>
      </c>
      <c r="E110" s="7" t="str">
        <f>VLOOKUP(B110,'Updated Progress % + TCC'!B:J,9,FALSE)</f>
        <v>Western</v>
      </c>
      <c r="F110" s="13" t="str">
        <f t="shared" si="9"/>
        <v>No</v>
      </c>
      <c r="G110" s="13" t="s">
        <v>25</v>
      </c>
      <c r="H110" s="13" t="s">
        <v>25</v>
      </c>
      <c r="I110" s="13" t="s">
        <v>25</v>
      </c>
      <c r="J110" s="13"/>
      <c r="K110" s="14">
        <f>VLOOKUP(B110,'Detailed Update'!B:D,3,FALSE)</f>
        <v>45139</v>
      </c>
      <c r="L110" s="18">
        <f>VLOOKUP(B110,'Detailed Update'!B:I,4,FALSE)</f>
        <v>0.93379999999999996</v>
      </c>
      <c r="M110" s="18">
        <f>VLOOKUP(B110,'Detailed Update'!B:I,5,FALSE)</f>
        <v>0.95079999999999998</v>
      </c>
      <c r="N110" s="18">
        <f t="shared" si="10"/>
        <v>1.7000000000000015E-2</v>
      </c>
      <c r="O110" s="7" t="str">
        <f>VLOOKUP(B110,'Detailed Update'!B:I,6,FALSE)</f>
        <v>NEOM / SEC</v>
      </c>
      <c r="P110" s="7" t="str">
        <f>VLOOKUP(B110,'Detailed Update'!B:I,8,FALSE)</f>
        <v>Yanbu</v>
      </c>
      <c r="Q110" s="17" t="s">
        <v>53</v>
      </c>
      <c r="R110" s="10">
        <f>VLOOKUP(B110,'Detailed Update'!B:T,11,FALSE)</f>
        <v>46357</v>
      </c>
      <c r="S110" s="10">
        <f>VLOOKUP(B110,'Detailed Update'!B:T,12,FALSE)</f>
        <v>46357</v>
      </c>
      <c r="T110" s="9">
        <f>VLOOKUP(B110,'Detailed Update'!B:T,13,FALSE)</f>
        <v>46357</v>
      </c>
      <c r="U110" s="9">
        <f>VLOOKUP(B110,'Detailed Update'!B:T,17,FALSE)</f>
        <v>46600</v>
      </c>
      <c r="V110" s="9">
        <f>VLOOKUP(B110,'Detailed Update'!B:S,18,FALSE)</f>
        <v>46600</v>
      </c>
      <c r="W110" s="9">
        <f>VLOOKUP(B110,'Detailed Update'!B:T,19,FALSE)</f>
        <v>46600</v>
      </c>
      <c r="X110" s="11" t="str">
        <f>VLOOKUP(B110,'Detailed Update'!B:U,20,FALSE)</f>
        <v>1) 2 Nos GIS breakers damaged due to heavy wind (Fell down, no major damage), need to close the issues with GE Team, Breakers are sent to France Factory to get the repaired materials expected Repaired materials delivery by End of Sep-26.
2) HV Test Equipment delivery pending from GE, due to lack of equipment (Used for other site)</v>
      </c>
    </row>
    <row r="111" spans="1:24" ht="27.6" customHeight="1">
      <c r="A111" s="7">
        <v>79</v>
      </c>
      <c r="B111" s="7" t="s">
        <v>176</v>
      </c>
      <c r="C111" s="20" t="str">
        <f>VLOOKUP(B111,'Detailed Update'!B:C,2,FALSE)</f>
        <v>HAMRA AL ASAD 110/13.8 KV SUB</v>
      </c>
      <c r="D111" s="13" t="str">
        <f>VLOOKUP(B111,'Updated Progress % + TCC'!B:D,3,FALSE)</f>
        <v>Mohamed Omar</v>
      </c>
      <c r="E111" s="7" t="str">
        <f>VLOOKUP(B111,'Updated Progress % + TCC'!B:J,9,FALSE)</f>
        <v>Western</v>
      </c>
      <c r="F111" s="13" t="str">
        <f t="shared" si="9"/>
        <v>No</v>
      </c>
      <c r="G111" s="13" t="s">
        <v>25</v>
      </c>
      <c r="H111" s="13" t="s">
        <v>25</v>
      </c>
      <c r="I111" s="13" t="s">
        <v>25</v>
      </c>
      <c r="J111" s="13"/>
      <c r="K111" s="14">
        <f>VLOOKUP(B111,'Detailed Update'!B:D,3,FALSE)</f>
        <v>45133</v>
      </c>
      <c r="L111" s="18">
        <f>VLOOKUP(B111,'Detailed Update'!B:I,4,FALSE)</f>
        <v>1</v>
      </c>
      <c r="M111" s="18">
        <f>VLOOKUP(B111,'Detailed Update'!B:I,5,FALSE)</f>
        <v>0.99980000000000002</v>
      </c>
      <c r="N111" s="18">
        <f t="shared" si="10"/>
        <v>-1.9999999999997797E-4</v>
      </c>
      <c r="O111" s="7" t="str">
        <f>VLOOKUP(B111,'Detailed Update'!B:I,6,FALSE)</f>
        <v xml:space="preserve">SEC </v>
      </c>
      <c r="P111" s="7" t="str">
        <f>VLOOKUP(B111,'Detailed Update'!B:I,8,FALSE)</f>
        <v>Madinah</v>
      </c>
      <c r="Q111" s="17" t="s">
        <v>26</v>
      </c>
      <c r="R111" s="10">
        <f>VLOOKUP(B111,'Detailed Update'!B:T,11,FALSE)</f>
        <v>45622</v>
      </c>
      <c r="S111" s="10">
        <f>VLOOKUP(B111,'Detailed Update'!B:T,12,FALSE)</f>
        <v>45930</v>
      </c>
      <c r="T111" s="9">
        <f>VLOOKUP(B111,'Detailed Update'!B:T,13,FALSE)</f>
        <v>46163</v>
      </c>
      <c r="U111" s="9">
        <f>VLOOKUP(B111,'Detailed Update'!B:T,17,FALSE)</f>
        <v>45773</v>
      </c>
      <c r="V111" s="9">
        <f>VLOOKUP(B111,'Detailed Update'!B:S,18,FALSE)</f>
        <v>46081</v>
      </c>
      <c r="W111" s="9">
        <f>VLOOKUP(B111,'Detailed Update'!B:T,19,FALSE)</f>
        <v>46295</v>
      </c>
      <c r="X111" s="11" t="str">
        <f>VLOOKUP(B111,'Detailed Update'!B:U,20,FALSE)</f>
        <v>1) TCC received on 21-May-26. PAC received on 30-Jul-26. (Energization done through the AZIZIA remote-end and TCC was obtained. Remaining interface works at the MICY remote end are ongoing and are expected to be completed by end of Aug 2026.)
2) Target is to energize both remaining feeders with remote end by 1st week of Sep. 2026</v>
      </c>
    </row>
    <row r="112" spans="1:24" ht="27.6" customHeight="1">
      <c r="A112" s="7">
        <v>80</v>
      </c>
      <c r="B112" s="7" t="s">
        <v>177</v>
      </c>
      <c r="C112" s="20" t="str">
        <f>VLOOKUP(B112,'Detailed Update'!B:C,2,FALSE)</f>
        <v>Shoran-2 110/13.8 KV - Madinah</v>
      </c>
      <c r="D112" s="13" t="str">
        <f>VLOOKUP(B112,'Updated Progress % + TCC'!B:D,3,FALSE)</f>
        <v>Mohamed Omar</v>
      </c>
      <c r="E112" s="7" t="str">
        <f>VLOOKUP(B112,'Updated Progress % + TCC'!B:J,9,FALSE)</f>
        <v>Western</v>
      </c>
      <c r="F112" s="13" t="str">
        <f t="shared" si="9"/>
        <v>No</v>
      </c>
      <c r="G112" s="13" t="s">
        <v>25</v>
      </c>
      <c r="H112" s="13" t="s">
        <v>25</v>
      </c>
      <c r="I112" s="13" t="s">
        <v>25</v>
      </c>
      <c r="J112" s="13"/>
      <c r="K112" s="14">
        <f>VLOOKUP(B112,'Detailed Update'!B:D,3,FALSE)</f>
        <v>45131</v>
      </c>
      <c r="L112" s="18">
        <f>VLOOKUP(B112,'Detailed Update'!B:I,4,FALSE)</f>
        <v>1</v>
      </c>
      <c r="M112" s="18">
        <f>VLOOKUP(B112,'Detailed Update'!B:I,5,FALSE)</f>
        <v>0.99250000000000005</v>
      </c>
      <c r="N112" s="18">
        <f t="shared" si="10"/>
        <v>-7.4999999999999512E-3</v>
      </c>
      <c r="O112" s="7" t="str">
        <f>VLOOKUP(B112,'Detailed Update'!B:I,6,FALSE)</f>
        <v xml:space="preserve">SEC </v>
      </c>
      <c r="P112" s="7" t="str">
        <f>VLOOKUP(B112,'Detailed Update'!B:I,8,FALSE)</f>
        <v>Madinah</v>
      </c>
      <c r="Q112" s="17" t="s">
        <v>33</v>
      </c>
      <c r="R112" s="10">
        <f>VLOOKUP(B112,'Detailed Update'!B:T,11,FALSE)</f>
        <v>45620</v>
      </c>
      <c r="S112" s="10">
        <f>VLOOKUP(B112,'Detailed Update'!B:T,12,FALSE)</f>
        <v>45620</v>
      </c>
      <c r="T112" s="9">
        <f>VLOOKUP(B112,'Detailed Update'!B:T,13,FALSE)</f>
        <v>46265</v>
      </c>
      <c r="U112" s="9">
        <f>VLOOKUP(B112,'Detailed Update'!B:T,17,FALSE)</f>
        <v>45771</v>
      </c>
      <c r="V112" s="9">
        <f>VLOOKUP(B112,'Detailed Update'!B:S,18,FALSE)</f>
        <v>45771</v>
      </c>
      <c r="W112" s="9">
        <f>VLOOKUP(B112,'Detailed Update'!B:T,19,FALSE)</f>
        <v>46417</v>
      </c>
      <c r="X112" s="11" t="str">
        <f>VLOOKUP(B112,'Detailed Update'!B:U,20,FALSE)</f>
        <v xml:space="preserve">1) TCC is requested , still not issued. Readiness of UGC circuits have delayed energization of the substation and TCC issuance. 
2) Expected energization by end of Aug. 2026 if the UGC Feeders passed ongoing Tests by Cable contractor. </v>
      </c>
    </row>
    <row r="113" spans="1:24" ht="27.6" customHeight="1">
      <c r="A113" s="7">
        <v>81</v>
      </c>
      <c r="B113" s="7" t="s">
        <v>178</v>
      </c>
      <c r="C113" s="20" t="str">
        <f>VLOOKUP(B113,'Detailed Update'!B:C,2,FALSE)</f>
        <v>Airport C (KAIA) Interconnection REINF.</v>
      </c>
      <c r="D113" s="13" t="str">
        <f>VLOOKUP(B113,'Updated Progress % + TCC'!B:D,3,FALSE)</f>
        <v>Mudasir Sheikh</v>
      </c>
      <c r="E113" s="7" t="str">
        <f>VLOOKUP(B113,'Updated Progress % + TCC'!B:J,9,FALSE)</f>
        <v>Western</v>
      </c>
      <c r="F113" s="13" t="str">
        <f t="shared" si="9"/>
        <v>No</v>
      </c>
      <c r="G113" s="13"/>
      <c r="H113" s="13"/>
      <c r="I113" s="13"/>
      <c r="J113" s="13"/>
      <c r="K113" s="14">
        <f>VLOOKUP(B113,'Detailed Update'!B:D,3,FALSE)</f>
        <v>45231</v>
      </c>
      <c r="L113" s="18">
        <f>VLOOKUP(B113,'Detailed Update'!B:I,4,FALSE)</f>
        <v>1</v>
      </c>
      <c r="M113" s="18">
        <f>VLOOKUP(B113,'Detailed Update'!B:I,5,FALSE)</f>
        <v>0.83989999999999998</v>
      </c>
      <c r="N113" s="18">
        <f t="shared" si="10"/>
        <v>-0.16010000000000002</v>
      </c>
      <c r="O113" s="7" t="str">
        <f>VLOOKUP(B113,'Detailed Update'!B:I,6,FALSE)</f>
        <v xml:space="preserve">SEC </v>
      </c>
      <c r="P113" s="7" t="str">
        <f>VLOOKUP(B113,'Detailed Update'!B:I,8,FALSE)</f>
        <v>Jeddah</v>
      </c>
      <c r="Q113" s="17" t="s">
        <v>53</v>
      </c>
      <c r="R113" s="10">
        <f>VLOOKUP(B113,'Detailed Update'!B:T,11,FALSE)</f>
        <v>46054</v>
      </c>
      <c r="S113" s="10">
        <f>VLOOKUP(B113,'Detailed Update'!B:T,12,FALSE)</f>
        <v>46054</v>
      </c>
      <c r="T113" s="9">
        <f>VLOOKUP(B113,'Detailed Update'!B:T,13,FALSE)</f>
        <v>46054</v>
      </c>
      <c r="U113" s="9">
        <f>VLOOKUP(B113,'Detailed Update'!B:T,17,FALSE)</f>
        <v>46174</v>
      </c>
      <c r="V113" s="9">
        <f>VLOOKUP(B113,'Detailed Update'!B:S,18,FALSE)</f>
        <v>46174</v>
      </c>
      <c r="W113" s="9">
        <f>VLOOKUP(B113,'Detailed Update'!B:T,19,FALSE)</f>
        <v>46392</v>
      </c>
      <c r="X113" s="11" t="str">
        <f>VLOOKUP(B113,'Detailed Update'!B:U,20,FALSE)</f>
        <v>1) TCC Received on 09-Aug-26 as per Contractual TCC Date i.e. 01-Feb-26.
2) Remaining work cannot be proceeded due to HV Cable issue from SE. Project currently onhold from SE so manpower to be demobilized accordingly. 
3) CSD refused to start T&amp;C Activities because of the unavailability of existing HV cable from SE. 
4) Change order (Approx.. 47 million) submitted to SE for additional HV cable work. Waiting for their approval.</v>
      </c>
    </row>
    <row r="114" spans="1:24" ht="27.6" customHeight="1">
      <c r="A114" s="7">
        <v>82</v>
      </c>
      <c r="B114" s="7" t="s">
        <v>179</v>
      </c>
      <c r="C114" s="20" t="str">
        <f>VLOOKUP(B114,'Detailed Update'!B:C,2,FALSE)</f>
        <v>Interconnection of AJM-1 (New Jamoom)</v>
      </c>
      <c r="D114" s="13" t="str">
        <f>VLOOKUP(B114,'Updated Progress % + TCC'!B:D,3,FALSE)</f>
        <v>Abdelazeem Morsy</v>
      </c>
      <c r="E114" s="7" t="str">
        <f>VLOOKUP(B114,'Updated Progress % + TCC'!B:J,9,FALSE)</f>
        <v>Western</v>
      </c>
      <c r="F114" s="13" t="str">
        <f t="shared" si="9"/>
        <v>No</v>
      </c>
      <c r="G114" s="13" t="s">
        <v>25</v>
      </c>
      <c r="H114" s="13" t="s">
        <v>25</v>
      </c>
      <c r="I114" s="13" t="s">
        <v>25</v>
      </c>
      <c r="J114" s="13"/>
      <c r="K114" s="14">
        <f>VLOOKUP(B114,'Detailed Update'!B:D,3,FALSE)</f>
        <v>45299</v>
      </c>
      <c r="L114" s="18">
        <f>VLOOKUP(B114,'Detailed Update'!B:I,4,FALSE)</f>
        <v>1</v>
      </c>
      <c r="M114" s="18">
        <f>VLOOKUP(B114,'Detailed Update'!B:I,5,FALSE)</f>
        <v>0.9052</v>
      </c>
      <c r="N114" s="18">
        <f t="shared" si="10"/>
        <v>-9.4799999999999995E-2</v>
      </c>
      <c r="O114" s="7" t="str">
        <f>VLOOKUP(B114,'Detailed Update'!B:I,6,FALSE)</f>
        <v xml:space="preserve">SEC </v>
      </c>
      <c r="P114" s="7" t="str">
        <f>VLOOKUP(B114,'Detailed Update'!B:I,8,FALSE)</f>
        <v>Makkah</v>
      </c>
      <c r="Q114" s="17" t="s">
        <v>53</v>
      </c>
      <c r="R114" s="10">
        <f>VLOOKUP(B114,'Detailed Update'!B:T,11,FALSE)</f>
        <v>46120</v>
      </c>
      <c r="S114" s="10">
        <f>VLOOKUP(B114,'Detailed Update'!B:T,12,FALSE)</f>
        <v>46120</v>
      </c>
      <c r="T114" s="9">
        <f>VLOOKUP(B114,'Detailed Update'!B:T,13,FALSE)</f>
        <v>46120</v>
      </c>
      <c r="U114" s="9">
        <f>VLOOKUP(B114,'Detailed Update'!B:T,17,FALSE)</f>
        <v>46242</v>
      </c>
      <c r="V114" s="9">
        <f>VLOOKUP(B114,'Detailed Update'!B:S,18,FALSE)</f>
        <v>46242</v>
      </c>
      <c r="W114" s="9">
        <f>VLOOKUP(B114,'Detailed Update'!B:T,19,FALSE)</f>
        <v>46329</v>
      </c>
      <c r="X114" s="11" t="str">
        <f>VLOOKUP(B114,'Detailed Update'!B:U,20,FALSE)</f>
        <v xml:space="preserve">1) T.C.C received. 
2)Shutdown required for Connecting existing GIS to new GIS bay, expected in Aug-26.
</v>
      </c>
    </row>
    <row r="115" spans="1:24" ht="27" customHeight="1">
      <c r="A115" s="7">
        <v>83</v>
      </c>
      <c r="B115" s="7" t="s">
        <v>180</v>
      </c>
      <c r="C115" s="20" t="str">
        <f>VLOOKUP(B115,'Detailed Update'!B:C,2,FALSE)</f>
        <v>Expansion of Mowaih PV 380kV BSP</v>
      </c>
      <c r="D115" s="13" t="str">
        <f>VLOOKUP(B115,'Updated Progress % + TCC'!B:D,3,FALSE)</f>
        <v>Ahmed Aboelseoud</v>
      </c>
      <c r="E115" s="7" t="str">
        <f>VLOOKUP(B115,'Updated Progress % + TCC'!B:J,9,FALSE)</f>
        <v>Western</v>
      </c>
      <c r="F115" s="13" t="str">
        <f t="shared" si="9"/>
        <v>No</v>
      </c>
      <c r="G115" s="13" t="s">
        <v>25</v>
      </c>
      <c r="H115" s="13" t="s">
        <v>25</v>
      </c>
      <c r="I115" s="13" t="s">
        <v>25</v>
      </c>
      <c r="J115" s="13"/>
      <c r="K115" s="14">
        <f>VLOOKUP(B115,'Detailed Update'!B:D,3,FALSE)</f>
        <v>45551</v>
      </c>
      <c r="L115" s="18">
        <f>VLOOKUP(B115,'Detailed Update'!B:I,4,FALSE)</f>
        <v>1</v>
      </c>
      <c r="M115" s="18">
        <f>VLOOKUP(B115,'Detailed Update'!B:I,5,FALSE)</f>
        <v>0.98499999999999999</v>
      </c>
      <c r="N115" s="18">
        <f t="shared" si="10"/>
        <v>-1.5000000000000013E-2</v>
      </c>
      <c r="O115" s="7" t="str">
        <f>VLOOKUP(B115,'Detailed Update'!B:I,6,FALSE)</f>
        <v xml:space="preserve">SEC </v>
      </c>
      <c r="P115" s="7" t="str">
        <f>VLOOKUP(B115,'Detailed Update'!B:I,8,FALSE)</f>
        <v>Mowaih</v>
      </c>
      <c r="Q115" s="17" t="s">
        <v>33</v>
      </c>
      <c r="R115" s="10">
        <f>VLOOKUP(B115,'Detailed Update'!B:T,11,FALSE)</f>
        <v>45946</v>
      </c>
      <c r="S115" s="10">
        <f>VLOOKUP(B115,'Detailed Update'!B:T,12,FALSE)</f>
        <v>45946</v>
      </c>
      <c r="T115" s="9">
        <f>VLOOKUP(B115,'Detailed Update'!B:T,13,FALSE)</f>
        <v>46264</v>
      </c>
      <c r="U115" s="9">
        <f>VLOOKUP(B115,'Detailed Update'!B:T,17,FALSE)</f>
        <v>46097</v>
      </c>
      <c r="V115" s="9">
        <f>VLOOKUP(B115,'Detailed Update'!B:S,18,FALSE)</f>
        <v>46097</v>
      </c>
      <c r="W115" s="9">
        <f>VLOOKUP(B115,'Detailed Update'!B:T,19,FALSE)</f>
        <v>46385</v>
      </c>
      <c r="X115" s="11" t="str">
        <f>VLOOKUP(B115,'Detailed Update'!B:U,20,FALSE)</f>
        <v>1) EOT-1 submitted on 16th Oct 25, with TCC Date on 27-5-26. Rejected by SEC on 21-Oct-25, Resubmitted, under approval with SE. 
2) TCC delayed by SE, Due to SE-MOD time extension approval
2) 48 V DC system: FAT done delivery delayed expected delivery in Sep-26
3) Remote End Substations are not ready</v>
      </c>
    </row>
    <row r="116" spans="1:24" ht="27.6" customHeight="1">
      <c r="A116" s="7">
        <v>84</v>
      </c>
      <c r="B116" s="7" t="s">
        <v>181</v>
      </c>
      <c r="C116" s="20" t="str">
        <f>VLOOKUP(B116,'Detailed Update'!B:C,2,FALSE)</f>
        <v>110kV SS Kar-2</v>
      </c>
      <c r="D116" s="13" t="str">
        <f>VLOOKUP(B116,'Updated Progress % + TCC'!B:D,3,FALSE)</f>
        <v xml:space="preserve">Bander Khalid Al Qalah </v>
      </c>
      <c r="E116" s="7" t="str">
        <f>VLOOKUP(B116,'Updated Progress % + TCC'!B:J,9,FALSE)</f>
        <v>Western</v>
      </c>
      <c r="F116" s="13" t="str">
        <f t="shared" si="9"/>
        <v>No</v>
      </c>
      <c r="G116" s="13" t="s">
        <v>36</v>
      </c>
      <c r="H116" s="13" t="s">
        <v>36</v>
      </c>
      <c r="I116" s="13"/>
      <c r="J116" s="13"/>
      <c r="K116" s="14">
        <f>VLOOKUP(B116,'Detailed Update'!B:D,3,FALSE)</f>
        <v>45532</v>
      </c>
      <c r="L116" s="18">
        <f>VLOOKUP(B116,'Detailed Update'!B:I,4,FALSE)</f>
        <v>0.93</v>
      </c>
      <c r="M116" s="18">
        <f>VLOOKUP(B116,'Detailed Update'!B:I,5,FALSE)</f>
        <v>0.9</v>
      </c>
      <c r="N116" s="18">
        <f t="shared" si="10"/>
        <v>-3.0000000000000027E-2</v>
      </c>
      <c r="O116" s="7" t="str">
        <f>VLOOKUP(B116,'Detailed Update'!B:I,6,FALSE)</f>
        <v>Masar</v>
      </c>
      <c r="P116" s="7" t="str">
        <f>VLOOKUP(B116,'Detailed Update'!B:I,8,FALSE)</f>
        <v>Makkah</v>
      </c>
      <c r="Q116" s="17" t="s">
        <v>33</v>
      </c>
      <c r="R116" s="10">
        <f>VLOOKUP(B116,'Detailed Update'!B:T,11,FALSE)</f>
        <v>46139</v>
      </c>
      <c r="S116" s="10">
        <f>VLOOKUP(B116,'Detailed Update'!B:T,12,FALSE)</f>
        <v>46323</v>
      </c>
      <c r="T116" s="9">
        <f>VLOOKUP(B116,'Detailed Update'!B:T,13,FALSE)</f>
        <v>46323</v>
      </c>
      <c r="U116" s="9">
        <f>VLOOKUP(B116,'Detailed Update'!B:T,17,FALSE)</f>
        <v>46261</v>
      </c>
      <c r="V116" s="9">
        <f>VLOOKUP(B116,'Detailed Update'!B:S,18,FALSE)</f>
        <v>46383</v>
      </c>
      <c r="W116" s="9">
        <f>VLOOKUP(B116,'Detailed Update'!B:T,19,FALSE)</f>
        <v>46383</v>
      </c>
      <c r="X116" s="11" t="str">
        <f>VLOOKUP(B116,'Detailed Update'!B:U,20,FALSE)</f>
        <v>1) Delay in Mechanical materials i.e.  HVAC system (PACU), Expected material delivery by Mid Aug-26 due to current Geo-political instability.</v>
      </c>
    </row>
    <row r="117" spans="1:24" ht="27.6" customHeight="1">
      <c r="A117" s="7">
        <v>85</v>
      </c>
      <c r="B117" s="7" t="s">
        <v>182</v>
      </c>
      <c r="C117" s="20" t="str">
        <f>VLOOKUP(B117,'Detailed Update'!B:C,2,FALSE)</f>
        <v>132/13.8KV Sub Industrial City Tabuk</v>
      </c>
      <c r="D117" s="13" t="str">
        <f>VLOOKUP(B117,'Updated Progress % + TCC'!B:D,3,FALSE)</f>
        <v>Shafqat Zia</v>
      </c>
      <c r="E117" s="7" t="str">
        <f>VLOOKUP(B117,'Updated Progress % + TCC'!B:J,9,FALSE)</f>
        <v>Western</v>
      </c>
      <c r="F117" s="13" t="str">
        <f t="shared" si="9"/>
        <v>No</v>
      </c>
      <c r="G117" s="13" t="s">
        <v>25</v>
      </c>
      <c r="H117" s="13" t="s">
        <v>25</v>
      </c>
      <c r="I117" s="13" t="s">
        <v>25</v>
      </c>
      <c r="J117" s="13"/>
      <c r="K117" s="14">
        <f>VLOOKUP(B117,'Detailed Update'!B:D,3,FALSE)</f>
        <v>45321</v>
      </c>
      <c r="L117" s="18">
        <f>VLOOKUP(B117,'Detailed Update'!B:I,4,FALSE)</f>
        <v>0.98060000000000003</v>
      </c>
      <c r="M117" s="18">
        <f>VLOOKUP(B117,'Detailed Update'!B:I,5,FALSE)</f>
        <v>0.98309999999999997</v>
      </c>
      <c r="N117" s="18">
        <f t="shared" si="10"/>
        <v>2.4999999999999467E-3</v>
      </c>
      <c r="O117" s="7" t="str">
        <f>VLOOKUP(B117,'Detailed Update'!B:I,6,FALSE)</f>
        <v>MODON</v>
      </c>
      <c r="P117" s="7" t="str">
        <f>VLOOKUP(B117,'Detailed Update'!B:I,8,FALSE)</f>
        <v>Tabuk</v>
      </c>
      <c r="Q117" s="17" t="s">
        <v>53</v>
      </c>
      <c r="R117" s="10" t="str">
        <f>VLOOKUP(B117,'Detailed Update'!B:T,11,FALSE)</f>
        <v>NA</v>
      </c>
      <c r="S117" s="10" t="str">
        <f>VLOOKUP(B117,'Detailed Update'!B:T,12,FALSE)</f>
        <v>NA</v>
      </c>
      <c r="T117" s="9" t="str">
        <f>VLOOKUP(B117,'Detailed Update'!B:T,13,FALSE)</f>
        <v>NA</v>
      </c>
      <c r="U117" s="9">
        <f>VLOOKUP(B117,'Detailed Update'!B:T,17,FALSE)</f>
        <v>46613</v>
      </c>
      <c r="V117" s="9">
        <f>VLOOKUP(B117,'Detailed Update'!B:S,18,FALSE)</f>
        <v>46613</v>
      </c>
      <c r="W117" s="9">
        <f>VLOOKUP(B117,'Detailed Update'!B:T,19,FALSE)</f>
        <v>46603</v>
      </c>
      <c r="X117" s="11" t="str">
        <f>VLOOKUP(B117,'Detailed Update'!B:U,20,FALSE)</f>
        <v>Critical Issues: OLT &amp; CLT Completed and final testing like trip test, end to end test ongoing. However, PAC form signed after mutual site visit from SE, MODON &amp; Alfanar. All pending works to be completed to target energization.</v>
      </c>
    </row>
    <row r="118" spans="1:24" ht="27.6" customHeight="1">
      <c r="A118" s="7">
        <v>86</v>
      </c>
      <c r="B118" s="7" t="s">
        <v>183</v>
      </c>
      <c r="C118" s="20" t="str">
        <f>VLOOKUP(B118,'Detailed Update'!B:C,2,FALSE)</f>
        <v xml:space="preserve">110KV Salam Royal </v>
      </c>
      <c r="D118" s="13" t="str">
        <f>VLOOKUP(B118,'Updated Progress % + TCC'!B:D,3,FALSE)</f>
        <v>Ahmed Faizal</v>
      </c>
      <c r="E118" s="7" t="str">
        <f>VLOOKUP(B118,'Updated Progress % + TCC'!B:J,9,FALSE)</f>
        <v>Western</v>
      </c>
      <c r="F118" s="13" t="str">
        <f t="shared" si="9"/>
        <v>Yes</v>
      </c>
      <c r="G118" s="13"/>
      <c r="H118" s="13"/>
      <c r="I118" s="13"/>
      <c r="J118" s="13"/>
      <c r="K118" s="14">
        <f>VLOOKUP(B118,'Detailed Update'!B:D,3,FALSE)</f>
        <v>46153</v>
      </c>
      <c r="L118" s="18">
        <f>VLOOKUP(B118,'Detailed Update'!B:I,4,FALSE)</f>
        <v>0.1002</v>
      </c>
      <c r="M118" s="18">
        <f>VLOOKUP(B118,'Detailed Update'!B:I,5,FALSE)</f>
        <v>0.1933</v>
      </c>
      <c r="N118" s="18">
        <f t="shared" si="10"/>
        <v>9.3100000000000002E-2</v>
      </c>
      <c r="O118" s="7" t="str">
        <f>VLOOKUP(B118,'Detailed Update'!B:I,6,FALSE)</f>
        <v xml:space="preserve">SEC </v>
      </c>
      <c r="P118" s="7" t="str">
        <f>VLOOKUP(B118,'Detailed Update'!B:I,8,FALSE)</f>
        <v>Jeddah</v>
      </c>
      <c r="Q118" s="17" t="s">
        <v>53</v>
      </c>
      <c r="R118" s="10">
        <f>VLOOKUP(B118,'Detailed Update'!B:T,11,FALSE)</f>
        <v>46701</v>
      </c>
      <c r="S118" s="10">
        <f>VLOOKUP(B118,'Detailed Update'!B:T,12,FALSE)</f>
        <v>46701</v>
      </c>
      <c r="T118" s="9">
        <f>VLOOKUP(B118,'Detailed Update'!B:T,13,FALSE)</f>
        <v>46701</v>
      </c>
      <c r="U118" s="9">
        <f>VLOOKUP(B118,'Detailed Update'!B:T,17,FALSE)</f>
        <v>46854</v>
      </c>
      <c r="V118" s="9">
        <f>VLOOKUP(B118,'Detailed Update'!B:S,18,FALSE)</f>
        <v>46854</v>
      </c>
      <c r="W118" s="9">
        <f>VLOOKUP(B118,'Detailed Update'!B:T,19,FALSE)</f>
        <v>46854</v>
      </c>
      <c r="X118" s="11" t="str">
        <f>VLOOKUP(B118,'Detailed Update'!B:U,20,FALSE)</f>
        <v>1) Baldia Permit required to avoid any delay in civil activities. Discussion under process.
2) AES to expedite submission of remaining Telecom drawings &amp; also to close SE comments for submitted drawings to avoid any delay in material delivery.
3) AES to expedite to close SE comments for Protection Relay List to avoid any delay in material delivery. Protection Detail Design to be submitted.
4) AES to expedite submission of Switchgear Detail Design.</v>
      </c>
    </row>
    <row r="119" spans="1:24" ht="27.6" customHeight="1">
      <c r="A119" s="7">
        <v>87</v>
      </c>
      <c r="B119" s="7" t="s">
        <v>184</v>
      </c>
      <c r="C119" s="20" t="str">
        <f>VLOOKUP(B119,'Detailed Update'!B:C,2,FALSE)</f>
        <v>Const of Southern 380KV BSP | Al Ula</v>
      </c>
      <c r="D119" s="13" t="str">
        <f>VLOOKUP(B119,'Updated Progress % + TCC'!B:D,3,FALSE)</f>
        <v>Pervaiz Akbar</v>
      </c>
      <c r="E119" s="7" t="str">
        <f>VLOOKUP(B119,'Updated Progress % + TCC'!B:J,9,FALSE)</f>
        <v>Western</v>
      </c>
      <c r="F119" s="13" t="str">
        <f t="shared" si="9"/>
        <v>No</v>
      </c>
      <c r="G119" s="13" t="s">
        <v>25</v>
      </c>
      <c r="H119" s="13" t="s">
        <v>25</v>
      </c>
      <c r="I119" s="13" t="s">
        <v>25</v>
      </c>
      <c r="J119" s="13"/>
      <c r="K119" s="14">
        <f>VLOOKUP(B119,'Detailed Update'!B:D,3,FALSE)</f>
        <v>45299</v>
      </c>
      <c r="L119" s="18">
        <f>VLOOKUP(B119,'Detailed Update'!B:I,4,FALSE)</f>
        <v>0.98640000000000005</v>
      </c>
      <c r="M119" s="18">
        <f>VLOOKUP(B119,'Detailed Update'!B:I,5,FALSE)</f>
        <v>0.96150000000000002</v>
      </c>
      <c r="N119" s="18">
        <f t="shared" si="10"/>
        <v>-2.4900000000000033E-2</v>
      </c>
      <c r="O119" s="7" t="str">
        <f>VLOOKUP(B119,'Detailed Update'!B:I,6,FALSE)</f>
        <v xml:space="preserve">SEC </v>
      </c>
      <c r="P119" s="7" t="str">
        <f>VLOOKUP(B119,'Detailed Update'!B:I,8,FALSE)</f>
        <v>Al Ula</v>
      </c>
      <c r="Q119" s="17" t="s">
        <v>33</v>
      </c>
      <c r="R119" s="10">
        <f>VLOOKUP(B119,'Detailed Update'!B:T,11,FALSE)</f>
        <v>46030</v>
      </c>
      <c r="S119" s="10">
        <f>VLOOKUP(B119,'Detailed Update'!B:T,12,FALSE)</f>
        <v>46203</v>
      </c>
      <c r="T119" s="9">
        <f>VLOOKUP(B119,'Detailed Update'!B:T,13,FALSE)</f>
        <v>46203</v>
      </c>
      <c r="U119" s="9">
        <f>VLOOKUP(B119,'Detailed Update'!B:T,17,FALSE)</f>
        <v>46181</v>
      </c>
      <c r="V119" s="9">
        <f>VLOOKUP(B119,'Detailed Update'!B:S,18,FALSE)</f>
        <v>46356</v>
      </c>
      <c r="W119" s="9">
        <f>VLOOKUP(B119,'Detailed Update'!B:T,19,FALSE)</f>
        <v>46356</v>
      </c>
      <c r="X119" s="11" t="str">
        <f>VLOOKUP(B119,'Detailed Update'!B:U,20,FALSE)</f>
        <v>1) TCC received. 
2) External road: Road marking
3) Testing 85% completed.
4)Finishing work and punch points in progress.</v>
      </c>
    </row>
    <row r="120" spans="1:24" ht="27.6" customHeight="1">
      <c r="A120" s="7">
        <v>88</v>
      </c>
      <c r="B120" s="7" t="s">
        <v>185</v>
      </c>
      <c r="C120" s="20" t="str">
        <f>VLOOKUP(B120,'Detailed Update'!B:C,2,FALSE)</f>
        <v xml:space="preserve">Expansion of Tabuk BSP &amp; Duba BSP </v>
      </c>
      <c r="D120" s="13" t="str">
        <f>VLOOKUP(B120,'Updated Progress % + TCC'!B:D,3,FALSE)</f>
        <v>Shafqat Zia</v>
      </c>
      <c r="E120" s="7" t="str">
        <f>VLOOKUP(B120,'Updated Progress % + TCC'!B:J,9,FALSE)</f>
        <v>Western</v>
      </c>
      <c r="F120" s="13" t="str">
        <f t="shared" si="9"/>
        <v>No</v>
      </c>
      <c r="G120" s="13" t="s">
        <v>25</v>
      </c>
      <c r="H120" s="13" t="s">
        <v>25</v>
      </c>
      <c r="I120" s="13" t="s">
        <v>25</v>
      </c>
      <c r="J120" s="13"/>
      <c r="K120" s="14">
        <f>VLOOKUP(B120,'Detailed Update'!B:D,3,FALSE)</f>
        <v>45305</v>
      </c>
      <c r="L120" s="18">
        <f>VLOOKUP(B120,'Detailed Update'!B:I,4,FALSE)</f>
        <v>0.92230000000000001</v>
      </c>
      <c r="M120" s="18">
        <f>VLOOKUP(B120,'Detailed Update'!B:I,5,FALSE)</f>
        <v>0.91979999999999995</v>
      </c>
      <c r="N120" s="18">
        <f t="shared" si="10"/>
        <v>-2.5000000000000577E-3</v>
      </c>
      <c r="O120" s="7" t="str">
        <f>VLOOKUP(B120,'Detailed Update'!B:I,6,FALSE)</f>
        <v xml:space="preserve">SEC </v>
      </c>
      <c r="P120" s="7" t="str">
        <f>VLOOKUP(B120,'Detailed Update'!B:I,8,FALSE)</f>
        <v>Tabuk &amp; Duba</v>
      </c>
      <c r="Q120" s="17" t="s">
        <v>33</v>
      </c>
      <c r="R120" s="10">
        <f>VLOOKUP(B120,'Detailed Update'!B:T,11,FALSE)</f>
        <v>46036</v>
      </c>
      <c r="S120" s="10">
        <f>VLOOKUP(B120,'Detailed Update'!B:T,12,FALSE)</f>
        <v>46356</v>
      </c>
      <c r="T120" s="9">
        <f>VLOOKUP(B120,'Detailed Update'!B:T,13,FALSE)</f>
        <v>46356</v>
      </c>
      <c r="U120" s="9">
        <f>VLOOKUP(B120,'Detailed Update'!B:T,17,FALSE)</f>
        <v>46187</v>
      </c>
      <c r="V120" s="9">
        <f>VLOOKUP(B120,'Detailed Update'!B:S,18,FALSE)</f>
        <v>46507</v>
      </c>
      <c r="W120" s="9">
        <f>VLOOKUP(B120,'Detailed Update'!B:T,19,FALSE)</f>
        <v>46507</v>
      </c>
      <c r="X120" s="11" t="str">
        <f>VLOOKUP(B120,'Detailed Update'!B:U,20,FALSE)</f>
        <v>EOT: EOT approved with revised TCC date of 30-Nov-26.
1) Duba BSP: C5 Dia. SEC granted outage on 30-Apr-26. Dismantling of Reactor, dismantling civil foundation removal completed &amp; construction of new foundation under progress &amp; to be completed before 28-Sep-26. Energization as per revised TCC 30-Nov-26.
2) Tabuk BSP C02 Dia: Outage for bus-bar coupling submitted to SE, however SE informed outage will not be received during current season due to peak load. Expected outage will be around Sep’26. Hence, TCC Request submitted to SE for C02 Dia &amp; under review</v>
      </c>
    </row>
    <row r="121" spans="1:24" ht="27.6" customHeight="1">
      <c r="A121" s="7">
        <v>89</v>
      </c>
      <c r="B121" s="7" t="s">
        <v>186</v>
      </c>
      <c r="C121" s="20" t="str">
        <f>VLOOKUP(B121,'Detailed Update'!B:C,2,FALSE)</f>
        <v>110KV Salam Royal Palace</v>
      </c>
      <c r="D121" s="13" t="str">
        <f>VLOOKUP(B121,'Updated Progress % + TCC'!B:D,3,FALSE)</f>
        <v>Ahmad Faisal</v>
      </c>
      <c r="E121" s="7" t="str">
        <f>VLOOKUP(B121,'Updated Progress % + TCC'!B:J,9,FALSE)</f>
        <v>Western</v>
      </c>
      <c r="F121" s="13" t="str">
        <f t="shared" si="9"/>
        <v>No</v>
      </c>
      <c r="G121" s="13" t="s">
        <v>25</v>
      </c>
      <c r="H121" s="13" t="s">
        <v>25</v>
      </c>
      <c r="I121" s="13" t="s">
        <v>25</v>
      </c>
      <c r="J121" s="13"/>
      <c r="K121" s="14">
        <f>VLOOKUP(B121,'Detailed Update'!B:D,3,FALSE)</f>
        <v>45386</v>
      </c>
      <c r="L121" s="18">
        <f>VLOOKUP(B121,'Detailed Update'!B:I,4,FALSE)</f>
        <v>1</v>
      </c>
      <c r="M121" s="18">
        <f>VLOOKUP(B121,'Detailed Update'!B:I,5,FALSE)</f>
        <v>0.95899999999999996</v>
      </c>
      <c r="N121" s="18">
        <f t="shared" si="10"/>
        <v>-4.1000000000000036E-2</v>
      </c>
      <c r="O121" s="7" t="str">
        <f>VLOOKUP(B121,'Detailed Update'!B:I,6,FALSE)</f>
        <v xml:space="preserve">SEC </v>
      </c>
      <c r="P121" s="7" t="str">
        <f>VLOOKUP(B121,'Detailed Update'!B:I,8,FALSE)</f>
        <v>Jeddah</v>
      </c>
      <c r="Q121" s="17" t="s">
        <v>33</v>
      </c>
      <c r="R121" s="10">
        <f>VLOOKUP(B121,'Detailed Update'!B:T,11,FALSE)</f>
        <v>45934</v>
      </c>
      <c r="S121" s="10">
        <f>VLOOKUP(B121,'Detailed Update'!B:T,12,FALSE)</f>
        <v>45934</v>
      </c>
      <c r="T121" s="9">
        <f>VLOOKUP(B121,'Detailed Update'!B:T,13,FALSE)</f>
        <v>46037</v>
      </c>
      <c r="U121" s="9">
        <f>VLOOKUP(B121,'Detailed Update'!B:T,17,FALSE)</f>
        <v>46085</v>
      </c>
      <c r="V121" s="9">
        <f>VLOOKUP(B121,'Detailed Update'!B:S,18,FALSE)</f>
        <v>46085</v>
      </c>
      <c r="W121" s="9">
        <f>VLOOKUP(B121,'Detailed Update'!B:T,19,FALSE)</f>
        <v>46264</v>
      </c>
      <c r="X121" s="11" t="str">
        <f>VLOOKUP(B121,'Detailed Update'!B:U,20,FALSE)</f>
        <v>1) EOT-1 Submitted on 13th Aug 25, with TCC date on 23rd Jul 26. Under SEC approval
2) Energization actual date 15th Jan 26</v>
      </c>
    </row>
    <row r="122" spans="1:24" ht="27.6" customHeight="1">
      <c r="A122" s="7">
        <v>90</v>
      </c>
      <c r="B122" s="7" t="s">
        <v>187</v>
      </c>
      <c r="C122" s="20" t="str">
        <f>VLOOKUP(B122,'Detailed Update'!B:C,2,FALSE)</f>
        <v>HVDC-4 | COA-WOA | JED-HHR1</v>
      </c>
      <c r="D122" s="13" t="str">
        <f>VLOOKUP(B122,'Updated Progress % + TCC'!B:D,3,FALSE)</f>
        <v>Khaled Abdelaty Hassan Emara Shehata</v>
      </c>
      <c r="E122" s="7" t="str">
        <f>VLOOKUP(B122,'Updated Progress % + TCC'!B:J,9,FALSE)</f>
        <v>Western</v>
      </c>
      <c r="F122" s="13" t="str">
        <f t="shared" si="9"/>
        <v>No</v>
      </c>
      <c r="G122" s="13"/>
      <c r="H122" s="13"/>
      <c r="I122" s="13" t="s">
        <v>188</v>
      </c>
      <c r="J122" s="13"/>
      <c r="K122" s="14">
        <f>VLOOKUP(B122,'Detailed Update'!B:D,3,FALSE)</f>
        <v>45470</v>
      </c>
      <c r="L122" s="18">
        <f>VLOOKUP(B122,'Detailed Update'!B:I,4,FALSE)</f>
        <v>0.97170000000000001</v>
      </c>
      <c r="M122" s="18">
        <f>VLOOKUP(B122,'Detailed Update'!B:I,5,FALSE)</f>
        <v>0.94340000000000002</v>
      </c>
      <c r="N122" s="18">
        <f t="shared" si="10"/>
        <v>-2.8299999999999992E-2</v>
      </c>
      <c r="O122" s="7" t="str">
        <f>VLOOKUP(B122,'Detailed Update'!B:I,6,FALSE)</f>
        <v xml:space="preserve">SEC </v>
      </c>
      <c r="P122" s="7" t="str">
        <f>VLOOKUP(B122,'Detailed Update'!B:I,8,FALSE)</f>
        <v>Jeddah</v>
      </c>
      <c r="Q122" s="17" t="s">
        <v>53</v>
      </c>
      <c r="R122" s="10">
        <f>VLOOKUP(B122,'Detailed Update'!B:T,11,FALSE)</f>
        <v>46387</v>
      </c>
      <c r="S122" s="10">
        <f>VLOOKUP(B122,'Detailed Update'!B:T,12,FALSE)</f>
        <v>46387</v>
      </c>
      <c r="T122" s="9">
        <f>VLOOKUP(B122,'Detailed Update'!B:T,13,FALSE)</f>
        <v>46408</v>
      </c>
      <c r="U122" s="9">
        <f>VLOOKUP(B122,'Detailed Update'!B:T,17,FALSE)</f>
        <v>46538</v>
      </c>
      <c r="V122" s="9">
        <f>VLOOKUP(B122,'Detailed Update'!B:S,18,FALSE)</f>
        <v>46538</v>
      </c>
      <c r="W122" s="9">
        <f>VLOOKUP(B122,'Detailed Update'!B:T,19,FALSE)</f>
        <v>46559</v>
      </c>
      <c r="X122" s="11" t="str">
        <f>VLOOKUP(B122,'Detailed Update'!B:U,20,FALSE)</f>
        <v>1) Remote end works.
2) Pole 1 &amp; Pole 2 valve hall equipment installation.
3) Pending materials delivery (CET partial materials and FF Materials).</v>
      </c>
    </row>
    <row r="123" spans="1:24" ht="27.6" customHeight="1">
      <c r="A123" s="7">
        <v>91</v>
      </c>
      <c r="B123" s="7" t="s">
        <v>189</v>
      </c>
      <c r="C123" s="20" t="str">
        <f>VLOOKUP(B123,'Detailed Update'!B:C,2,FALSE)</f>
        <v>Stage-2 HVDC OHTL COA-WOA</v>
      </c>
      <c r="D123" s="13" t="str">
        <f>VLOOKUP(B123,'Updated Progress % + TCC'!B:D,3,FALSE)</f>
        <v>Ahmed Radwan</v>
      </c>
      <c r="E123" s="7" t="str">
        <f>VLOOKUP(B123,'Updated Progress % + TCC'!B:J,9,FALSE)</f>
        <v>Western</v>
      </c>
      <c r="F123" s="13" t="str">
        <f t="shared" si="9"/>
        <v>No</v>
      </c>
      <c r="G123" s="13" t="s">
        <v>25</v>
      </c>
      <c r="H123" s="13"/>
      <c r="I123" s="13"/>
      <c r="J123" s="13"/>
      <c r="K123" s="14">
        <f>VLOOKUP(B123,'Detailed Update'!B:D,3,FALSE)</f>
        <v>45526</v>
      </c>
      <c r="L123" s="18">
        <f>VLOOKUP(B123,'Detailed Update'!B:I,4,FALSE)</f>
        <v>0.96299999999999997</v>
      </c>
      <c r="M123" s="18">
        <f>VLOOKUP(B123,'Detailed Update'!B:I,5,FALSE)</f>
        <v>0.82</v>
      </c>
      <c r="N123" s="18">
        <f t="shared" si="10"/>
        <v>-0.14300000000000002</v>
      </c>
      <c r="O123" s="7" t="str">
        <f>VLOOKUP(B123,'Detailed Update'!B:I,6,FALSE)</f>
        <v xml:space="preserve">SEC </v>
      </c>
      <c r="P123" s="7" t="str">
        <f>VLOOKUP(B123,'Detailed Update'!B:I,8,FALSE)</f>
        <v>Jeddah</v>
      </c>
      <c r="Q123" s="17" t="s">
        <v>53</v>
      </c>
      <c r="R123" s="10">
        <f>VLOOKUP(B123,'Detailed Update'!B:T,11,FALSE)</f>
        <v>46256</v>
      </c>
      <c r="S123" s="10">
        <f>VLOOKUP(B123,'Detailed Update'!B:T,12,FALSE)</f>
        <v>46387</v>
      </c>
      <c r="T123" s="9">
        <f>VLOOKUP(B123,'Detailed Update'!B:T,13,FALSE)</f>
        <v>46440</v>
      </c>
      <c r="U123" s="9">
        <f>VLOOKUP(B123,'Detailed Update'!B:T,17,FALSE)</f>
        <v>46409</v>
      </c>
      <c r="V123" s="9">
        <f>VLOOKUP(B123,'Detailed Update'!B:S,18,FALSE)</f>
        <v>46535</v>
      </c>
      <c r="W123" s="9">
        <f>VLOOKUP(B123,'Detailed Update'!B:T,19,FALSE)</f>
        <v>46590</v>
      </c>
      <c r="X123" s="11" t="str">
        <f>VLOOKUP(B123,'Detailed Update'!B:U,20,FALSE)</f>
        <v>1) EOT has been submitted to SE on 07-Jul-26 with TCC date 22-Jan-27 under approval with SE.
2) Variation order for increase of Route length is in under approval stage with Rev TCC date 31-Dec-26.
3) Proposed FAT for remaining Combined Towers tentatively by 10-Aug which will affect TCC by 5 Months.
4) Delay in delivery of E &amp; D SPL Tower material (Proposed date by supplier Nov-26).
5) The outage for the diversion scope is expected to occur in October 2026, which is expected to delay the TCC completion to Feb 2027.</v>
      </c>
    </row>
    <row r="124" spans="1:24" ht="27.6" customHeight="1">
      <c r="A124" s="7">
        <v>92</v>
      </c>
      <c r="B124" s="7" t="s">
        <v>190</v>
      </c>
      <c r="C124" s="20" t="str">
        <f>VLOOKUP(B124,'Detailed Update'!B:C,2,FALSE)</f>
        <v>SEC | 132KKV OHTL Tabuk</v>
      </c>
      <c r="D124" s="13" t="str">
        <f>VLOOKUP(B124,'Updated Progress % + TCC'!B:D,3,FALSE)</f>
        <v>Mohan</v>
      </c>
      <c r="E124" s="7" t="str">
        <f>VLOOKUP(B124,'Updated Progress % + TCC'!B:J,9,FALSE)</f>
        <v>Western</v>
      </c>
      <c r="F124" s="13" t="str">
        <f t="shared" si="9"/>
        <v>No</v>
      </c>
      <c r="G124" s="13" t="s">
        <v>25</v>
      </c>
      <c r="H124" s="13" t="s">
        <v>25</v>
      </c>
      <c r="I124" s="13" t="s">
        <v>25</v>
      </c>
      <c r="J124" s="13"/>
      <c r="K124" s="14">
        <f>VLOOKUP(B124,'Detailed Update'!B:D,3,FALSE)</f>
        <v>45601</v>
      </c>
      <c r="L124" s="18">
        <f>VLOOKUP(B124,'Detailed Update'!B:I,4,FALSE)</f>
        <v>0.995</v>
      </c>
      <c r="M124" s="18">
        <f>VLOOKUP(B124,'Detailed Update'!B:I,5,FALSE)</f>
        <v>0.94930000000000003</v>
      </c>
      <c r="N124" s="18">
        <f t="shared" si="10"/>
        <v>-4.5699999999999963E-2</v>
      </c>
      <c r="O124" s="7" t="str">
        <f>VLOOKUP(B124,'Detailed Update'!B:I,6,FALSE)</f>
        <v xml:space="preserve">SEC </v>
      </c>
      <c r="P124" s="7" t="str">
        <f>VLOOKUP(B124,'Detailed Update'!B:I,8,FALSE)</f>
        <v>Tabuk</v>
      </c>
      <c r="Q124" s="17" t="s">
        <v>53</v>
      </c>
      <c r="R124" s="10">
        <f>VLOOKUP(B124,'Detailed Update'!B:T,11,FALSE)</f>
        <v>46117</v>
      </c>
      <c r="S124" s="10">
        <f>VLOOKUP(B124,'Detailed Update'!B:T,12,FALSE)</f>
        <v>46178</v>
      </c>
      <c r="T124" s="9">
        <f>VLOOKUP(B124,'Detailed Update'!B:T,13,FALSE)</f>
        <v>46236</v>
      </c>
      <c r="U124" s="9">
        <f>VLOOKUP(B124,'Detailed Update'!B:T,17,FALSE)</f>
        <v>46270</v>
      </c>
      <c r="V124" s="9">
        <f>VLOOKUP(B124,'Detailed Update'!B:S,18,FALSE)</f>
        <v>46331</v>
      </c>
      <c r="W124" s="9">
        <f>VLOOKUP(B124,'Detailed Update'!B:T,19,FALSE)</f>
        <v>46418</v>
      </c>
      <c r="X124" s="11" t="str">
        <f>VLOOKUP(B124,'Detailed Update'!B:U,20,FALSE)</f>
        <v>1)TCC Received on 02-Aug-26
2)Acceleration in Mechanical works inside Tunnel Buhaira  BSP
3) Acceleration in Access road &amp; Structure Pad final layer</v>
      </c>
    </row>
    <row r="125" spans="1:24" ht="27.6" customHeight="1">
      <c r="A125" s="7">
        <v>93</v>
      </c>
      <c r="B125" s="7" t="s">
        <v>191</v>
      </c>
      <c r="C125" s="20" t="str">
        <f>VLOOKUP(B125,'Detailed Update'!B:C,2,FALSE)</f>
        <v>UMM AL-QURA CEMENT OHTL</v>
      </c>
      <c r="D125" s="13" t="str">
        <f>VLOOKUP(B125,'Updated Progress % + TCC'!B:D,3,FALSE)</f>
        <v>Sudhakar</v>
      </c>
      <c r="E125" s="7" t="str">
        <f>VLOOKUP(B125,'Updated Progress % + TCC'!B:J,9,FALSE)</f>
        <v>Western</v>
      </c>
      <c r="F125" s="13" t="str">
        <f t="shared" si="9"/>
        <v>No</v>
      </c>
      <c r="G125" s="13"/>
      <c r="H125" s="13"/>
      <c r="I125" s="13"/>
      <c r="J125" s="13"/>
      <c r="K125" s="14">
        <f>VLOOKUP(B125,'Detailed Update'!B:D,3,FALSE)</f>
        <v>45601</v>
      </c>
      <c r="L125" s="18">
        <f>VLOOKUP(B125,'Detailed Update'!B:I,4,FALSE)</f>
        <v>1</v>
      </c>
      <c r="M125" s="18">
        <f>VLOOKUP(B125,'Detailed Update'!B:I,5,FALSE)</f>
        <v>0.74550000000000005</v>
      </c>
      <c r="N125" s="18">
        <f t="shared" si="10"/>
        <v>-0.25449999999999995</v>
      </c>
      <c r="O125" s="7" t="str">
        <f>VLOOKUP(B125,'Detailed Update'!B:I,6,FALSE)</f>
        <v xml:space="preserve">SEC </v>
      </c>
      <c r="P125" s="7" t="str">
        <f>VLOOKUP(B125,'Detailed Update'!B:I,8,FALSE)</f>
        <v>Makkah</v>
      </c>
      <c r="Q125" s="17" t="s">
        <v>53</v>
      </c>
      <c r="R125" s="10">
        <f>VLOOKUP(B125,'Detailed Update'!B:T,11,FALSE)</f>
        <v>46086</v>
      </c>
      <c r="S125" s="10">
        <f>VLOOKUP(B125,'Detailed Update'!B:T,12,FALSE)</f>
        <v>46086</v>
      </c>
      <c r="T125" s="9">
        <f>VLOOKUP(B125,'Detailed Update'!B:T,13,FALSE)</f>
        <v>46352</v>
      </c>
      <c r="U125" s="9">
        <f>VLOOKUP(B125,'Detailed Update'!B:T,17,FALSE)</f>
        <v>46239</v>
      </c>
      <c r="V125" s="9">
        <f>VLOOKUP(B125,'Detailed Update'!B:S,18,FALSE)</f>
        <v>46239</v>
      </c>
      <c r="W125" s="9">
        <f>VLOOKUP(B125,'Detailed Update'!B:T,19,FALSE)</f>
        <v>46507</v>
      </c>
      <c r="X125" s="11" t="str">
        <f>VLOOKUP(B125,'Detailed Update'!B:U,20,FALSE)</f>
        <v>1)Slow Rate in Tower Erection &amp; Stringing Works
2)Change order and EOT approvals to be expedited for new revised milestones.</v>
      </c>
    </row>
    <row r="126" spans="1:24" ht="27.6" customHeight="1">
      <c r="A126" s="7">
        <v>94</v>
      </c>
      <c r="B126" s="7" t="s">
        <v>192</v>
      </c>
      <c r="C126" s="20" t="str">
        <f>VLOOKUP(B126,'Detailed Update'!B:C,2,FALSE)</f>
        <v>110KV OHTL FOR MAADEN-AL MAHAD</v>
      </c>
      <c r="D126" s="13" t="str">
        <f>VLOOKUP(B126,'Updated Progress % + TCC'!B:D,3,FALSE)</f>
        <v>Abdelazeem Morsy</v>
      </c>
      <c r="E126" s="7" t="str">
        <f>VLOOKUP(B126,'Updated Progress % + TCC'!B:J,9,FALSE)</f>
        <v>Western</v>
      </c>
      <c r="F126" s="13" t="str">
        <f t="shared" si="9"/>
        <v>Yes</v>
      </c>
      <c r="G126" s="13"/>
      <c r="H126" s="13"/>
      <c r="I126" s="13"/>
      <c r="J126" s="13"/>
      <c r="K126" s="14">
        <f>VLOOKUP(B126,'Detailed Update'!B:D,3,FALSE)</f>
        <v>45648</v>
      </c>
      <c r="L126" s="18">
        <f>VLOOKUP(B126,'Detailed Update'!B:I,4,FALSE)</f>
        <v>0.99829999999999997</v>
      </c>
      <c r="M126" s="18">
        <f>VLOOKUP(B126,'Detailed Update'!B:I,5,FALSE)</f>
        <v>0.69359999999999999</v>
      </c>
      <c r="N126" s="18">
        <f t="shared" si="10"/>
        <v>-0.30469999999999997</v>
      </c>
      <c r="O126" s="7" t="str">
        <f>VLOOKUP(B126,'Detailed Update'!B:I,6,FALSE)</f>
        <v xml:space="preserve">SEC </v>
      </c>
      <c r="P126" s="7" t="str">
        <f>VLOOKUP(B126,'Detailed Update'!B:I,8,FALSE)</f>
        <v>Madinah</v>
      </c>
      <c r="Q126" s="17" t="s">
        <v>53</v>
      </c>
      <c r="R126" s="10">
        <f>VLOOKUP(B126,'Detailed Update'!B:T,11,FALSE)</f>
        <v>46164</v>
      </c>
      <c r="S126" s="10">
        <f>VLOOKUP(B126,'Detailed Update'!B:T,12,FALSE)</f>
        <v>46164</v>
      </c>
      <c r="T126" s="9">
        <f>VLOOKUP(B126,'Detailed Update'!B:T,13,FALSE)</f>
        <v>46387</v>
      </c>
      <c r="U126" s="9">
        <f>VLOOKUP(B126,'Detailed Update'!B:T,17,FALSE)</f>
        <v>46317</v>
      </c>
      <c r="V126" s="9">
        <f>VLOOKUP(B126,'Detailed Update'!B:S,18,FALSE)</f>
        <v>46317</v>
      </c>
      <c r="W126" s="9">
        <f>VLOOKUP(B126,'Detailed Update'!B:T,19,FALSE)</f>
        <v>46538</v>
      </c>
      <c r="X126" s="11" t="str">
        <f>VLOOKUP(B126,'Detailed Update'!B:U,20,FALSE)</f>
        <v>1) Revised EOT Submitted to SEC on 21-Jun-26 with TCC date 10-Mar-27 under approval with SEC
2) SE notified of Required route deviation due to future plans for a factory, required reworks (Dismantling of erected towers) &amp; additional qty.
3) Foundation concrete works delayed due to late delivery of concrete.
4) Angle Towers erection should expedite to avoid further delay in stringing works					
5) Delay in Commencement of Stringing works due to Tower shortage material</v>
      </c>
    </row>
    <row r="127" spans="1:24" ht="27.6" customHeight="1">
      <c r="A127" s="7">
        <v>95</v>
      </c>
      <c r="B127" s="7" t="s">
        <v>193</v>
      </c>
      <c r="C127" s="20" t="str">
        <f>VLOOKUP(B127,'Detailed Update'!B:C,2,FALSE)</f>
        <v>Battery Energy (BESS) -Rabigh</v>
      </c>
      <c r="D127" s="13" t="str">
        <f>VLOOKUP(B127,'Updated Progress % + TCC'!B:D,3,FALSE)</f>
        <v>Mohamed Elmazawy</v>
      </c>
      <c r="E127" s="7" t="str">
        <f>VLOOKUP(B127,'Updated Progress % + TCC'!B:J,9,FALSE)</f>
        <v>Western</v>
      </c>
      <c r="F127" s="13" t="str">
        <f t="shared" si="9"/>
        <v>No</v>
      </c>
      <c r="G127" s="13"/>
      <c r="H127" s="13"/>
      <c r="I127" s="13" t="s">
        <v>188</v>
      </c>
      <c r="J127" s="13"/>
      <c r="K127" s="14">
        <f>VLOOKUP(B127,'Detailed Update'!B:D,3,FALSE)</f>
        <v>45642</v>
      </c>
      <c r="L127" s="18">
        <f>VLOOKUP(B127,'Detailed Update'!B:I,4,FALSE)</f>
        <v>1</v>
      </c>
      <c r="M127" s="18">
        <f>VLOOKUP(B127,'Detailed Update'!B:I,5,FALSE)</f>
        <v>0.98670000000000002</v>
      </c>
      <c r="N127" s="18">
        <f t="shared" si="10"/>
        <v>-1.3299999999999979E-2</v>
      </c>
      <c r="O127" s="7" t="str">
        <f>VLOOKUP(B127,'Detailed Update'!B:I,6,FALSE)</f>
        <v xml:space="preserve">SEC </v>
      </c>
      <c r="P127" s="7" t="str">
        <f>VLOOKUP(B127,'Detailed Update'!B:I,8,FALSE)</f>
        <v>Rabigh</v>
      </c>
      <c r="Q127" s="17" t="s">
        <v>53</v>
      </c>
      <c r="R127" s="10">
        <f>VLOOKUP(B127,'Detailed Update'!B:T,11,FALSE)</f>
        <v>46158</v>
      </c>
      <c r="S127" s="10">
        <f>VLOOKUP(B127,'Detailed Update'!B:T,12,FALSE)</f>
        <v>46158</v>
      </c>
      <c r="T127" s="9">
        <f>VLOOKUP(B127,'Detailed Update'!B:T,13,FALSE)</f>
        <v>46152</v>
      </c>
      <c r="U127" s="9">
        <f>VLOOKUP(B127,'Detailed Update'!B:T,17,FALSE)</f>
        <v>46311</v>
      </c>
      <c r="V127" s="9">
        <f>VLOOKUP(B127,'Detailed Update'!B:S,18,FALSE)</f>
        <v>46311</v>
      </c>
      <c r="W127" s="9">
        <f>VLOOKUP(B127,'Detailed Update'!B:T,19,FALSE)</f>
        <v>46356</v>
      </c>
      <c r="X127" s="11" t="str">
        <f>VLOOKUP(B127,'Detailed Update'!B:U,20,FALSE)</f>
        <v>Energization done</v>
      </c>
    </row>
    <row r="128" spans="1:24" ht="27.6" customHeight="1">
      <c r="A128" s="7">
        <v>96</v>
      </c>
      <c r="B128" s="7" t="s">
        <v>194</v>
      </c>
      <c r="C128" s="20" t="str">
        <f>VLOOKUP(B128,'Detailed Update'!B:C,2,FALSE)</f>
        <v>Arafat SS</v>
      </c>
      <c r="D128" s="13" t="str">
        <f>VLOOKUP(B128,'Updated Progress % + TCC'!B:D,3,FALSE)</f>
        <v>Mostafa Ayop</v>
      </c>
      <c r="E128" s="7" t="str">
        <f>VLOOKUP(B128,'Updated Progress % + TCC'!B:J,9,FALSE)</f>
        <v>Western</v>
      </c>
      <c r="F128" s="13" t="str">
        <f t="shared" si="9"/>
        <v>No</v>
      </c>
      <c r="G128" s="13" t="str">
        <f>IF(N128&gt;70.01%,"No","Yes")</f>
        <v>Yes</v>
      </c>
      <c r="H128" s="13" t="s">
        <v>36</v>
      </c>
      <c r="I128" s="13"/>
      <c r="J128" s="13"/>
      <c r="K128" s="14">
        <f>VLOOKUP(B128,'Detailed Update'!B:D,3,FALSE)</f>
        <v>45726</v>
      </c>
      <c r="L128" s="18">
        <f>VLOOKUP(B128,'Detailed Update'!B:I,4,FALSE)</f>
        <v>0.87060000000000004</v>
      </c>
      <c r="M128" s="18">
        <f>VLOOKUP(B128,'Detailed Update'!B:I,5,FALSE)</f>
        <v>0.70509999999999995</v>
      </c>
      <c r="N128" s="18">
        <f t="shared" si="10"/>
        <v>-0.16550000000000009</v>
      </c>
      <c r="O128" s="7" t="str">
        <f>VLOOKUP(B128,'Detailed Update'!B:I,6,FALSE)</f>
        <v xml:space="preserve">SEC </v>
      </c>
      <c r="P128" s="7" t="str">
        <f>VLOOKUP(B128,'Detailed Update'!B:I,8,FALSE)</f>
        <v>Makkah</v>
      </c>
      <c r="Q128" s="17" t="s">
        <v>53</v>
      </c>
      <c r="R128" s="10">
        <f>VLOOKUP(B128,'Detailed Update'!B:T,11,FALSE)</f>
        <v>46275</v>
      </c>
      <c r="S128" s="10">
        <f>VLOOKUP(B128,'Detailed Update'!B:T,12,FALSE)</f>
        <v>46275</v>
      </c>
      <c r="T128" s="9">
        <f>VLOOKUP(B128,'Detailed Update'!B:T,13,FALSE)</f>
        <v>46336</v>
      </c>
      <c r="U128" s="9">
        <f>VLOOKUP(B128,'Detailed Update'!B:T,17,FALSE)</f>
        <v>46428</v>
      </c>
      <c r="V128" s="9">
        <f>VLOOKUP(B128,'Detailed Update'!B:S,18,FALSE)</f>
        <v>46428</v>
      </c>
      <c r="W128" s="9">
        <f>VLOOKUP(B128,'Detailed Update'!B:T,19,FALSE)</f>
        <v>46489</v>
      </c>
      <c r="X128" s="11" t="str">
        <f>VLOOKUP(B128,'Detailed Update'!B:U,20,FALSE)</f>
        <v>1. EOT submitted on  20-May-26 with TCC upto 8-Oct-26, SE comments received on 4th Jun 26 need to be resubmit the EOT.
2. Shutdown required from SE by Oct-26.</v>
      </c>
    </row>
    <row r="129" spans="1:24" ht="27.6" customHeight="1">
      <c r="A129" s="7">
        <v>97</v>
      </c>
      <c r="B129" s="13" t="s">
        <v>195</v>
      </c>
      <c r="C129" s="20" t="str">
        <f>VLOOKUP(B129,'Detailed Update'!B:C,2,FALSE)</f>
        <v>Construction of Tabuk Substation for BESS</v>
      </c>
      <c r="D129" s="13" t="str">
        <f>VLOOKUP(B129,'Updated Progress % + TCC'!B:D,3,FALSE)</f>
        <v>Amin  El sayed</v>
      </c>
      <c r="E129" s="7" t="str">
        <f>VLOOKUP(B129,'Updated Progress % + TCC'!B:J,9,FALSE)</f>
        <v>Western</v>
      </c>
      <c r="F129" s="13" t="str">
        <f t="shared" si="9"/>
        <v>No</v>
      </c>
      <c r="G129" s="13" t="s">
        <v>25</v>
      </c>
      <c r="H129" s="13"/>
      <c r="I129" s="13"/>
      <c r="J129" s="13"/>
      <c r="K129" s="14">
        <f>VLOOKUP(B129,'Detailed Update'!B:D,3,FALSE)</f>
        <v>45841</v>
      </c>
      <c r="L129" s="18">
        <f>VLOOKUP(B129,'Detailed Update'!B:I,4,FALSE)</f>
        <v>1</v>
      </c>
      <c r="M129" s="18">
        <f>VLOOKUP(B129,'Detailed Update'!B:I,5,FALSE)</f>
        <v>0.75419999999999998</v>
      </c>
      <c r="N129" s="18">
        <f t="shared" si="10"/>
        <v>-0.24580000000000002</v>
      </c>
      <c r="O129" s="7" t="str">
        <f>VLOOKUP(B129,'Detailed Update'!B:I,6,FALSE)</f>
        <v xml:space="preserve">SEC </v>
      </c>
      <c r="P129" s="7" t="str">
        <f>VLOOKUP(B129,'Detailed Update'!B:I,8,FALSE)</f>
        <v>Tabuk</v>
      </c>
      <c r="Q129" s="17" t="s">
        <v>53</v>
      </c>
      <c r="R129" s="10">
        <f>VLOOKUP(B129,'Detailed Update'!B:T,11,FALSE)</f>
        <v>46176</v>
      </c>
      <c r="S129" s="10">
        <f>VLOOKUP(B129,'Detailed Update'!B:T,12,FALSE)</f>
        <v>46176</v>
      </c>
      <c r="T129" s="9">
        <f>VLOOKUP(B129,'Detailed Update'!B:T,13,FALSE)</f>
        <v>46273</v>
      </c>
      <c r="U129" s="9">
        <f>VLOOKUP(B129,'Detailed Update'!B:T,17,FALSE)</f>
        <v>46329</v>
      </c>
      <c r="V129" s="9">
        <f>VLOOKUP(B129,'Detailed Update'!B:S,18,FALSE)</f>
        <v>46329</v>
      </c>
      <c r="W129" s="9">
        <f>VLOOKUP(B129,'Detailed Update'!B:T,19,FALSE)</f>
        <v>46427</v>
      </c>
      <c r="X129" s="11" t="str">
        <f>VLOOKUP(B129,'Detailed Update'!B:U,20,FALSE)</f>
        <v xml:space="preserve">1. Approval Detailed Design for switchgear, ACDB &amp; PDMS
2. Delay in Delivering HGIS from Hitachi for second bay 
3. Delay in Delivering for 125v DC System
4. Approval for FEED package
5. Delay in Inputs for Grid Studies from BYD 
6. FAT confirmation for Auxiliary Transformer, Lighting Panels, ACDB, DSM, TFR
7. PDC Support required for approval of DSM &amp; TFR.
8. AMI DESIGN APPROVAL
9. FIBER OPTIC ROUTE PLAN.
10. BASE DESIGN APPROVAL FOR TRANSFORMER.
11. DELIOVERY CONFRIATION OF FIRE PUMP MATERIAL </v>
      </c>
    </row>
    <row r="130" spans="1:24" ht="27.6" customHeight="1">
      <c r="A130" s="7">
        <v>98</v>
      </c>
      <c r="B130" s="13" t="s">
        <v>196</v>
      </c>
      <c r="C130" s="20" t="str">
        <f>VLOOKUP(B130,'Detailed Update'!B:C,2,FALSE)</f>
        <v>CONSTRUCTION OF ALWESSAM TAIF 110/13.SKV SUBSTATION IN TAIF</v>
      </c>
      <c r="D130" s="13" t="str">
        <f>VLOOKUP(B130,'Updated Progress % + TCC'!B:D,3,FALSE)</f>
        <v>Mostafa Elkayal</v>
      </c>
      <c r="E130" s="7" t="str">
        <f>VLOOKUP(B130,'Updated Progress % + TCC'!B:J,9,FALSE)</f>
        <v>Western</v>
      </c>
      <c r="F130" s="13" t="str">
        <f t="shared" si="9"/>
        <v>Yes</v>
      </c>
      <c r="G130" s="13"/>
      <c r="H130" s="13"/>
      <c r="I130" s="13"/>
      <c r="J130" s="13"/>
      <c r="K130" s="14">
        <f>VLOOKUP(B130,'Detailed Update'!B:D,3,FALSE)</f>
        <v>45860</v>
      </c>
      <c r="L130" s="18">
        <f>VLOOKUP(B130,'Detailed Update'!B:I,4,FALSE)</f>
        <v>0.55449999999999999</v>
      </c>
      <c r="M130" s="18">
        <f>VLOOKUP(B130,'Detailed Update'!B:I,5,FALSE)</f>
        <v>0.2641</v>
      </c>
      <c r="N130" s="18">
        <f t="shared" si="10"/>
        <v>-0.29039999999999999</v>
      </c>
      <c r="O130" s="7" t="str">
        <f>VLOOKUP(B130,'Detailed Update'!B:I,6,FALSE)</f>
        <v xml:space="preserve">SEC </v>
      </c>
      <c r="P130" s="7" t="str">
        <f>VLOOKUP(B130,'Detailed Update'!B:I,8,FALSE)</f>
        <v>Taif</v>
      </c>
      <c r="Q130" s="17" t="s">
        <v>53</v>
      </c>
      <c r="R130" s="10">
        <f>VLOOKUP(B130,'Detailed Update'!B:T,11,FALSE)</f>
        <v>46409</v>
      </c>
      <c r="S130" s="10">
        <f>VLOOKUP(B130,'Detailed Update'!B:T,12,FALSE)</f>
        <v>46409</v>
      </c>
      <c r="T130" s="9">
        <f>VLOOKUP(B130,'Detailed Update'!B:T,13,FALSE)</f>
        <v>46568</v>
      </c>
      <c r="U130" s="9">
        <f>VLOOKUP(B130,'Detailed Update'!B:T,17,FALSE)</f>
        <v>46560</v>
      </c>
      <c r="V130" s="9">
        <f>VLOOKUP(B130,'Detailed Update'!B:S,18,FALSE)</f>
        <v>46560</v>
      </c>
      <c r="W130" s="9">
        <f>VLOOKUP(B130,'Detailed Update'!B:T,19,FALSE)</f>
        <v>46687</v>
      </c>
      <c r="X130" s="11" t="str">
        <f>VLOOKUP(B130,'Detailed Update'!B:U,20,FALSE)</f>
        <v>1) Delay notification sent to SEC, Due to delay in issuance of construction permit &amp; delay in design (08 Months)
2) Steel binding work &amp; formwork for Main Building wall in progress 
3) Structural design approval needs to be expedited</v>
      </c>
    </row>
    <row r="131" spans="1:24" ht="27.6" customHeight="1">
      <c r="A131" s="7">
        <v>99</v>
      </c>
      <c r="B131" s="29" t="s">
        <v>197</v>
      </c>
      <c r="C131" s="20" t="str">
        <f>VLOOKUP(B131,'Detailed Update'!B:C,2,FALSE)</f>
        <v>CONSTRUCTION OF A NEW 132/13.8KV SUBSTATION RABIAH TABUK (RBTBK) &amp; ITS 132KV INTERCONNECTION IN TABUK</v>
      </c>
      <c r="D131" s="13" t="str">
        <f>VLOOKUP(B131,'Updated Progress % + TCC'!B:D,3,FALSE)</f>
        <v>Shafqat Zia</v>
      </c>
      <c r="E131" s="7" t="str">
        <f>VLOOKUP(B131,'Updated Progress % + TCC'!B:J,9,FALSE)</f>
        <v>Western</v>
      </c>
      <c r="F131" s="13" t="str">
        <f t="shared" si="9"/>
        <v>Yes</v>
      </c>
      <c r="G131" s="13"/>
      <c r="H131" s="13"/>
      <c r="I131" s="13"/>
      <c r="J131" s="13"/>
      <c r="K131" s="14">
        <f>VLOOKUP(B131,'Detailed Update'!B:D,3,FALSE)</f>
        <v>45911</v>
      </c>
      <c r="L131" s="18">
        <f>VLOOKUP(B131,'Detailed Update'!B:I,4,FALSE)</f>
        <v>0.35830000000000001</v>
      </c>
      <c r="M131" s="18">
        <f>VLOOKUP(B131,'Detailed Update'!B:I,5,FALSE)</f>
        <v>0.313</v>
      </c>
      <c r="N131" s="18">
        <f t="shared" si="10"/>
        <v>-4.5300000000000007E-2</v>
      </c>
      <c r="O131" s="7" t="str">
        <f>VLOOKUP(B131,'Detailed Update'!B:I,6,FALSE)</f>
        <v xml:space="preserve">SEC </v>
      </c>
      <c r="P131" s="7" t="str">
        <f>VLOOKUP(B131,'Detailed Update'!B:I,8,FALSE)</f>
        <v>Tabuk</v>
      </c>
      <c r="Q131" s="17" t="s">
        <v>53</v>
      </c>
      <c r="R131" s="10">
        <f>VLOOKUP(B131,'Detailed Update'!B:T,11,FALSE)</f>
        <v>46457</v>
      </c>
      <c r="S131" s="10">
        <f>VLOOKUP(B131,'Detailed Update'!B:T,12,FALSE)</f>
        <v>46457</v>
      </c>
      <c r="T131" s="9">
        <f>VLOOKUP(B131,'Detailed Update'!B:T,13,FALSE)</f>
        <v>46610</v>
      </c>
      <c r="U131" s="9">
        <f>VLOOKUP(B131,'Detailed Update'!B:T,17,FALSE)</f>
        <v>46610</v>
      </c>
      <c r="V131" s="9">
        <f>VLOOKUP(B131,'Detailed Update'!B:S,18,FALSE)</f>
        <v>46610</v>
      </c>
      <c r="W131" s="9">
        <f>VLOOKUP(B131,'Detailed Update'!B:T,19,FALSE)</f>
        <v>46763</v>
      </c>
      <c r="X131" s="11" t="str">
        <f>VLOOKUP(B131,'Detailed Update'!B:U,20,FALSE)</f>
        <v>1) Delay in commencement of OHTL works due to SE E&amp;DD's new requirements and involvement of SE S&amp;SD.
2) Power Transformer delivery requires advancement by at least two months to meet the energization target. The supplier is not agreeing to/confirming the expected FAT and delivery dates before Dec-26. Due to the current global situation, the supplier has indicated that the FAT/delivery may be delayed until Jan./Feb. 2027.
3) Delay in submission and approval of Remote End design and drawings due to delay from SE in providing the existing data.
4) OHTL Line Strings have a long delivery lead time, and SE has been requested to provide the material on a borrowing basis from the SE store, subject to availability.
5) Delay in OHTL Tower works.</v>
      </c>
    </row>
    <row r="132" spans="1:24" ht="27.6" customHeight="1">
      <c r="A132" s="7">
        <v>100</v>
      </c>
      <c r="B132" s="29" t="s">
        <v>198</v>
      </c>
      <c r="C132" s="20" t="str">
        <f>VLOOKUP(B132,'Detailed Update'!B:C,2,FALSE)</f>
        <v>CONSTRUCTION OF A NEW 110/13.8 kV SUBSTATION Al-Arfa (ARFA-G) IN TAIF UNDER GRANT SCHEMES PROGRAM</v>
      </c>
      <c r="D132" s="13" t="str">
        <f>VLOOKUP(B132,'Updated Progress % + TCC'!B:D,3,FALSE)</f>
        <v>Muhammad Ilyas</v>
      </c>
      <c r="E132" s="7" t="str">
        <f>VLOOKUP(B132,'Updated Progress % + TCC'!B:J,9,FALSE)</f>
        <v>Western</v>
      </c>
      <c r="F132" s="13" t="str">
        <f t="shared" si="9"/>
        <v>Yes</v>
      </c>
      <c r="G132" s="13"/>
      <c r="H132" s="13"/>
      <c r="I132" s="13"/>
      <c r="J132" s="13"/>
      <c r="K132" s="14">
        <f>VLOOKUP(B132,'Detailed Update'!B:D,3,FALSE)</f>
        <v>45937</v>
      </c>
      <c r="L132" s="18">
        <f>VLOOKUP(B132,'Detailed Update'!B:I,4,FALSE)</f>
        <v>0.3826</v>
      </c>
      <c r="M132" s="18">
        <f>VLOOKUP(B132,'Detailed Update'!B:I,5,FALSE)</f>
        <v>0.2291</v>
      </c>
      <c r="N132" s="18">
        <f t="shared" si="10"/>
        <v>-0.1535</v>
      </c>
      <c r="O132" s="7" t="str">
        <f>VLOOKUP(B132,'Detailed Update'!B:I,6,FALSE)</f>
        <v xml:space="preserve">SEC </v>
      </c>
      <c r="P132" s="7" t="str">
        <f>VLOOKUP(B132,'Detailed Update'!B:I,8,FALSE)</f>
        <v>Taif</v>
      </c>
      <c r="Q132" s="17" t="s">
        <v>53</v>
      </c>
      <c r="R132" s="10">
        <f>VLOOKUP(B132,'Detailed Update'!B:T,11,FALSE)</f>
        <v>46484</v>
      </c>
      <c r="S132" s="10">
        <f>VLOOKUP(B132,'Detailed Update'!B:T,12,FALSE)</f>
        <v>46484</v>
      </c>
      <c r="T132" s="9">
        <f>VLOOKUP(B132,'Detailed Update'!B:T,13,FALSE)</f>
        <v>46573</v>
      </c>
      <c r="U132" s="9">
        <f>VLOOKUP(B132,'Detailed Update'!B:T,17,FALSE)</f>
        <v>46637</v>
      </c>
      <c r="V132" s="9">
        <f>VLOOKUP(B132,'Detailed Update'!B:S,18,FALSE)</f>
        <v>46637</v>
      </c>
      <c r="W132" s="9">
        <f>VLOOKUP(B132,'Detailed Update'!B:T,19,FALSE)</f>
        <v>46726</v>
      </c>
      <c r="X132" s="11" t="str">
        <f>VLOOKUP(B132,'Detailed Update'!B:U,20,FALSE)</f>
        <v xml:space="preserve">1) Construction Sub Structure forecast completion date: 23-Sep-26.
2) Construction Super Structure forecast completion date: 26-Nov-26.                   </v>
      </c>
    </row>
    <row r="133" spans="1:24" ht="27.6" customHeight="1">
      <c r="A133" s="7">
        <v>101</v>
      </c>
      <c r="B133" s="29" t="s">
        <v>199</v>
      </c>
      <c r="C133" s="20" t="str">
        <f>VLOOKUP(B133,'Detailed Update'!B:C,2,FALSE)</f>
        <v>Installation of New STATCOM ±300MV AR At 132kV Level At Northern BSP</v>
      </c>
      <c r="D133" s="13" t="str">
        <f>VLOOKUP(B133,'Updated Progress % + TCC'!B:D,3,FALSE)</f>
        <v>Pervaiz Akbar</v>
      </c>
      <c r="E133" s="7" t="str">
        <f>VLOOKUP(B133,'Updated Progress % + TCC'!B:J,9,FALSE)</f>
        <v>Western</v>
      </c>
      <c r="F133" s="13" t="str">
        <f t="shared" si="9"/>
        <v>Yes</v>
      </c>
      <c r="G133" s="13" t="s">
        <v>25</v>
      </c>
      <c r="H133" s="13"/>
      <c r="I133" s="13"/>
      <c r="J133" s="13"/>
      <c r="K133" s="14">
        <f>VLOOKUP(B133,'Detailed Update'!B:D,3,FALSE)</f>
        <v>45959</v>
      </c>
      <c r="L133" s="18">
        <f>VLOOKUP(B133,'Detailed Update'!B:I,4,FALSE)</f>
        <v>0.20019999999999999</v>
      </c>
      <c r="M133" s="18">
        <f>VLOOKUP(B133,'Detailed Update'!B:I,5,FALSE)</f>
        <v>0.14510000000000001</v>
      </c>
      <c r="N133" s="18">
        <f t="shared" si="10"/>
        <v>-5.5099999999999982E-2</v>
      </c>
      <c r="O133" s="7" t="str">
        <f>VLOOKUP(B133,'Detailed Update'!B:I,6,FALSE)</f>
        <v xml:space="preserve">SEC </v>
      </c>
      <c r="P133" s="7" t="str">
        <f>VLOOKUP(B133,'Detailed Update'!B:I,8,FALSE)</f>
        <v>Al Ula</v>
      </c>
      <c r="Q133" s="17" t="s">
        <v>53</v>
      </c>
      <c r="R133" s="10">
        <f>VLOOKUP(B133,'Detailed Update'!B:T,11,FALSE)</f>
        <v>46963</v>
      </c>
      <c r="S133" s="10">
        <f>VLOOKUP(B133,'Detailed Update'!B:T,12,FALSE)</f>
        <v>46963</v>
      </c>
      <c r="T133" s="9">
        <f>VLOOKUP(B133,'Detailed Update'!B:T,13,FALSE)</f>
        <v>46883</v>
      </c>
      <c r="U133" s="9">
        <f>VLOOKUP(B133,'Detailed Update'!B:T,17,FALSE)</f>
        <v>47116</v>
      </c>
      <c r="V133" s="9">
        <f>VLOOKUP(B133,'Detailed Update'!B:S,18,FALSE)</f>
        <v>47116</v>
      </c>
      <c r="W133" s="9">
        <f>VLOOKUP(B133,'Detailed Update'!B:T,19,FALSE)</f>
        <v>47037</v>
      </c>
      <c r="X133" s="11" t="str">
        <f>VLOOKUP(B133,'Detailed Update'!B:U,20,FALSE)</f>
        <v>1) Vendor finalization is pending for Lightning Protection, HVAC, and Cable Trays; respective design approvals/offers are under process. DPOs for Post Insulator and Crane are with SCD.
2) STATCOM Building foundation works are delayed due to delay in finalization of the STATCOM Building Architectural &amp; Precast drawings (inputs) by the designer (DAR).</v>
      </c>
    </row>
    <row r="134" spans="1:24" ht="27.6" customHeight="1">
      <c r="A134" s="7">
        <v>102</v>
      </c>
      <c r="B134" s="29" t="s">
        <v>200</v>
      </c>
      <c r="C134" s="20" t="str">
        <f>VLOOKUP(B134,'Detailed Update'!B:C,2,FALSE)</f>
        <v>CONSTRUCTION OF A NEW 110KV D/C OHTL FOR A NEW 110/13.8KV SUBSTATION Al-Arfa (ARFA-G) IN TAIF UNDER GRANT SCHEMES PROGRAM</v>
      </c>
      <c r="D134" s="13" t="str">
        <f>VLOOKUP(B134,'Updated Progress % + TCC'!B:D,3,FALSE)</f>
        <v>Muhammad Ilyas</v>
      </c>
      <c r="E134" s="7" t="str">
        <f>VLOOKUP(B134,'Updated Progress % + TCC'!B:J,9,FALSE)</f>
        <v>Western</v>
      </c>
      <c r="F134" s="13" t="str">
        <f t="shared" si="9"/>
        <v>Yes</v>
      </c>
      <c r="G134" s="13"/>
      <c r="H134" s="13"/>
      <c r="I134" s="13"/>
      <c r="J134" s="13"/>
      <c r="K134" s="14">
        <f>VLOOKUP(B134,'Detailed Update'!B:D,3,FALSE)</f>
        <v>45946</v>
      </c>
      <c r="L134" s="18">
        <f>VLOOKUP(B134,'Detailed Update'!B:I,4,FALSE)</f>
        <v>0.67989999999999995</v>
      </c>
      <c r="M134" s="18">
        <f>VLOOKUP(B134,'Detailed Update'!B:I,5,FALSE)</f>
        <v>0.24049999999999999</v>
      </c>
      <c r="N134" s="18">
        <f t="shared" si="10"/>
        <v>-0.43939999999999996</v>
      </c>
      <c r="O134" s="7" t="str">
        <f>VLOOKUP(B134,'Detailed Update'!B:I,6,FALSE)</f>
        <v xml:space="preserve">SEC </v>
      </c>
      <c r="P134" s="7" t="str">
        <f>VLOOKUP(B134,'Detailed Update'!B:I,8,FALSE)</f>
        <v>Taif</v>
      </c>
      <c r="Q134" s="17" t="s">
        <v>53</v>
      </c>
      <c r="R134" s="10">
        <f>VLOOKUP(B134,'Detailed Update'!B:T,11,FALSE)</f>
        <v>46462</v>
      </c>
      <c r="S134" s="10">
        <f>VLOOKUP(B134,'Detailed Update'!B:T,12,FALSE)</f>
        <v>46462</v>
      </c>
      <c r="T134" s="9">
        <f>VLOOKUP(B134,'Detailed Update'!B:T,13,FALSE)</f>
        <v>46584</v>
      </c>
      <c r="U134" s="9">
        <f>VLOOKUP(B134,'Detailed Update'!B:T,17,FALSE)</f>
        <v>46615</v>
      </c>
      <c r="V134" s="9">
        <f>VLOOKUP(B134,'Detailed Update'!B:S,18,FALSE)</f>
        <v>46615</v>
      </c>
      <c r="W134" s="9">
        <f>VLOOKUP(B134,'Detailed Update'!B:T,19,FALSE)</f>
        <v>46676</v>
      </c>
      <c r="X134" s="11" t="str">
        <f>VLOOKUP(B134,'Detailed Update'!B:U,20,FALSE)</f>
        <v>1) Delay in GAFM for Insulator. 
2) Delay in GAFM for Hardware Fittings.
3) Delay in Soil investigation and Foundation work Design.</v>
      </c>
    </row>
    <row r="135" spans="1:24" ht="27.6" customHeight="1">
      <c r="A135" s="7">
        <v>103</v>
      </c>
      <c r="B135" s="29" t="s">
        <v>201</v>
      </c>
      <c r="C135" s="20" t="str">
        <f>VLOOKUP(B135,'Detailed Update'!B:C,2,FALSE)</f>
        <v xml:space="preserve">CONSTRUCTION OF A NEW SUBSTATION KHR-1 380/110 KV BSP &amp; EXP OF EXISTING MHR BSP UNDER
RENEWABLE ENERGY </v>
      </c>
      <c r="D135" s="13" t="str">
        <f>VLOOKUP(B135,'Updated Progress % + TCC'!B:D,3,FALSE)</f>
        <v>Ahmed Abdel Hady Sayed</v>
      </c>
      <c r="E135" s="7" t="str">
        <f>VLOOKUP(B135,'Updated Progress % + TCC'!B:J,9,FALSE)</f>
        <v>Western</v>
      </c>
      <c r="F135" s="13" t="str">
        <f t="shared" si="9"/>
        <v>Yes</v>
      </c>
      <c r="G135" s="13"/>
      <c r="H135" s="13"/>
      <c r="I135" s="13"/>
      <c r="J135" s="13"/>
      <c r="K135" s="14">
        <f>VLOOKUP(B135,'Detailed Update'!B:D,3,FALSE)</f>
        <v>45959</v>
      </c>
      <c r="L135" s="18">
        <f>VLOOKUP(B135,'Detailed Update'!B:I,4,FALSE)</f>
        <v>0.2581</v>
      </c>
      <c r="M135" s="18">
        <f>VLOOKUP(B135,'Detailed Update'!B:I,5,FALSE)</f>
        <v>0.25829999999999997</v>
      </c>
      <c r="N135" s="18">
        <f t="shared" si="10"/>
        <v>1.9999999999997797E-4</v>
      </c>
      <c r="O135" s="7" t="str">
        <f>VLOOKUP(B135,'Detailed Update'!B:I,6,FALSE)</f>
        <v xml:space="preserve">SEC </v>
      </c>
      <c r="P135" s="7" t="str">
        <f>VLOOKUP(B135,'Detailed Update'!B:I,8,FALSE)</f>
        <v>Taif</v>
      </c>
      <c r="Q135" s="17" t="s">
        <v>53</v>
      </c>
      <c r="R135" s="10">
        <f>VLOOKUP(B135,'Detailed Update'!B:T,11,FALSE)</f>
        <v>46597</v>
      </c>
      <c r="S135" s="10">
        <f>VLOOKUP(B135,'Detailed Update'!B:T,12,FALSE)</f>
        <v>46597</v>
      </c>
      <c r="T135" s="9">
        <f>VLOOKUP(B135,'Detailed Update'!B:T,13,FALSE)</f>
        <v>46597</v>
      </c>
      <c r="U135" s="9">
        <f>VLOOKUP(B135,'Detailed Update'!B:T,17,FALSE)</f>
        <v>46750</v>
      </c>
      <c r="V135" s="9">
        <f>VLOOKUP(B135,'Detailed Update'!B:S,18,FALSE)</f>
        <v>46750</v>
      </c>
      <c r="W135" s="9">
        <f>VLOOKUP(B135,'Detailed Update'!B:T,19,FALSE)</f>
        <v>46750</v>
      </c>
      <c r="X135" s="11" t="str">
        <f>VLOOKUP(B135,'Detailed Update'!B:U,20,FALSE)</f>
        <v>1) P.O issued for GIS in expansion scope to Hitachi,BD modified after site visit and proposal of reactor location and GIB routing under review
2) Reactors BD with tbea, trench china Bushing under sec review waiting confirmation of delivery date
3) Substructure 110kv building-2  not yet approved.  
4) NGR P.O issuance pending due toNGR study</v>
      </c>
    </row>
    <row r="136" spans="1:24" ht="27.6" customHeight="1">
      <c r="A136" s="7">
        <v>104</v>
      </c>
      <c r="B136" s="29" t="s">
        <v>202</v>
      </c>
      <c r="C136" s="20" t="str">
        <f>VLOOKUP(B136,'Detailed Update'!B:C,2,FALSE)</f>
        <v>CONSTRUCTION OF A NEW SUBSTATION KHR-2 380/110 KV BSP UNDER RENEWABLE ENERGY POWER PLANT (WOA)</v>
      </c>
      <c r="D136" s="13" t="str">
        <f>VLOOKUP(B136,'Updated Progress % + TCC'!B:D,3,FALSE)</f>
        <v>Hossam Amin</v>
      </c>
      <c r="E136" s="7" t="str">
        <f>VLOOKUP(B136,'Updated Progress % + TCC'!B:J,9,FALSE)</f>
        <v>Western</v>
      </c>
      <c r="F136" s="13" t="str">
        <f t="shared" si="9"/>
        <v>Yes</v>
      </c>
      <c r="G136" s="13"/>
      <c r="H136" s="13"/>
      <c r="I136" s="13"/>
      <c r="J136" s="13"/>
      <c r="K136" s="14">
        <f>VLOOKUP(B136,'Detailed Update'!B:D,3,FALSE)</f>
        <v>45959</v>
      </c>
      <c r="L136" s="18">
        <f>VLOOKUP(B136,'Detailed Update'!B:I,4,FALSE)</f>
        <v>0.25850000000000001</v>
      </c>
      <c r="M136" s="18">
        <f>VLOOKUP(B136,'Detailed Update'!B:I,5,FALSE)</f>
        <v>0.255</v>
      </c>
      <c r="N136" s="18">
        <f t="shared" si="10"/>
        <v>-3.5000000000000031E-3</v>
      </c>
      <c r="O136" s="7" t="str">
        <f>VLOOKUP(B136,'Detailed Update'!B:I,6,FALSE)</f>
        <v xml:space="preserve">SEC </v>
      </c>
      <c r="P136" s="7" t="str">
        <f>VLOOKUP(B136,'Detailed Update'!B:I,8,FALSE)</f>
        <v>Taif</v>
      </c>
      <c r="Q136" s="17" t="s">
        <v>53</v>
      </c>
      <c r="R136" s="10">
        <f>VLOOKUP(B136,'Detailed Update'!B:T,11,FALSE)</f>
        <v>46597</v>
      </c>
      <c r="S136" s="10">
        <f>VLOOKUP(B136,'Detailed Update'!B:T,12,FALSE)</f>
        <v>46597</v>
      </c>
      <c r="T136" s="9">
        <f>VLOOKUP(B136,'Detailed Update'!B:T,13,FALSE)</f>
        <v>46597</v>
      </c>
      <c r="U136" s="9">
        <f>VLOOKUP(B136,'Detailed Update'!B:T,17,FALSE)</f>
        <v>46750</v>
      </c>
      <c r="V136" s="9">
        <f>VLOOKUP(B136,'Detailed Update'!B:S,18,FALSE)</f>
        <v>46750</v>
      </c>
      <c r="W136" s="9">
        <f>VLOOKUP(B136,'Detailed Update'!B:T,19,FALSE)</f>
        <v>46750</v>
      </c>
      <c r="X136" s="11" t="str">
        <f>VLOOKUP(B136,'Detailed Update'!B:U,20,FALSE)</f>
        <v>1) Reactors BD with tbea, TEBA as unified desing with SEC, but now changed the BD format it will take one month to modify, it will impact GAFM issues and delivery - TBEA confirmed to deliver equipment within time limit of PO issued.
2) Control Room Building Slab completed</v>
      </c>
    </row>
    <row r="137" spans="1:24" ht="27.6" customHeight="1">
      <c r="A137" s="7">
        <v>105</v>
      </c>
      <c r="B137" s="29" t="s">
        <v>203</v>
      </c>
      <c r="C137" s="20" t="str">
        <f>VLOOKUP(B137,'Detailed Update'!B:C,2,FALSE)</f>
        <v>AL JAMOOM 110/33/13.8KV SUBSTATION (Te3830)</v>
      </c>
      <c r="D137" s="13" t="str">
        <f>VLOOKUP(B137,'Updated Progress % + TCC'!B:D,3,FALSE)</f>
        <v xml:space="preserve">Bander Khalid Al Qalah </v>
      </c>
      <c r="E137" s="7" t="str">
        <f>VLOOKUP(B137,'Updated Progress % + TCC'!B:J,9,FALSE)</f>
        <v>Western</v>
      </c>
      <c r="F137" s="13" t="str">
        <f t="shared" si="9"/>
        <v>Yes</v>
      </c>
      <c r="G137" s="13"/>
      <c r="H137" s="13"/>
      <c r="I137" s="13"/>
      <c r="J137" s="13"/>
      <c r="K137" s="14">
        <f>VLOOKUP(B137,'Detailed Update'!B:D,3,FALSE)</f>
        <v>46037</v>
      </c>
      <c r="L137" s="18">
        <f>VLOOKUP(B137,'Detailed Update'!B:I,4,FALSE)</f>
        <v>0.02</v>
      </c>
      <c r="M137" s="18">
        <f>VLOOKUP(B137,'Detailed Update'!B:I,5,FALSE)</f>
        <v>0.01</v>
      </c>
      <c r="N137" s="18">
        <f t="shared" ref="N137" si="11">M137-L137</f>
        <v>-0.01</v>
      </c>
      <c r="O137" s="7" t="str">
        <f>VLOOKUP(B137,'Detailed Update'!B:I,6,FALSE)</f>
        <v xml:space="preserve">SEC </v>
      </c>
      <c r="P137" s="7" t="str">
        <f>VLOOKUP(B137,'Detailed Update'!B:I,8,FALSE)</f>
        <v>Makkah</v>
      </c>
      <c r="Q137" s="17" t="s">
        <v>53</v>
      </c>
      <c r="R137" s="10">
        <f>VLOOKUP(B137,'Detailed Update'!B:T,11,FALSE)</f>
        <v>46583</v>
      </c>
      <c r="S137" s="10">
        <f>VLOOKUP(B137,'Detailed Update'!B:T,12,FALSE)</f>
        <v>46583</v>
      </c>
      <c r="T137" s="9">
        <f>VLOOKUP(B137,'Detailed Update'!B:T,13,FALSE)</f>
        <v>46736</v>
      </c>
      <c r="U137" s="9">
        <f>VLOOKUP(B137,'Detailed Update'!B:T,17,FALSE)</f>
        <v>46736</v>
      </c>
      <c r="V137" s="9">
        <f>VLOOKUP(B137,'Detailed Update'!B:S,18,FALSE)</f>
        <v>46736</v>
      </c>
      <c r="W137" s="9">
        <f>VLOOKUP(B137,'Detailed Update'!B:T,19,FALSE)</f>
        <v>46889</v>
      </c>
      <c r="X137" s="11" t="str">
        <f>VLOOKUP(B137,'Detailed Update'!B:U,20,FALSE)</f>
        <v>1) SE delayed in site hand over and still site co-ordinate not yet confirmed by SE. It will impact the design submission and site commencing works.
2) Delay in issuing BD for main equipment 
3) Delay in engineering Phase</v>
      </c>
    </row>
    <row r="138" spans="1:24" ht="27.6" customHeight="1">
      <c r="A138" s="7">
        <v>106</v>
      </c>
      <c r="B138" s="29" t="s">
        <v>204</v>
      </c>
      <c r="C138" s="20" t="str">
        <f>VLOOKUP(B138,'Detailed Update'!B:C,2,FALSE)</f>
        <v>CONSTRUCTION OF HENAKIYAH-3 PV</v>
      </c>
      <c r="D138" s="13"/>
      <c r="E138" s="7" t="str">
        <f>VLOOKUP(B138,'Updated Progress % + TCC'!B:J,9,FALSE)</f>
        <v>Western</v>
      </c>
      <c r="F138" s="13" t="str">
        <f t="shared" si="9"/>
        <v>Yes</v>
      </c>
      <c r="G138" s="13"/>
      <c r="H138" s="13"/>
      <c r="I138" s="13"/>
      <c r="J138" s="13"/>
      <c r="K138" s="14">
        <f>VLOOKUP(B138,'Detailed Update'!B:D,3,FALSE)</f>
        <v>46147</v>
      </c>
      <c r="L138" s="18">
        <f>VLOOKUP(B138,'Detailed Update'!B:I,4,FALSE)</f>
        <v>6.5199999999999994E-2</v>
      </c>
      <c r="M138" s="18">
        <f>VLOOKUP(B138,'Detailed Update'!B:I,5,FALSE)</f>
        <v>6.3399999999999998E-2</v>
      </c>
      <c r="N138" s="18">
        <f t="shared" ref="N138" si="12">M138-L138</f>
        <v>-1.799999999999996E-3</v>
      </c>
      <c r="O138" s="7" t="str">
        <f>VLOOKUP(B138,'Detailed Update'!B:I,6,FALSE)</f>
        <v xml:space="preserve">SEC </v>
      </c>
      <c r="P138" s="7" t="str">
        <f>VLOOKUP(B138,'Detailed Update'!B:I,8,FALSE)</f>
        <v>Madinah</v>
      </c>
      <c r="Q138" s="17" t="s">
        <v>53</v>
      </c>
      <c r="R138" s="10">
        <f>VLOOKUP(B138,'Detailed Update'!B:T,11,FALSE)</f>
        <v>46878</v>
      </c>
      <c r="S138" s="10">
        <f>VLOOKUP(B138,'Detailed Update'!B:T,12,FALSE)</f>
        <v>46878</v>
      </c>
      <c r="T138" s="9">
        <f>VLOOKUP(B138,'Detailed Update'!B:T,13,FALSE)</f>
        <v>46878</v>
      </c>
      <c r="U138" s="9">
        <f>VLOOKUP(B138,'Detailed Update'!B:T,17,FALSE)</f>
        <v>47031</v>
      </c>
      <c r="V138" s="9">
        <f>VLOOKUP(B138,'Detailed Update'!B:S,18,FALSE)</f>
        <v>47031</v>
      </c>
      <c r="W138" s="9">
        <f>VLOOKUP(B138,'Detailed Update'!B:T,19,FALSE)</f>
        <v>47031</v>
      </c>
      <c r="X138" s="11" t="str">
        <f>VLOOKUP(B138,'Detailed Update'!B:U,20,FALSE)</f>
        <v>1)BL submitted to SE for Approval
2) GLO Approval 
3) delay in site office preparations and mobilization</v>
      </c>
    </row>
    <row r="139" spans="1:24" ht="27.6" customHeight="1">
      <c r="A139" s="4"/>
      <c r="B139" s="4"/>
      <c r="C139" s="5" t="s">
        <v>205</v>
      </c>
      <c r="D139" s="15"/>
      <c r="E139" s="15"/>
      <c r="F139" s="15"/>
      <c r="G139" s="15"/>
      <c r="H139" s="15"/>
      <c r="I139" s="15"/>
      <c r="J139" s="15"/>
      <c r="K139" s="15"/>
      <c r="L139" s="15"/>
      <c r="M139" s="15"/>
      <c r="N139" s="15"/>
      <c r="O139" s="15"/>
      <c r="P139" s="4"/>
      <c r="Q139" s="34"/>
      <c r="R139" s="6"/>
      <c r="S139" s="6"/>
      <c r="T139" s="12"/>
      <c r="U139" s="12"/>
      <c r="V139" s="12"/>
      <c r="W139" s="12"/>
      <c r="X139" s="187"/>
    </row>
    <row r="140" spans="1:24" ht="27.6" customHeight="1">
      <c r="A140" s="7">
        <v>107</v>
      </c>
      <c r="B140" s="7" t="s">
        <v>206</v>
      </c>
      <c r="C140" s="20" t="str">
        <f>VLOOKUP(B140,'Detailed Update'!B:C,2,FALSE)</f>
        <v>2X25 MVAR 33KV STATCOM</v>
      </c>
      <c r="D140" s="13" t="str">
        <f>VLOOKUP(B140,'Updated Progress % + TCC'!B:D,3,FALSE)</f>
        <v>Ahmed Hussein</v>
      </c>
      <c r="E140" s="7" t="str">
        <f>VLOOKUP(B140,'Updated Progress % + TCC'!B:J,9,FALSE)</f>
        <v>Southern</v>
      </c>
      <c r="F140" s="13" t="str">
        <f t="shared" ref="F140:F207" si="13">IF(M140&gt;70.01%,"No","Yes")</f>
        <v>No</v>
      </c>
      <c r="G140" s="13" t="s">
        <v>25</v>
      </c>
      <c r="H140" s="13" t="s">
        <v>25</v>
      </c>
      <c r="I140" s="13" t="s">
        <v>25</v>
      </c>
      <c r="J140" s="13"/>
      <c r="K140" s="14">
        <f>VLOOKUP(B140,'Detailed Update'!B:D,3,FALSE)</f>
        <v>45323</v>
      </c>
      <c r="L140" s="18">
        <f>VLOOKUP(B140,'Detailed Update'!B:I,4,FALSE)</f>
        <v>1</v>
      </c>
      <c r="M140" s="18">
        <f>VLOOKUP(B140,'Detailed Update'!B:I,5,FALSE)</f>
        <v>0.99790000000000001</v>
      </c>
      <c r="N140" s="18">
        <f t="shared" ref="N140:N170" si="14">M140-L140</f>
        <v>-2.0999999999999908E-3</v>
      </c>
      <c r="O140" s="7" t="str">
        <f>VLOOKUP(B140,'Detailed Update'!B:I,6,FALSE)</f>
        <v xml:space="preserve">SEC </v>
      </c>
      <c r="P140" s="7" t="str">
        <f>VLOOKUP(B140,'Detailed Update'!B:I,8,FALSE)</f>
        <v>Al Baha</v>
      </c>
      <c r="Q140" s="17" t="s">
        <v>33</v>
      </c>
      <c r="R140" s="10">
        <f>VLOOKUP(B140,'Detailed Update'!B:T,11,FALSE)</f>
        <v>45931</v>
      </c>
      <c r="S140" s="10">
        <f>VLOOKUP(B140,'Detailed Update'!B:T,12,FALSE)</f>
        <v>45931</v>
      </c>
      <c r="T140" s="9">
        <f>VLOOKUP(B140,'Detailed Update'!B:T,13,FALSE)</f>
        <v>46051</v>
      </c>
      <c r="U140" s="9">
        <f>VLOOKUP(B140,'Detailed Update'!B:T,17,FALSE)</f>
        <v>45717</v>
      </c>
      <c r="V140" s="9">
        <f>VLOOKUP(B140,'Detailed Update'!B:S,18,FALSE)</f>
        <v>46082</v>
      </c>
      <c r="W140" s="9">
        <f>VLOOKUP(B140,'Detailed Update'!B:T,19,FALSE)</f>
        <v>46234</v>
      </c>
      <c r="X140" s="11" t="str">
        <f>VLOOKUP(B140,'Detailed Update'!B:U,20,FALSE)</f>
        <v>TCC Certificate Received, working on Punch list &amp; As-Buildt ongoing</v>
      </c>
    </row>
    <row r="141" spans="1:24" ht="27.6" customHeight="1">
      <c r="A141" s="7">
        <v>108</v>
      </c>
      <c r="B141" s="7" t="s">
        <v>207</v>
      </c>
      <c r="C141" s="20" t="str">
        <f>VLOOKUP(B141,'Detailed Update'!B:C,2,FALSE)</f>
        <v>Al-Kara 132/33 kV SS in Baha Region</v>
      </c>
      <c r="D141" s="13" t="str">
        <f>VLOOKUP(B141,'Updated Progress % + TCC'!B:D,3,FALSE)</f>
        <v>Ahmed Hussein</v>
      </c>
      <c r="E141" s="7" t="str">
        <f>VLOOKUP(B141,'Updated Progress % + TCC'!B:J,9,FALSE)</f>
        <v>Southern</v>
      </c>
      <c r="F141" s="13" t="str">
        <f t="shared" si="13"/>
        <v>No</v>
      </c>
      <c r="G141" s="13" t="s">
        <v>25</v>
      </c>
      <c r="H141" s="13" t="s">
        <v>25</v>
      </c>
      <c r="I141" s="13" t="s">
        <v>25</v>
      </c>
      <c r="J141" s="13"/>
      <c r="K141" s="14">
        <f>VLOOKUP(B141,'Detailed Update'!B:D,3,FALSE)</f>
        <v>45242</v>
      </c>
      <c r="L141" s="18">
        <f>VLOOKUP(B141,'Detailed Update'!B:I,4,FALSE)</f>
        <v>1</v>
      </c>
      <c r="M141" s="18">
        <f>VLOOKUP(B141,'Detailed Update'!B:I,5,FALSE)</f>
        <v>0.9657</v>
      </c>
      <c r="N141" s="18">
        <f t="shared" si="14"/>
        <v>-3.4299999999999997E-2</v>
      </c>
      <c r="O141" s="7" t="str">
        <f>VLOOKUP(B141,'Detailed Update'!B:I,6,FALSE)</f>
        <v xml:space="preserve">SEC </v>
      </c>
      <c r="P141" s="7" t="str">
        <f>VLOOKUP(B141,'Detailed Update'!B:I,8,FALSE)</f>
        <v>Al Baha</v>
      </c>
      <c r="Q141" s="17" t="s">
        <v>33</v>
      </c>
      <c r="R141" s="10">
        <f>VLOOKUP(B141,'Detailed Update'!B:T,11,FALSE)</f>
        <v>45850</v>
      </c>
      <c r="S141" s="10">
        <f>VLOOKUP(B141,'Detailed Update'!B:T,12,FALSE)</f>
        <v>45850</v>
      </c>
      <c r="T141" s="9">
        <f>VLOOKUP(B141,'Detailed Update'!B:T,13,FALSE)</f>
        <v>46265</v>
      </c>
      <c r="U141" s="9">
        <f>VLOOKUP(B141,'Detailed Update'!B:T,17,FALSE)</f>
        <v>46003</v>
      </c>
      <c r="V141" s="9">
        <f>VLOOKUP(B141,'Detailed Update'!B:S,18,FALSE)</f>
        <v>46230</v>
      </c>
      <c r="W141" s="9">
        <f>VLOOKUP(B141,'Detailed Update'!B:T,19,FALSE)</f>
        <v>46415</v>
      </c>
      <c r="X141" s="11" t="s">
        <v>208</v>
      </c>
    </row>
    <row r="142" spans="1:24" ht="27.6" customHeight="1">
      <c r="A142" s="7">
        <v>109</v>
      </c>
      <c r="B142" s="7" t="s">
        <v>209</v>
      </c>
      <c r="C142" s="20" t="str">
        <f>VLOOKUP(B142,'Detailed Update'!B:C,2,FALSE)</f>
        <v>Qilwah North 132-33kV SS in Tihama</v>
      </c>
      <c r="D142" s="13" t="str">
        <f>VLOOKUP(B142,'Updated Progress % + TCC'!B:D,3,FALSE)</f>
        <v>Khawaja Fayyaz</v>
      </c>
      <c r="E142" s="7" t="str">
        <f>VLOOKUP(B142,'Updated Progress % + TCC'!B:J,9,FALSE)</f>
        <v>Southern</v>
      </c>
      <c r="F142" s="13" t="str">
        <f t="shared" si="13"/>
        <v>No</v>
      </c>
      <c r="G142" s="13" t="s">
        <v>25</v>
      </c>
      <c r="H142" s="13" t="s">
        <v>25</v>
      </c>
      <c r="I142" s="13" t="s">
        <v>25</v>
      </c>
      <c r="J142" s="13"/>
      <c r="K142" s="14">
        <f>VLOOKUP(B142,'Detailed Update'!B:D,3,FALSE)</f>
        <v>45242</v>
      </c>
      <c r="L142" s="18">
        <f>VLOOKUP(B142,'Detailed Update'!B:I,4,FALSE)</f>
        <v>1</v>
      </c>
      <c r="M142" s="18">
        <f>VLOOKUP(B142,'Detailed Update'!B:I,5,FALSE)</f>
        <v>0.96279999999999999</v>
      </c>
      <c r="N142" s="18">
        <f t="shared" si="14"/>
        <v>-3.7200000000000011E-2</v>
      </c>
      <c r="O142" s="7" t="str">
        <f>VLOOKUP(B142,'Detailed Update'!B:I,6,FALSE)</f>
        <v xml:space="preserve">SEC </v>
      </c>
      <c r="P142" s="7" t="str">
        <f>VLOOKUP(B142,'Detailed Update'!B:I,8,FALSE)</f>
        <v>Al Baha</v>
      </c>
      <c r="Q142" s="17" t="s">
        <v>33</v>
      </c>
      <c r="R142" s="10">
        <f>VLOOKUP(B142,'Detailed Update'!B:T,11,FALSE)</f>
        <v>45850</v>
      </c>
      <c r="S142" s="10">
        <f>VLOOKUP(B142,'Detailed Update'!B:T,12,FALSE)</f>
        <v>46093</v>
      </c>
      <c r="T142" s="9">
        <f>VLOOKUP(B142,'Detailed Update'!B:T,13,FALSE)</f>
        <v>46093</v>
      </c>
      <c r="U142" s="9">
        <f>VLOOKUP(B142,'Detailed Update'!B:T,17,FALSE)</f>
        <v>46003</v>
      </c>
      <c r="V142" s="9">
        <f>VLOOKUP(B142,'Detailed Update'!B:S,18,FALSE)</f>
        <v>46246</v>
      </c>
      <c r="W142" s="9">
        <f>VLOOKUP(B142,'Detailed Update'!B:T,19,FALSE)</f>
        <v>46324</v>
      </c>
      <c r="X142" s="11" t="str">
        <f>VLOOKUP(B142,'Detailed Update'!B:U,20,FALSE)</f>
        <v>Delayed in Delivery of GIS,Power Transformer,SIS,SAS, SWGR. Delayed in T&amp;C part where Remote end provision is yet to provided by Client, T&amp;C almost done waiting for some items which require Shutdown by SE
TCC received in on 14-July with certificate date 12-March-2026</v>
      </c>
    </row>
    <row r="143" spans="1:24" ht="27.6" customHeight="1">
      <c r="A143" s="7">
        <v>110</v>
      </c>
      <c r="B143" s="7" t="s">
        <v>210</v>
      </c>
      <c r="C143" s="20" t="str">
        <f>VLOOKUP(B143,'Detailed Update'!B:C,2,FALSE)</f>
        <v>132KV JCDPI- Jazan SS | RC</v>
      </c>
      <c r="D143" s="13" t="str">
        <f>VLOOKUP(B143,'Updated Progress % + TCC'!B:D,3,FALSE)</f>
        <v>Nadim Shaikh</v>
      </c>
      <c r="E143" s="7" t="str">
        <f>VLOOKUP(B143,'Updated Progress % + TCC'!B:J,9,FALSE)</f>
        <v>Southern</v>
      </c>
      <c r="F143" s="13" t="str">
        <f t="shared" si="13"/>
        <v>No</v>
      </c>
      <c r="G143" s="13" t="s">
        <v>25</v>
      </c>
      <c r="H143" s="13" t="s">
        <v>25</v>
      </c>
      <c r="I143" s="13" t="s">
        <v>25</v>
      </c>
      <c r="J143" s="13"/>
      <c r="K143" s="14">
        <f>VLOOKUP(B143,'Detailed Update'!B:D,3,FALSE)</f>
        <v>45433</v>
      </c>
      <c r="L143" s="18">
        <f>VLOOKUP(B143,'Detailed Update'!B:I,4,FALSE)</f>
        <v>0.99719999999999998</v>
      </c>
      <c r="M143" s="18">
        <f>VLOOKUP(B143,'Detailed Update'!B:I,5,FALSE)</f>
        <v>0.97850000000000004</v>
      </c>
      <c r="N143" s="18">
        <f t="shared" si="14"/>
        <v>-1.8699999999999939E-2</v>
      </c>
      <c r="O143" s="7" t="str">
        <f>VLOOKUP(B143,'Detailed Update'!B:I,6,FALSE)</f>
        <v xml:space="preserve">SEC </v>
      </c>
      <c r="P143" s="7" t="str">
        <f>VLOOKUP(B143,'Detailed Update'!B:I,8,FALSE)</f>
        <v>Jizan</v>
      </c>
      <c r="Q143" s="17" t="s">
        <v>26</v>
      </c>
      <c r="R143" s="10">
        <f>VLOOKUP(B143,'Detailed Update'!B:T,11,FALSE)</f>
        <v>46063</v>
      </c>
      <c r="S143" s="10">
        <f>VLOOKUP(B143,'Detailed Update'!B:T,12,FALSE)</f>
        <v>46282</v>
      </c>
      <c r="T143" s="9">
        <f>VLOOKUP(B143,'Detailed Update'!B:T,13,FALSE)</f>
        <v>46345</v>
      </c>
      <c r="U143" s="9">
        <f>VLOOKUP(B143,'Detailed Update'!B:T,17,FALSE)</f>
        <v>46162</v>
      </c>
      <c r="V143" s="9">
        <f>VLOOKUP(B143,'Detailed Update'!B:S,18,FALSE)</f>
        <v>46373</v>
      </c>
      <c r="W143" s="9">
        <f>VLOOKUP(B143,'Detailed Update'!B:T,19,FALSE)</f>
        <v>46450</v>
      </c>
      <c r="X143" s="11" t="str">
        <f>VLOOKUP(B143,'Detailed Update'!B:U,20,FALSE)</f>
        <v>Working now on T&amp;C and expected to be finished by Sep-26</v>
      </c>
    </row>
    <row r="144" spans="1:24" ht="27.6" customHeight="1">
      <c r="A144" s="7">
        <v>111</v>
      </c>
      <c r="B144" s="7" t="s">
        <v>211</v>
      </c>
      <c r="C144" s="20" t="str">
        <f>VLOOKUP(B144,'Detailed Update'!B:C,2,FALSE)</f>
        <v>Battery Energy Storage for BISHA</v>
      </c>
      <c r="D144" s="13" t="str">
        <f>VLOOKUP(B144,'Updated Progress % + TCC'!B:D,3,FALSE)</f>
        <v>Ahmad Abdel Hady</v>
      </c>
      <c r="E144" s="7" t="str">
        <f>VLOOKUP(B144,'Updated Progress % + TCC'!B:J,9,FALSE)</f>
        <v>Southern</v>
      </c>
      <c r="F144" s="13" t="str">
        <f t="shared" si="13"/>
        <v>No</v>
      </c>
      <c r="G144" s="13" t="s">
        <v>25</v>
      </c>
      <c r="H144" s="13" t="s">
        <v>25</v>
      </c>
      <c r="I144" s="13" t="s">
        <v>25</v>
      </c>
      <c r="J144" s="13"/>
      <c r="K144" s="14">
        <f>VLOOKUP(B144,'Detailed Update'!B:D,3,FALSE)</f>
        <v>45327</v>
      </c>
      <c r="L144" s="18">
        <f>VLOOKUP(B144,'Detailed Update'!B:I,4,FALSE)</f>
        <v>1</v>
      </c>
      <c r="M144" s="18">
        <f>VLOOKUP(B144,'Detailed Update'!B:I,5,FALSE)</f>
        <v>0.99960000000000004</v>
      </c>
      <c r="N144" s="18">
        <f t="shared" si="14"/>
        <v>-3.9999999999995595E-4</v>
      </c>
      <c r="O144" s="7" t="str">
        <f>VLOOKUP(B144,'Detailed Update'!B:I,6,FALSE)</f>
        <v xml:space="preserve">SEC </v>
      </c>
      <c r="P144" s="7" t="str">
        <f>VLOOKUP(B144,'Detailed Update'!B:I,8,FALSE)</f>
        <v>Al Baha</v>
      </c>
      <c r="Q144" s="17" t="s">
        <v>53</v>
      </c>
      <c r="R144" s="10">
        <f>VLOOKUP(B144,'Detailed Update'!B:T,11,FALSE)</f>
        <v>45662</v>
      </c>
      <c r="S144" s="10">
        <f>VLOOKUP(B144,'Detailed Update'!B:T,12,FALSE)</f>
        <v>45662</v>
      </c>
      <c r="T144" s="9">
        <f>VLOOKUP(B144,'Detailed Update'!B:T,13,FALSE)</f>
        <v>45698</v>
      </c>
      <c r="U144" s="9">
        <f>VLOOKUP(B144,'Detailed Update'!B:T,17,FALSE)</f>
        <v>45813</v>
      </c>
      <c r="V144" s="9">
        <f>VLOOKUP(B144,'Detailed Update'!B:S,18,FALSE)</f>
        <v>45813</v>
      </c>
      <c r="W144" s="9">
        <f>VLOOKUP(B144,'Detailed Update'!B:T,19,FALSE)</f>
        <v>46310</v>
      </c>
      <c r="X144" s="11" t="str">
        <f>VLOOKUP(B144,'Detailed Update'!B:U,20,FALSE)</f>
        <v>SEC Reject descoping spare part scope</v>
      </c>
    </row>
    <row r="145" spans="1:24" ht="27.6" customHeight="1">
      <c r="A145" s="7">
        <v>112</v>
      </c>
      <c r="B145" s="7" t="s">
        <v>212</v>
      </c>
      <c r="C145" s="20" t="str">
        <f>VLOOKUP(B145,'Detailed Update'!B:C,2,FALSE)</f>
        <v>New Samtah-PV 380/132kV BSP &amp; OHTL</v>
      </c>
      <c r="D145" s="13" t="str">
        <f>VLOOKUP(B145,'Updated Progress % + TCC'!B:D,3,FALSE)</f>
        <v>Amr Sennara</v>
      </c>
      <c r="E145" s="7" t="str">
        <f>VLOOKUP(B145,'Updated Progress % + TCC'!B:J,9,FALSE)</f>
        <v>Southern</v>
      </c>
      <c r="F145" s="13" t="str">
        <f t="shared" si="13"/>
        <v>No</v>
      </c>
      <c r="G145" s="13" t="s">
        <v>25</v>
      </c>
      <c r="H145" s="13" t="s">
        <v>25</v>
      </c>
      <c r="I145" s="13"/>
      <c r="J145" s="13"/>
      <c r="K145" s="14">
        <f>VLOOKUP(B145,'Detailed Update'!B:D,3,FALSE)</f>
        <v>45567</v>
      </c>
      <c r="L145" s="18">
        <f>VLOOKUP(B145,'Detailed Update'!B:I,4,FALSE)</f>
        <v>0.99829999999999997</v>
      </c>
      <c r="M145" s="18">
        <f>VLOOKUP(B145,'Detailed Update'!B:I,5,FALSE)</f>
        <v>0.88070000000000004</v>
      </c>
      <c r="N145" s="18">
        <f t="shared" si="14"/>
        <v>-0.11759999999999993</v>
      </c>
      <c r="O145" s="7" t="str">
        <f>VLOOKUP(B145,'Detailed Update'!B:I,6,FALSE)</f>
        <v xml:space="preserve">SEC </v>
      </c>
      <c r="P145" s="7" t="str">
        <f>VLOOKUP(B145,'Detailed Update'!B:I,8,FALSE)</f>
        <v>Jizan</v>
      </c>
      <c r="Q145" s="17" t="s">
        <v>53</v>
      </c>
      <c r="R145" s="10">
        <f>VLOOKUP(B145,'Detailed Update'!B:T,11,FALSE)</f>
        <v>46144</v>
      </c>
      <c r="S145" s="10">
        <f>VLOOKUP(B145,'Detailed Update'!B:T,12,FALSE)</f>
        <v>46144</v>
      </c>
      <c r="T145" s="9">
        <f>VLOOKUP(B145,'Detailed Update'!B:T,13,FALSE)</f>
        <v>46323</v>
      </c>
      <c r="U145" s="9">
        <f>VLOOKUP(B145,'Detailed Update'!B:T,17,FALSE)</f>
        <v>46297</v>
      </c>
      <c r="V145" s="9">
        <f>VLOOKUP(B145,'Detailed Update'!B:S,18,FALSE)</f>
        <v>46297</v>
      </c>
      <c r="W145" s="9">
        <f>VLOOKUP(B145,'Detailed Update'!B:T,19,FALSE)</f>
        <v>46473</v>
      </c>
      <c r="X145" s="11" t="str">
        <f>VLOOKUP(B145,'Detailed Update'!B:U,20,FALSE)</f>
        <v xml:space="preserve">Delay OHTL Road Crossing special towers approval ,Delay in lapp insulator FAT  , Delay in SP tower procurement </v>
      </c>
    </row>
    <row r="146" spans="1:24" ht="27.6" customHeight="1">
      <c r="A146" s="7">
        <v>113</v>
      </c>
      <c r="B146" s="7" t="s">
        <v>213</v>
      </c>
      <c r="C146" s="20" t="str">
        <f>VLOOKUP(B146,'Detailed Update'!B:C,2,FALSE)</f>
        <v xml:space="preserve">New Dhahyah 380/132/13.8KV BSP </v>
      </c>
      <c r="D146" s="13" t="str">
        <f>VLOOKUP(B146,'Updated Progress % + TCC'!B:D,3,FALSE)</f>
        <v>Ahmed Sadek</v>
      </c>
      <c r="E146" s="7" t="str">
        <f>VLOOKUP(B146,'Updated Progress % + TCC'!B:J,9,FALSE)</f>
        <v>Southern</v>
      </c>
      <c r="F146" s="13" t="str">
        <f t="shared" si="13"/>
        <v>No</v>
      </c>
      <c r="G146" s="13"/>
      <c r="H146" s="13"/>
      <c r="I146" s="13" t="s">
        <v>45</v>
      </c>
      <c r="J146" s="13"/>
      <c r="K146" s="14">
        <f>VLOOKUP(B146,'Detailed Update'!B:D,3,FALSE)</f>
        <v>45407</v>
      </c>
      <c r="L146" s="18">
        <f>VLOOKUP(B146,'Detailed Update'!B:I,4,FALSE)</f>
        <v>0.86780000000000002</v>
      </c>
      <c r="M146" s="18">
        <f>VLOOKUP(B146,'Detailed Update'!B:I,5,FALSE)</f>
        <v>0.89419999999999999</v>
      </c>
      <c r="N146" s="18">
        <f t="shared" si="14"/>
        <v>2.6399999999999979E-2</v>
      </c>
      <c r="O146" s="7" t="str">
        <f>VLOOKUP(B146,'Detailed Update'!B:I,6,FALSE)</f>
        <v xml:space="preserve">SEC </v>
      </c>
      <c r="P146" s="7" t="str">
        <f>VLOOKUP(B146,'Detailed Update'!B:I,8,FALSE)</f>
        <v>Jizan</v>
      </c>
      <c r="Q146" s="17" t="s">
        <v>33</v>
      </c>
      <c r="R146" s="10">
        <f>VLOOKUP(B146,'Detailed Update'!B:T,11,FALSE)</f>
        <v>46047</v>
      </c>
      <c r="S146" s="10">
        <f>VLOOKUP(B146,'Detailed Update'!B:T,12,FALSE)</f>
        <v>46380</v>
      </c>
      <c r="T146" s="9">
        <f>VLOOKUP(B146,'Detailed Update'!B:T,13,FALSE)</f>
        <v>46325</v>
      </c>
      <c r="U146" s="9">
        <f>VLOOKUP(B146,'Detailed Update'!B:T,17,FALSE)</f>
        <v>46198</v>
      </c>
      <c r="V146" s="9">
        <f>VLOOKUP(B146,'Detailed Update'!B:S,18,FALSE)</f>
        <v>46532</v>
      </c>
      <c r="W146" s="9">
        <f>VLOOKUP(B146,'Detailed Update'!B:T,19,FALSE)</f>
        <v>46476</v>
      </c>
      <c r="X146" s="11" t="str">
        <f>VLOOKUP(B146,'Detailed Update'!B:U,20,FALSE)</f>
        <v>Delay in delivery of main materials 132KV GIS, 132 Power transformers and CTs (all delivered on May-26), working on internal crashed plan to energize by end of Oct-2026</v>
      </c>
    </row>
    <row r="147" spans="1:24" ht="27.6" customHeight="1">
      <c r="A147" s="7">
        <v>114</v>
      </c>
      <c r="B147" s="13" t="s">
        <v>214</v>
      </c>
      <c r="C147" s="20" t="str">
        <f>VLOOKUP(B147,'Detailed Update'!B:C,2,FALSE)</f>
        <v>Aqabah (PS-AQB) 380/132/13.8KV</v>
      </c>
      <c r="D147" s="13" t="str">
        <f>VLOOKUP(B147,'Updated Progress % + TCC'!B:D,3,FALSE)</f>
        <v>ON HOLD</v>
      </c>
      <c r="E147" s="7" t="str">
        <f>VLOOKUP(B147,'Updated Progress % + TCC'!B:J,9,FALSE)</f>
        <v>Southern</v>
      </c>
      <c r="F147" s="13" t="str">
        <f t="shared" si="13"/>
        <v>Yes</v>
      </c>
      <c r="G147" s="13" t="s">
        <v>215</v>
      </c>
      <c r="H147" s="13"/>
      <c r="I147" s="13"/>
      <c r="J147" s="13"/>
      <c r="K147" s="14">
        <f>VLOOKUP(B147,'Detailed Update'!B:D,3,FALSE)</f>
        <v>45722</v>
      </c>
      <c r="L147" s="18" t="str">
        <f>VLOOKUP(B147,'Detailed Update'!B:I,4,FALSE)</f>
        <v>On Hold</v>
      </c>
      <c r="M147" s="18">
        <f>VLOOKUP(B147,'Detailed Update'!B:I,5,FALSE)</f>
        <v>0</v>
      </c>
      <c r="N147" s="18" t="e">
        <f t="shared" si="14"/>
        <v>#VALUE!</v>
      </c>
      <c r="O147" s="7" t="str">
        <f>VLOOKUP(B147,'Detailed Update'!B:I,6,FALSE)</f>
        <v xml:space="preserve">SEC </v>
      </c>
      <c r="P147" s="7" t="str">
        <f>VLOOKUP(B147,'Detailed Update'!B:I,8,FALSE)</f>
        <v>Abha</v>
      </c>
      <c r="Q147" s="17" t="s">
        <v>53</v>
      </c>
      <c r="R147" s="10" t="str">
        <f>VLOOKUP(B147,'Detailed Update'!B:T,11,FALSE)</f>
        <v>Contract Not Signed (2Y From Signing Contract)</v>
      </c>
      <c r="S147" s="10">
        <f>VLOOKUP(B147,'Detailed Update'!B:T,12,FALSE)</f>
        <v>0</v>
      </c>
      <c r="T147" s="9">
        <f>VLOOKUP(B147,'Detailed Update'!B:T,13,FALSE)</f>
        <v>0</v>
      </c>
      <c r="U147" s="9">
        <f>VLOOKUP(B147,'Detailed Update'!B:T,17,FALSE)</f>
        <v>0</v>
      </c>
      <c r="V147" s="9">
        <f>VLOOKUP(B147,'Detailed Update'!B:S,18,FALSE)</f>
        <v>0</v>
      </c>
      <c r="W147" s="9">
        <f>VLOOKUP(B147,'Detailed Update'!B:T,19,FALSE)</f>
        <v>0</v>
      </c>
      <c r="X147" s="11" t="str">
        <f>VLOOKUP(B147,'Detailed Update'!B:U,20,FALSE)</f>
        <v>-</v>
      </c>
    </row>
    <row r="148" spans="1:24" ht="27.6" customHeight="1">
      <c r="A148" s="7">
        <v>115</v>
      </c>
      <c r="B148" s="13" t="s">
        <v>216</v>
      </c>
      <c r="C148" s="20" t="str">
        <f>VLOOKUP(B148,'Detailed Update'!B:C,2,FALSE)</f>
        <v>Construction of New SS for Darb-PV</v>
      </c>
      <c r="D148" s="13" t="str">
        <f>VLOOKUP(B148,'Updated Progress % + TCC'!B:D,3,FALSE)</f>
        <v>Musab Ismail</v>
      </c>
      <c r="E148" s="7" t="str">
        <f>VLOOKUP(B148,'Updated Progress % + TCC'!B:J,9,FALSE)</f>
        <v>Southern</v>
      </c>
      <c r="F148" s="13" t="s">
        <v>45</v>
      </c>
      <c r="G148" s="13" t="s">
        <v>45</v>
      </c>
      <c r="H148" s="13" t="s">
        <v>25</v>
      </c>
      <c r="I148" s="13"/>
      <c r="J148" s="13"/>
      <c r="K148" s="14">
        <f>VLOOKUP(B148,'Detailed Update'!B:D,3,FALSE)</f>
        <v>45567</v>
      </c>
      <c r="L148" s="18">
        <f>VLOOKUP(B148,'Detailed Update'!B:I,4,FALSE)</f>
        <v>0.99968999999999997</v>
      </c>
      <c r="M148" s="18">
        <f>VLOOKUP(B148,'Detailed Update'!B:I,5,FALSE)</f>
        <v>0.85299999999999998</v>
      </c>
      <c r="N148" s="18">
        <f t="shared" si="14"/>
        <v>-0.14668999999999999</v>
      </c>
      <c r="O148" s="7" t="str">
        <f>VLOOKUP(B148,'Detailed Update'!B:I,6,FALSE)</f>
        <v xml:space="preserve">SEC </v>
      </c>
      <c r="P148" s="7" t="str">
        <f>VLOOKUP(B148,'Detailed Update'!B:I,8,FALSE)</f>
        <v>Abha</v>
      </c>
      <c r="Q148" s="17" t="s">
        <v>53</v>
      </c>
      <c r="R148" s="10">
        <f>VLOOKUP(B148,'Detailed Update'!B:T,11,FALSE)</f>
        <v>46144</v>
      </c>
      <c r="S148" s="10">
        <f>VLOOKUP(B148,'Detailed Update'!B:T,12,FALSE)</f>
        <v>46144</v>
      </c>
      <c r="T148" s="9">
        <f>VLOOKUP(B148,'Detailed Update'!B:T,13,FALSE)</f>
        <v>46386</v>
      </c>
      <c r="U148" s="9">
        <f>VLOOKUP(B148,'Detailed Update'!B:T,17,FALSE)</f>
        <v>46297</v>
      </c>
      <c r="V148" s="9">
        <f>VLOOKUP(B148,'Detailed Update'!B:S,18,FALSE)</f>
        <v>46297</v>
      </c>
      <c r="W148" s="9">
        <f>VLOOKUP(B148,'Detailed Update'!B:T,19,FALSE)</f>
        <v>46521</v>
      </c>
      <c r="X148" s="11" t="str">
        <f>VLOOKUP(B148,'Detailed Update'!B:U,20,FALSE)</f>
        <v>Delay in OHTL change order , Delay in Civil design , Delay in AES material delivery , Delay in construction work.  after new plan for OHTL Expected TCC Date is 15-Dec-26</v>
      </c>
    </row>
    <row r="149" spans="1:24" ht="27.6" customHeight="1">
      <c r="A149" s="7">
        <v>116</v>
      </c>
      <c r="B149" s="13" t="s">
        <v>217</v>
      </c>
      <c r="C149" s="20" t="str">
        <f>VLOOKUP(B149,'Detailed Update'!B:C,2,FALSE)</f>
        <v>132KV OHTL &amp; UGC Najran</v>
      </c>
      <c r="D149" s="13" t="str">
        <f>VLOOKUP(B149,'Updated Progress % + TCC'!B:D,3,FALSE)</f>
        <v>Ayman Elattar</v>
      </c>
      <c r="E149" s="7" t="str">
        <f>VLOOKUP(B149,'Updated Progress % + TCC'!B:J,9,FALSE)</f>
        <v>Southern</v>
      </c>
      <c r="F149" s="13" t="str">
        <f t="shared" si="13"/>
        <v>No</v>
      </c>
      <c r="G149" s="13"/>
      <c r="H149" s="13"/>
      <c r="I149" s="13"/>
      <c r="J149" s="13"/>
      <c r="K149" s="14">
        <f>VLOOKUP(B149,'Detailed Update'!B:D,3,FALSE)</f>
        <v>45589</v>
      </c>
      <c r="L149" s="18">
        <f>VLOOKUP(B149,'Detailed Update'!B:I,4,FALSE)</f>
        <v>0.99990000000000001</v>
      </c>
      <c r="M149" s="18">
        <f>VLOOKUP(B149,'Detailed Update'!B:I,5,FALSE)</f>
        <v>0.75070000000000003</v>
      </c>
      <c r="N149" s="18">
        <f t="shared" si="14"/>
        <v>-0.24919999999999998</v>
      </c>
      <c r="O149" s="7" t="str">
        <f>VLOOKUP(B149,'Detailed Update'!B:I,6,FALSE)</f>
        <v xml:space="preserve">SEC </v>
      </c>
      <c r="P149" s="7" t="str">
        <f>VLOOKUP(B149,'Detailed Update'!B:I,8,FALSE)</f>
        <v>Najran</v>
      </c>
      <c r="Q149" s="17" t="s">
        <v>33</v>
      </c>
      <c r="R149" s="10">
        <f>VLOOKUP(B149,'Detailed Update'!B:T,11,FALSE)</f>
        <v>46105</v>
      </c>
      <c r="S149" s="10">
        <f>VLOOKUP(B149,'Detailed Update'!B:T,12,FALSE)</f>
        <v>46105</v>
      </c>
      <c r="T149" s="9">
        <f>VLOOKUP(B149,'Detailed Update'!B:T,13,FALSE)</f>
        <v>46385</v>
      </c>
      <c r="U149" s="9">
        <f>VLOOKUP(B149,'Detailed Update'!B:T,17,FALSE)</f>
        <v>46297</v>
      </c>
      <c r="V149" s="9">
        <f>VLOOKUP(B149,'Detailed Update'!B:S,18,FALSE)</f>
        <v>46258</v>
      </c>
      <c r="W149" s="9">
        <f>VLOOKUP(B149,'Detailed Update'!B:T,19,FALSE)</f>
        <v>46538</v>
      </c>
      <c r="X149" s="11" t="str">
        <f>VLOOKUP(B149,'Detailed Update'!B:U,20,FALSE)</f>
        <v>1. Incomplete delivery of Angle towers from SE Energya will hinder the commencement stringing works in Portion -3 (&lt;30km)
2. Transposition tower technical submittals, design engineering, needs to be expidted for submission as  PO created on 17-May-2026,  impacts material testing &amp; delivery delay
3.UG Cable Construction needs to be start as it delayed.
4. Balance 20% material follow up with SE is required to prevent the project from delay.</v>
      </c>
    </row>
    <row r="150" spans="1:24" ht="27.6" customHeight="1">
      <c r="A150" s="7">
        <v>117</v>
      </c>
      <c r="B150" s="13" t="s">
        <v>218</v>
      </c>
      <c r="C150" s="20" t="str">
        <f>VLOOKUP(B150,'Detailed Update'!B:C,2,FALSE)</f>
        <v>Const. Albaha | Add. Scope UG Cable</v>
      </c>
      <c r="D150" s="13" t="str">
        <f>VLOOKUP(B150,'Updated Progress % + TCC'!B:D,3,FALSE)</f>
        <v>Hany Kamal Elsherbini</v>
      </c>
      <c r="E150" s="7" t="str">
        <f>VLOOKUP(B150,'Updated Progress % + TCC'!B:J,9,FALSE)</f>
        <v>Southern</v>
      </c>
      <c r="F150" s="13" t="str">
        <f t="shared" si="13"/>
        <v>No</v>
      </c>
      <c r="G150" s="13" t="s">
        <v>25</v>
      </c>
      <c r="H150" s="13" t="s">
        <v>25</v>
      </c>
      <c r="I150" s="13" t="s">
        <v>25</v>
      </c>
      <c r="J150" s="13"/>
      <c r="K150" s="14">
        <f>VLOOKUP(B150,'Detailed Update'!B:D,3,FALSE)</f>
        <v>45582</v>
      </c>
      <c r="L150" s="18">
        <f>VLOOKUP(B150,'Detailed Update'!B:I,4,FALSE)</f>
        <v>1</v>
      </c>
      <c r="M150" s="18">
        <f>VLOOKUP(B150,'Detailed Update'!B:I,5,FALSE)</f>
        <v>0.96299999999999997</v>
      </c>
      <c r="N150" s="18">
        <f t="shared" si="14"/>
        <v>-3.7000000000000033E-2</v>
      </c>
      <c r="O150" s="7" t="str">
        <f>VLOOKUP(B150,'Detailed Update'!B:I,6,FALSE)</f>
        <v xml:space="preserve">SEC </v>
      </c>
      <c r="P150" s="7" t="str">
        <f>VLOOKUP(B150,'Detailed Update'!B:I,8,FALSE)</f>
        <v>Al Baha</v>
      </c>
      <c r="Q150" s="17" t="s">
        <v>26</v>
      </c>
      <c r="R150" s="10">
        <f>VLOOKUP(B150,'Detailed Update'!B:T,11,FALSE)</f>
        <v>45497</v>
      </c>
      <c r="S150" s="10">
        <f>VLOOKUP(B150,'Detailed Update'!B:T,12,FALSE)</f>
        <v>46070</v>
      </c>
      <c r="T150" s="9">
        <f>VLOOKUP(B150,'Detailed Update'!B:T,13,FALSE)</f>
        <v>45862</v>
      </c>
      <c r="U150" s="9">
        <f>VLOOKUP(B150,'Detailed Update'!B:T,17,FALSE)</f>
        <v>45620</v>
      </c>
      <c r="V150" s="9">
        <f>VLOOKUP(B150,'Detailed Update'!B:S,18,FALSE)</f>
        <v>46190</v>
      </c>
      <c r="W150" s="9">
        <f>VLOOKUP(B150,'Detailed Update'!B:T,19,FALSE)</f>
        <v>46258</v>
      </c>
      <c r="X150" s="11" t="str">
        <f>VLOOKUP(B150,'Detailed Update'!B:U,20,FALSE)</f>
        <v>Delay in removal of existing utilities &amp; blasting works for the remaining works</v>
      </c>
    </row>
    <row r="151" spans="1:24" ht="27.6" customHeight="1">
      <c r="A151" s="7">
        <v>118</v>
      </c>
      <c r="B151" s="13" t="s">
        <v>219</v>
      </c>
      <c r="C151" s="20" t="str">
        <f>VLOOKUP(B151,'Detailed Update'!B:C,2,FALSE)</f>
        <v>NEW DHAHRAN ALJANOUB-2 SS</v>
      </c>
      <c r="D151" s="13" t="str">
        <f>VLOOKUP(B151,'Updated Progress % + TCC'!B:D,3,FALSE)</f>
        <v>Mohammad Monawwar Eqbal</v>
      </c>
      <c r="E151" s="7" t="str">
        <f>VLOOKUP(B151,'Updated Progress % + TCC'!B:J,9,FALSE)</f>
        <v>Southern</v>
      </c>
      <c r="F151" s="13" t="str">
        <f t="shared" si="13"/>
        <v>No</v>
      </c>
      <c r="G151" s="13"/>
      <c r="H151" s="13"/>
      <c r="I151" s="13"/>
      <c r="J151" s="13"/>
      <c r="K151" s="14">
        <f>VLOOKUP(B151,'Detailed Update'!B:D,3,FALSE)</f>
        <v>45672</v>
      </c>
      <c r="L151" s="18">
        <f>VLOOKUP(B151,'Detailed Update'!B:I,4,FALSE)</f>
        <v>0.99250000000000005</v>
      </c>
      <c r="M151" s="18">
        <f>VLOOKUP(B151,'Detailed Update'!B:I,5,FALSE)</f>
        <v>0.70940000000000003</v>
      </c>
      <c r="N151" s="18">
        <f t="shared" si="14"/>
        <v>-0.28310000000000002</v>
      </c>
      <c r="O151" s="7" t="str">
        <f>VLOOKUP(B151,'Detailed Update'!B:I,6,FALSE)</f>
        <v xml:space="preserve">SEC </v>
      </c>
      <c r="P151" s="7" t="str">
        <f>VLOOKUP(B151,'Detailed Update'!B:I,8,FALSE)</f>
        <v>Dhahran</v>
      </c>
      <c r="Q151" s="17" t="s">
        <v>53</v>
      </c>
      <c r="R151" s="10">
        <f>VLOOKUP(B151,'Detailed Update'!B:T,11,FALSE)</f>
        <v>46218</v>
      </c>
      <c r="S151" s="10">
        <f>VLOOKUP(B151,'Detailed Update'!B:T,12,FALSE)</f>
        <v>46218</v>
      </c>
      <c r="T151" s="9">
        <f>VLOOKUP(B151,'Detailed Update'!B:T,13,FALSE)</f>
        <v>46372</v>
      </c>
      <c r="U151" s="9">
        <f>VLOOKUP(B151,'Detailed Update'!B:T,17,FALSE)</f>
        <v>46371</v>
      </c>
      <c r="V151" s="9">
        <f>VLOOKUP(B151,'Detailed Update'!B:S,18,FALSE)</f>
        <v>46371</v>
      </c>
      <c r="W151" s="9">
        <f>VLOOKUP(B151,'Detailed Update'!B:T,19,FALSE)</f>
        <v>46523</v>
      </c>
      <c r="X151" s="11" t="str">
        <f>VLOOKUP(B151,'Detailed Update'!B:U,20,FALSE)</f>
        <v>OHTL portion delayed due to change order and shutdown
Huge Delay in Delivery of Power Transformer, SAS &amp; Gantry</v>
      </c>
    </row>
    <row r="152" spans="1:24" ht="27.6" customHeight="1">
      <c r="A152" s="7">
        <v>119</v>
      </c>
      <c r="B152" s="13" t="s">
        <v>220</v>
      </c>
      <c r="C152" s="20" t="str">
        <f>VLOOKUP(B152,'Detailed Update'!B:C,2,FALSE)</f>
        <v>EXP. THE EXISTING KHM, ABHE &amp; BISHA</v>
      </c>
      <c r="D152" s="13" t="str">
        <f>VLOOKUP(B152,'Updated Progress % + TCC'!B:D,3,FALSE)</f>
        <v>Shawkat Alrjoub</v>
      </c>
      <c r="E152" s="7" t="str">
        <f>VLOOKUP(B152,'Updated Progress % + TCC'!B:J,9,FALSE)</f>
        <v>Southern</v>
      </c>
      <c r="F152" s="13" t="str">
        <f t="shared" si="13"/>
        <v>Yes</v>
      </c>
      <c r="G152" s="13" t="s">
        <v>25</v>
      </c>
      <c r="H152" s="13" t="s">
        <v>25</v>
      </c>
      <c r="I152" s="13"/>
      <c r="J152" s="13"/>
      <c r="K152" s="14">
        <f>VLOOKUP(B152,'Detailed Update'!B:D,3,FALSE)</f>
        <v>45683</v>
      </c>
      <c r="L152" s="18">
        <f>VLOOKUP(B152,'Detailed Update'!B:I,4,FALSE)</f>
        <v>0.71</v>
      </c>
      <c r="M152" s="18">
        <f>VLOOKUP(B152,'Detailed Update'!B:I,5,FALSE)</f>
        <v>0.42</v>
      </c>
      <c r="N152" s="18">
        <f t="shared" si="14"/>
        <v>-0.28999999999999998</v>
      </c>
      <c r="O152" s="7" t="str">
        <f>VLOOKUP(B152,'Detailed Update'!B:I,6,FALSE)</f>
        <v xml:space="preserve">SEC </v>
      </c>
      <c r="P152" s="7" t="str">
        <f>VLOOKUP(B152,'Detailed Update'!B:I,8,FALSE)</f>
        <v>Abha</v>
      </c>
      <c r="Q152" s="17" t="s">
        <v>53</v>
      </c>
      <c r="R152" s="10">
        <f>VLOOKUP(B152,'Detailed Update'!B:T,11,FALSE)</f>
        <v>46382</v>
      </c>
      <c r="S152" s="10">
        <f>VLOOKUP(B152,'Detailed Update'!B:T,12,FALSE)</f>
        <v>46382</v>
      </c>
      <c r="T152" s="9">
        <f>VLOOKUP(B152,'Detailed Update'!B:T,13,FALSE)</f>
        <v>46508</v>
      </c>
      <c r="U152" s="9">
        <f>VLOOKUP(B152,'Detailed Update'!B:T,17,FALSE)</f>
        <v>46533</v>
      </c>
      <c r="V152" s="9">
        <f>VLOOKUP(B152,'Detailed Update'!B:S,18,FALSE)</f>
        <v>46533</v>
      </c>
      <c r="W152" s="9">
        <f>VLOOKUP(B152,'Detailed Update'!B:T,19,FALSE)</f>
        <v>46661</v>
      </c>
      <c r="X152" s="11" t="str">
        <f>VLOOKUP(B152,'Detailed Update'!B:U,20,FALSE)</f>
        <v>For Civil works :
-Delay in Gatepasses issuance, working 5 days a week for risky civil activities.
-Low Manpower deployment from FGC (Civil Subcontractor) side
-GIS Building opennings design delay approval for bisha which delays GIS Modification works
For Electrical Installation :
-Delay delivery schedule from  Hitachi for : (Reactors in Abha -Delayed FAT for GIS in bisha as it was planned on 4-Jun-26)
-Delay fdelivery schedule from trench for (NGR - FS CT)
-Delay delivery schedule from GE for HGIS (30-Sep-26) in Khamis and delay in FAT for LCC as it was planned to be on 19-May-268 (most critical)</v>
      </c>
    </row>
    <row r="153" spans="1:24" ht="27.6" customHeight="1">
      <c r="A153" s="7">
        <v>120</v>
      </c>
      <c r="B153" s="13" t="s">
        <v>221</v>
      </c>
      <c r="C153" s="20" t="str">
        <f>VLOOKUP(B153,'Detailed Update'!B:C,2,FALSE)</f>
        <v>JIZAN OHTL | 132 KV LINE</v>
      </c>
      <c r="D153" s="13" t="str">
        <f>VLOOKUP(B153,'Updated Progress % + TCC'!B:D,3,FALSE)</f>
        <v>Amir Aboumansour</v>
      </c>
      <c r="E153" s="7" t="str">
        <f>VLOOKUP(B153,'Updated Progress % + TCC'!B:J,9,FALSE)</f>
        <v>Southern</v>
      </c>
      <c r="F153" s="13" t="str">
        <f t="shared" si="13"/>
        <v>Yes</v>
      </c>
      <c r="G153" s="13" t="s">
        <v>25</v>
      </c>
      <c r="H153" s="13"/>
      <c r="I153" s="13"/>
      <c r="J153" s="13"/>
      <c r="K153" s="14">
        <f>VLOOKUP(B153,'Detailed Update'!B:D,3,FALSE)</f>
        <v>45743</v>
      </c>
      <c r="L153" s="18">
        <f>VLOOKUP(B153,'Detailed Update'!B:I,4,FALSE)</f>
        <v>0.8992</v>
      </c>
      <c r="M153" s="18">
        <f>VLOOKUP(B153,'Detailed Update'!B:I,5,FALSE)</f>
        <v>0.40670000000000001</v>
      </c>
      <c r="N153" s="18">
        <f t="shared" si="14"/>
        <v>-0.49249999999999999</v>
      </c>
      <c r="O153" s="7" t="str">
        <f>VLOOKUP(B153,'Detailed Update'!B:I,6,FALSE)</f>
        <v>SEC</v>
      </c>
      <c r="P153" s="7" t="str">
        <f>VLOOKUP(B153,'Detailed Update'!B:I,8,FALSE)</f>
        <v>Jizan</v>
      </c>
      <c r="Q153" s="17" t="s">
        <v>53</v>
      </c>
      <c r="R153" s="10">
        <f>VLOOKUP(B153,'Detailed Update'!B:T,11,FALSE)</f>
        <v>46291</v>
      </c>
      <c r="S153" s="10">
        <f>VLOOKUP(B153,'Detailed Update'!B:T,12,FALSE)</f>
        <v>46291</v>
      </c>
      <c r="T153" s="9">
        <f>VLOOKUP(B153,'Detailed Update'!B:T,13,FALSE)</f>
        <v>46485</v>
      </c>
      <c r="U153" s="9">
        <f>VLOOKUP(B153,'Detailed Update'!B:T,17,FALSE)</f>
        <v>46444</v>
      </c>
      <c r="V153" s="9">
        <f>VLOOKUP(B153,'Detailed Update'!B:S,18,FALSE)</f>
        <v>46444</v>
      </c>
      <c r="W153" s="9">
        <f>VLOOKUP(B153,'Detailed Update'!B:T,19,FALSE)</f>
        <v>46638</v>
      </c>
      <c r="X153" s="11" t="str">
        <f>VLOOKUP(B153,'Detailed Update'!B:U,20,FALSE)</f>
        <v xml:space="preserve">1.Delay in FAT conduction for GIS with variance 5 months than planned FAT date.
2.Delay in submission &amp; approval of foundation design which is affecting start of foundation works.
3.Delay in submission &amp; approval of full plan &amp; profile.
4.Delay in access road &amp; structure pad progress. </v>
      </c>
    </row>
    <row r="154" spans="1:24" ht="27.6" customHeight="1">
      <c r="A154" s="7">
        <v>121</v>
      </c>
      <c r="B154" s="13" t="s">
        <v>222</v>
      </c>
      <c r="C154" s="20" t="str">
        <f>VLOOKUP(B154,'Detailed Update'!B:C,2,FALSE)</f>
        <v>Refurbishment of 132kV Najran East Substation in SOA &amp; Refurbishment of 132/33 kV Salwah Substation in SOA.</v>
      </c>
      <c r="D154" s="13" t="str">
        <f>VLOOKUP(B154,'Updated Progress % + TCC'!B:D,3,FALSE)</f>
        <v>Akram Kamal</v>
      </c>
      <c r="E154" s="7" t="str">
        <f>VLOOKUP(B154,'Updated Progress % + TCC'!B:J,9,FALSE)</f>
        <v>Southern</v>
      </c>
      <c r="F154" s="13" t="str">
        <f t="shared" si="13"/>
        <v>Yes</v>
      </c>
      <c r="G154" s="13" t="s">
        <v>36</v>
      </c>
      <c r="H154" s="13"/>
      <c r="I154" s="13"/>
      <c r="J154" s="13"/>
      <c r="K154" s="14">
        <f>VLOOKUP(B154,'Detailed Update'!B:D,3,FALSE)</f>
        <v>45764</v>
      </c>
      <c r="L154" s="18">
        <f>VLOOKUP(B154,'Detailed Update'!B:I,4,FALSE)</f>
        <v>0.86270000000000002</v>
      </c>
      <c r="M154" s="18">
        <f>VLOOKUP(B154,'Detailed Update'!B:I,5,FALSE)</f>
        <v>0.31480000000000002</v>
      </c>
      <c r="N154" s="18">
        <f t="shared" si="14"/>
        <v>-0.54790000000000005</v>
      </c>
      <c r="O154" s="7" t="str">
        <f>VLOOKUP(B154,'Detailed Update'!B:I,6,FALSE)</f>
        <v>SEC</v>
      </c>
      <c r="P154" s="7" t="str">
        <f>VLOOKUP(B154,'Detailed Update'!B:I,8,FALSE)</f>
        <v>Najran</v>
      </c>
      <c r="Q154" s="17" t="s">
        <v>53</v>
      </c>
      <c r="R154" s="10">
        <f>VLOOKUP(B154,'Detailed Update'!B:T,11,FALSE)</f>
        <v>46312</v>
      </c>
      <c r="S154" s="10">
        <f>VLOOKUP(B154,'Detailed Update'!B:T,12,FALSE)</f>
        <v>46312</v>
      </c>
      <c r="T154" s="9">
        <f>VLOOKUP(B154,'Detailed Update'!B:T,13,FALSE)</f>
        <v>46559</v>
      </c>
      <c r="U154" s="9">
        <f>VLOOKUP(B154,'Detailed Update'!B:T,17,FALSE)</f>
        <v>46463</v>
      </c>
      <c r="V154" s="9">
        <f>VLOOKUP(B154,'Detailed Update'!B:S,18,FALSE)</f>
        <v>46463</v>
      </c>
      <c r="W154" s="9">
        <f>VLOOKUP(B154,'Detailed Update'!B:T,19,FALSE)</f>
        <v>46705</v>
      </c>
      <c r="X154" s="11" t="str">
        <f>VLOOKUP(B154,'Detailed Update'!B:U,20,FALSE)</f>
        <v>1- Delay of start manufacturing of Protection
2- PO of Batteries &amp; Battery Chargers issued with long Manufacturing Duration (35 weeks)
3- Delay in shifting live MV cables to start construction activities
4- Delay in site handing over</v>
      </c>
    </row>
    <row r="155" spans="1:24" ht="27.6" customHeight="1">
      <c r="A155" s="7">
        <v>122</v>
      </c>
      <c r="B155" s="13" t="s">
        <v>223</v>
      </c>
      <c r="C155" s="20" t="str">
        <f>VLOOKUP(B155,'Detailed Update'!B:C,2,FALSE)</f>
        <v>Construction of OTOUD (Khamis South-2) 132/13.8KV SS &amp; Interconnections in Asir Region SOA</v>
      </c>
      <c r="D155" s="13" t="str">
        <f>VLOOKUP(B155,'Updated Progress % + TCC'!B:D,3,FALSE)</f>
        <v>Ahmed Hussein</v>
      </c>
      <c r="E155" s="7" t="str">
        <f>VLOOKUP(B155,'Updated Progress % + TCC'!B:J,9,FALSE)</f>
        <v>Southern</v>
      </c>
      <c r="F155" s="13" t="str">
        <f t="shared" si="13"/>
        <v>Yes</v>
      </c>
      <c r="G155" s="13"/>
      <c r="H155" s="13"/>
      <c r="I155" s="13"/>
      <c r="J155" s="13"/>
      <c r="K155" s="14">
        <f>VLOOKUP(B155,'Detailed Update'!B:D,3,FALSE)</f>
        <v>45837</v>
      </c>
      <c r="L155" s="18">
        <f>VLOOKUP(B155,'Detailed Update'!B:I,4,FALSE)</f>
        <v>0.56269999999999998</v>
      </c>
      <c r="M155" s="18">
        <f>VLOOKUP(B155,'Detailed Update'!B:I,5,FALSE)</f>
        <v>0.2918</v>
      </c>
      <c r="N155" s="18">
        <f t="shared" si="14"/>
        <v>-0.27089999999999997</v>
      </c>
      <c r="O155" s="7" t="str">
        <f>VLOOKUP(B155,'Detailed Update'!B:I,6,FALSE)</f>
        <v>SEC</v>
      </c>
      <c r="P155" s="7" t="str">
        <f>VLOOKUP(B155,'Detailed Update'!B:I,8,FALSE)</f>
        <v>KHM</v>
      </c>
      <c r="Q155" s="17" t="s">
        <v>53</v>
      </c>
      <c r="R155" s="10">
        <f>VLOOKUP(B155,'Detailed Update'!B:T,11,FALSE)</f>
        <v>46385</v>
      </c>
      <c r="S155" s="10">
        <f>VLOOKUP(B155,'Detailed Update'!B:T,12,FALSE)</f>
        <v>46385</v>
      </c>
      <c r="T155" s="9">
        <f>VLOOKUP(B155,'Detailed Update'!B:T,13,FALSE)</f>
        <v>46676</v>
      </c>
      <c r="U155" s="9">
        <f>VLOOKUP(B155,'Detailed Update'!B:T,17,FALSE)</f>
        <v>46536</v>
      </c>
      <c r="V155" s="9">
        <f>VLOOKUP(B155,'Detailed Update'!B:S,18,FALSE)</f>
        <v>46536</v>
      </c>
      <c r="W155" s="9">
        <f>VLOOKUP(B155,'Detailed Update'!B:T,19,FALSE)</f>
        <v>46813</v>
      </c>
      <c r="X155" s="11" t="str">
        <f>VLOOKUP(B155,'Detailed Update'!B:U,20,FALSE)</f>
        <v>*Long Manufacturing Duration of Power Transformers (SPTC) due to Non-Unified Design 
*Delay in All UGC Scope due to Municipality Permit Rejection for Single Circuit and Design Submittal for Double Circuit
*Civil Readiness Delay due to Delayed Municipality Permits and Improper Store Location at Site</v>
      </c>
    </row>
    <row r="156" spans="1:24" ht="27.6" customHeight="1">
      <c r="A156" s="7">
        <v>123</v>
      </c>
      <c r="B156" s="13" t="s">
        <v>224</v>
      </c>
      <c r="C156" s="20" t="str">
        <f>VLOOKUP(B156,'Detailed Update'!B:C,2,FALSE)</f>
        <v>Construction 132kv OHTL between baish west and ss1a at Jazan economic city in Jazan region-SOA</v>
      </c>
      <c r="D156" s="13" t="str">
        <f>VLOOKUP(B156,'Updated Progress % + TCC'!B:D,3,FALSE)</f>
        <v>Adil Bashir</v>
      </c>
      <c r="E156" s="7" t="str">
        <f>VLOOKUP(B156,'Updated Progress % + TCC'!B:J,9,FALSE)</f>
        <v>Southern</v>
      </c>
      <c r="F156" s="13" t="str">
        <f t="shared" si="13"/>
        <v>Yes</v>
      </c>
      <c r="G156" s="13" t="s">
        <v>36</v>
      </c>
      <c r="H156" s="13"/>
      <c r="I156" s="13"/>
      <c r="J156" s="13"/>
      <c r="K156" s="14">
        <f>VLOOKUP(B156,'Detailed Update'!B:D,3,FALSE)</f>
        <v>45883</v>
      </c>
      <c r="L156" s="18">
        <f>VLOOKUP(B156,'Detailed Update'!B:I,4,FALSE)</f>
        <v>0.75539999999999996</v>
      </c>
      <c r="M156" s="18">
        <f>VLOOKUP(B156,'Detailed Update'!B:I,5,FALSE)</f>
        <v>0.50580000000000003</v>
      </c>
      <c r="N156" s="18">
        <f t="shared" si="14"/>
        <v>-0.24959999999999993</v>
      </c>
      <c r="O156" s="7" t="str">
        <f>VLOOKUP(B156,'Detailed Update'!B:I,6,FALSE)</f>
        <v>SEC</v>
      </c>
      <c r="P156" s="7" t="str">
        <f>VLOOKUP(B156,'Detailed Update'!B:I,8,FALSE)</f>
        <v>Jizan</v>
      </c>
      <c r="Q156" s="17" t="s">
        <v>53</v>
      </c>
      <c r="R156" s="10">
        <f>VLOOKUP(B156,'Detailed Update'!B:T,11,FALSE)</f>
        <v>46431</v>
      </c>
      <c r="S156" s="10">
        <f>VLOOKUP(B156,'Detailed Update'!B:T,12,FALSE)</f>
        <v>46431</v>
      </c>
      <c r="T156" s="9">
        <f>VLOOKUP(B156,'Detailed Update'!B:T,13,FALSE)</f>
        <v>46401</v>
      </c>
      <c r="U156" s="9">
        <f>VLOOKUP(B156,'Detailed Update'!B:T,17,FALSE)</f>
        <v>46581</v>
      </c>
      <c r="V156" s="9">
        <f>VLOOKUP(B156,'Detailed Update'!B:S,18,FALSE)</f>
        <v>46581</v>
      </c>
      <c r="W156" s="9">
        <f>VLOOKUP(B156,'Detailed Update'!B:T,19,FALSE)</f>
        <v>46551</v>
      </c>
      <c r="X156" s="11" t="str">
        <f>VLOOKUP(B156,'Detailed Update'!B:U,20,FALSE)</f>
        <v>1.Delay in access road &amp; structure pads works.
2. Delay in GAFM for Gantry Structure material
3.Delay in GAFM for Protection 
4. Delay in delivery of Tower structure Material
5. Dealy in PO issuance for Earthing &amp; Bonding cables</v>
      </c>
    </row>
    <row r="157" spans="1:24" ht="27.6" customHeight="1">
      <c r="A157" s="7">
        <v>124</v>
      </c>
      <c r="B157" s="13" t="s">
        <v>225</v>
      </c>
      <c r="C157" s="20" t="str">
        <f>VLOOKUP(B157,'Detailed Update'!B:C,2,FALSE)</f>
        <v>PE-222: Najran DRPC</v>
      </c>
      <c r="D157" s="13" t="str">
        <f>VLOOKUP(B157,'Updated Progress % + TCC'!B:D,3,FALSE)</f>
        <v>Hany Kamal</v>
      </c>
      <c r="E157" s="7" t="str">
        <f>VLOOKUP(B157,'Updated Progress % + TCC'!B:J,9,FALSE)</f>
        <v>Southern</v>
      </c>
      <c r="F157" s="13" t="str">
        <f t="shared" si="13"/>
        <v>No</v>
      </c>
      <c r="G157" s="13" t="s">
        <v>25</v>
      </c>
      <c r="H157" s="13" t="s">
        <v>25</v>
      </c>
      <c r="I157" s="13" t="s">
        <v>25</v>
      </c>
      <c r="J157" s="13"/>
      <c r="K157" s="14">
        <f>VLOOKUP(B157,'Detailed Update'!B:D,3,FALSE)</f>
        <v>44200</v>
      </c>
      <c r="L157" s="18">
        <f>VLOOKUP(B157,'Detailed Update'!B:I,4,FALSE)</f>
        <v>1</v>
      </c>
      <c r="M157" s="18">
        <f>VLOOKUP(B157,'Detailed Update'!B:I,5,FALSE)</f>
        <v>1</v>
      </c>
      <c r="N157" s="18">
        <f t="shared" si="14"/>
        <v>0</v>
      </c>
      <c r="O157" s="7" t="str">
        <f>VLOOKUP(B157,'Detailed Update'!B:I,6,FALSE)</f>
        <v xml:space="preserve">SEC </v>
      </c>
      <c r="P157" s="7" t="str">
        <f>VLOOKUP(B157,'Detailed Update'!B:I,8,FALSE)</f>
        <v>Najran</v>
      </c>
      <c r="Q157" s="17" t="s">
        <v>53</v>
      </c>
      <c r="R157" s="10">
        <f>VLOOKUP(B157,'Detailed Update'!B:T,11,FALSE)</f>
        <v>44988</v>
      </c>
      <c r="S157" s="10">
        <f>VLOOKUP(B157,'Detailed Update'!B:T,12,FALSE)</f>
        <v>44988</v>
      </c>
      <c r="T157" s="9">
        <f>VLOOKUP(B157,'Detailed Update'!B:T,13,FALSE)</f>
        <v>45565</v>
      </c>
      <c r="U157" s="9">
        <f>VLOOKUP(B157,'Detailed Update'!B:T,17,FALSE)</f>
        <v>45110</v>
      </c>
      <c r="V157" s="9">
        <f>VLOOKUP(B157,'Detailed Update'!B:S,18,FALSE)</f>
        <v>45110</v>
      </c>
      <c r="W157" s="9">
        <f>VLOOKUP(B157,'Detailed Update'!B:T,19,FALSE)</f>
        <v>45687</v>
      </c>
      <c r="X157" s="11" t="str">
        <f>VLOOKUP(B157,'Detailed Update'!B:U,20,FALSE)</f>
        <v>-</v>
      </c>
    </row>
    <row r="158" spans="1:24" ht="36">
      <c r="A158" s="7">
        <v>125</v>
      </c>
      <c r="B158" s="13" t="s">
        <v>226</v>
      </c>
      <c r="C158" s="20" t="str">
        <f>VLOOKUP(B158,'Detailed Update'!B:C,2,FALSE)</f>
        <v>PE-230: Wadi Eldawasser</v>
      </c>
      <c r="D158" s="13" t="str">
        <f>VLOOKUP(B158,'Updated Progress % + TCC'!B:D,3,FALSE)</f>
        <v>Hany Kamal</v>
      </c>
      <c r="E158" s="7" t="str">
        <f>VLOOKUP(B158,'Updated Progress % + TCC'!B:J,9,FALSE)</f>
        <v>Southern</v>
      </c>
      <c r="F158" s="13" t="str">
        <f t="shared" si="13"/>
        <v>No</v>
      </c>
      <c r="G158" s="13" t="s">
        <v>25</v>
      </c>
      <c r="H158" s="13" t="s">
        <v>25</v>
      </c>
      <c r="I158" s="13" t="s">
        <v>25</v>
      </c>
      <c r="J158" s="13"/>
      <c r="K158" s="14">
        <f>VLOOKUP(B158,'Detailed Update'!B:D,3,FALSE)</f>
        <v>44392</v>
      </c>
      <c r="L158" s="18">
        <f>VLOOKUP(B158,'Detailed Update'!B:I,4,FALSE)</f>
        <v>1</v>
      </c>
      <c r="M158" s="18">
        <f>VLOOKUP(B158,'Detailed Update'!B:I,5,FALSE)</f>
        <v>1</v>
      </c>
      <c r="N158" s="18">
        <f t="shared" si="14"/>
        <v>0</v>
      </c>
      <c r="O158" s="7" t="str">
        <f>VLOOKUP(B158,'Detailed Update'!B:I,6,FALSE)</f>
        <v xml:space="preserve">SEC </v>
      </c>
      <c r="P158" s="7" t="str">
        <f>VLOOKUP(B158,'Detailed Update'!B:I,8,FALSE)</f>
        <v>Wadi Eldawasser</v>
      </c>
      <c r="Q158" s="17" t="s">
        <v>53</v>
      </c>
      <c r="R158" s="10">
        <f>VLOOKUP(B158,'Detailed Update'!B:T,11,FALSE)</f>
        <v>44941</v>
      </c>
      <c r="S158" s="10">
        <f>VLOOKUP(B158,'Detailed Update'!B:T,12,FALSE)</f>
        <v>44941</v>
      </c>
      <c r="T158" s="9">
        <f>VLOOKUP(B158,'Detailed Update'!B:T,13,FALSE)</f>
        <v>45463</v>
      </c>
      <c r="U158" s="9">
        <f>VLOOKUP(B158,'Detailed Update'!B:T,17,FALSE)</f>
        <v>45000</v>
      </c>
      <c r="V158" s="9">
        <f>VLOOKUP(B158,'Detailed Update'!B:S,18,FALSE)</f>
        <v>45000</v>
      </c>
      <c r="W158" s="9">
        <f>VLOOKUP(B158,'Detailed Update'!B:T,19,FALSE)</f>
        <v>45747</v>
      </c>
      <c r="X158" s="11" t="str">
        <f>VLOOKUP(B158,'Detailed Update'!B:U,20,FALSE)</f>
        <v>-</v>
      </c>
    </row>
    <row r="159" spans="1:24" ht="27.6" customHeight="1">
      <c r="A159" s="7">
        <v>126</v>
      </c>
      <c r="B159" s="13" t="s">
        <v>227</v>
      </c>
      <c r="C159" s="20" t="str">
        <f>VLOOKUP(B159,'Detailed Update'!B:C,2,FALSE)</f>
        <v>PE-237:  Al BAHA</v>
      </c>
      <c r="D159" s="13" t="str">
        <f>VLOOKUP(B159,'Updated Progress % + TCC'!B:D,3,FALSE)</f>
        <v>Hany Kamal</v>
      </c>
      <c r="E159" s="7" t="str">
        <f>VLOOKUP(B159,'Updated Progress % + TCC'!B:J,9,FALSE)</f>
        <v>Southern</v>
      </c>
      <c r="F159" s="13" t="str">
        <f t="shared" si="13"/>
        <v>No</v>
      </c>
      <c r="G159" s="13" t="s">
        <v>25</v>
      </c>
      <c r="H159" s="13" t="s">
        <v>25</v>
      </c>
      <c r="I159" s="13" t="s">
        <v>25</v>
      </c>
      <c r="J159" s="13"/>
      <c r="K159" s="14">
        <f>VLOOKUP(B159,'Detailed Update'!B:D,3,FALSE)</f>
        <v>44586</v>
      </c>
      <c r="L159" s="18">
        <f>VLOOKUP(B159,'Detailed Update'!B:I,4,FALSE)</f>
        <v>1</v>
      </c>
      <c r="M159" s="18">
        <f>VLOOKUP(B159,'Detailed Update'!B:I,5,FALSE)</f>
        <v>0.99550000000000005</v>
      </c>
      <c r="N159" s="18">
        <f t="shared" si="14"/>
        <v>-4.4999999999999485E-3</v>
      </c>
      <c r="O159" s="7" t="str">
        <f>VLOOKUP(B159,'Detailed Update'!B:I,6,FALSE)</f>
        <v xml:space="preserve">SEC </v>
      </c>
      <c r="P159" s="7" t="str">
        <f>VLOOKUP(B159,'Detailed Update'!B:I,8,FALSE)</f>
        <v>ALBAHA</v>
      </c>
      <c r="Q159" s="17" t="s">
        <v>53</v>
      </c>
      <c r="R159" s="10">
        <f>VLOOKUP(B159,'Detailed Update'!B:T,11,FALSE)</f>
        <v>45497</v>
      </c>
      <c r="S159" s="10">
        <f>VLOOKUP(B159,'Detailed Update'!B:T,12,FALSE)</f>
        <v>45497</v>
      </c>
      <c r="T159" s="9">
        <f>VLOOKUP(B159,'Detailed Update'!B:T,13,FALSE)</f>
        <v>45909</v>
      </c>
      <c r="U159" s="9">
        <f>VLOOKUP(B159,'Detailed Update'!B:T,17,FALSE)</f>
        <v>45620</v>
      </c>
      <c r="V159" s="9">
        <f>VLOOKUP(B159,'Detailed Update'!B:S,18,FALSE)</f>
        <v>45620</v>
      </c>
      <c r="W159" s="9">
        <f>VLOOKUP(B159,'Detailed Update'!B:T,19,FALSE)</f>
        <v>46190</v>
      </c>
      <c r="X159" s="11" t="str">
        <f>VLOOKUP(B159,'Detailed Update'!B:U,20,FALSE)</f>
        <v>-</v>
      </c>
    </row>
    <row r="160" spans="1:24" ht="27.6" customHeight="1">
      <c r="A160" s="7">
        <v>127</v>
      </c>
      <c r="B160" s="13" t="s">
        <v>228</v>
      </c>
      <c r="C160" s="20" t="str">
        <f>VLOOKUP(B160,'Detailed Update'!B:C,2,FALSE)</f>
        <v xml:space="preserve">PE-234: Najran-2 </v>
      </c>
      <c r="D160" s="13" t="str">
        <f>VLOOKUP(B160,'Updated Progress % + TCC'!B:D,3,FALSE)</f>
        <v>Ahmed Abdelhady</v>
      </c>
      <c r="E160" s="7" t="str">
        <f>VLOOKUP(B160,'Updated Progress % + TCC'!B:J,9,FALSE)</f>
        <v>Southern</v>
      </c>
      <c r="F160" s="13" t="str">
        <f t="shared" si="13"/>
        <v>No</v>
      </c>
      <c r="G160" s="13" t="s">
        <v>25</v>
      </c>
      <c r="H160" s="13" t="s">
        <v>25</v>
      </c>
      <c r="I160" s="13" t="s">
        <v>25</v>
      </c>
      <c r="J160" s="13"/>
      <c r="K160" s="14">
        <f>VLOOKUP(B160,'Detailed Update'!B:D,3,FALSE)</f>
        <v>44579</v>
      </c>
      <c r="L160" s="18">
        <f>VLOOKUP(B160,'Detailed Update'!B:I,4,FALSE)</f>
        <v>1</v>
      </c>
      <c r="M160" s="18">
        <f>VLOOKUP(B160,'Detailed Update'!B:I,5,FALSE)</f>
        <v>0.98360000000000003</v>
      </c>
      <c r="N160" s="18">
        <f t="shared" si="14"/>
        <v>-1.639999999999997E-2</v>
      </c>
      <c r="O160" s="7" t="str">
        <f>VLOOKUP(B160,'Detailed Update'!B:I,6,FALSE)</f>
        <v xml:space="preserve">SEC </v>
      </c>
      <c r="P160" s="7" t="str">
        <f>VLOOKUP(B160,'Detailed Update'!B:I,8,FALSE)</f>
        <v>Najran</v>
      </c>
      <c r="Q160" s="35" t="s">
        <v>26</v>
      </c>
      <c r="R160" s="10">
        <f>VLOOKUP(B160,'Detailed Update'!B:T,11,FALSE)</f>
        <v>45124</v>
      </c>
      <c r="S160" s="10">
        <f>VLOOKUP(B160,'Detailed Update'!B:T,12,FALSE)</f>
        <v>46343</v>
      </c>
      <c r="T160" s="9">
        <f>VLOOKUP(B160,'Detailed Update'!B:T,13,FALSE)</f>
        <v>46021</v>
      </c>
      <c r="U160" s="9">
        <f>VLOOKUP(B160,'Detailed Update'!B:T,17,FALSE)</f>
        <v>45308</v>
      </c>
      <c r="V160" s="9">
        <f>VLOOKUP(B160,'Detailed Update'!B:S,18,FALSE)</f>
        <v>46524</v>
      </c>
      <c r="W160" s="9">
        <f>VLOOKUP(B160,'Detailed Update'!B:T,19,FALSE)</f>
        <v>46264</v>
      </c>
      <c r="X160" s="11" t="str">
        <f>VLOOKUP(B160,'Detailed Update'!B:U,20,FALSE)</f>
        <v>shutdown received and work ongoing for the works during shutdown</v>
      </c>
    </row>
    <row r="161" spans="1:24" ht="27.6" customHeight="1">
      <c r="A161" s="7">
        <v>128</v>
      </c>
      <c r="B161" s="13" t="s">
        <v>229</v>
      </c>
      <c r="C161" s="20" t="str">
        <f>VLOOKUP(B161,'Detailed Update'!B:C,2,FALSE)</f>
        <v>PE-236: New Sharorah</v>
      </c>
      <c r="D161" s="13" t="str">
        <f>VLOOKUP(B161,'Updated Progress % + TCC'!B:D,3,FALSE)</f>
        <v>Ahmed Abdelhady</v>
      </c>
      <c r="E161" s="7" t="str">
        <f>VLOOKUP(B161,'Updated Progress % + TCC'!B:J,9,FALSE)</f>
        <v>Southern</v>
      </c>
      <c r="F161" s="13" t="str">
        <f t="shared" si="13"/>
        <v>No</v>
      </c>
      <c r="G161" s="13" t="s">
        <v>25</v>
      </c>
      <c r="H161" s="13" t="s">
        <v>25</v>
      </c>
      <c r="I161" s="13" t="s">
        <v>25</v>
      </c>
      <c r="J161" s="13"/>
      <c r="K161" s="14">
        <f>VLOOKUP(B161,'Detailed Update'!B:D,3,FALSE)</f>
        <v>44579</v>
      </c>
      <c r="L161" s="18">
        <f>VLOOKUP(B161,'Detailed Update'!B:I,4,FALSE)</f>
        <v>1</v>
      </c>
      <c r="M161" s="18">
        <f>VLOOKUP(B161,'Detailed Update'!B:I,5,FALSE)</f>
        <v>0.999</v>
      </c>
      <c r="N161" s="18">
        <f t="shared" si="14"/>
        <v>-1.0000000000000009E-3</v>
      </c>
      <c r="O161" s="7" t="str">
        <f>VLOOKUP(B161,'Detailed Update'!B:I,6,FALSE)</f>
        <v xml:space="preserve">SEC </v>
      </c>
      <c r="P161" s="7" t="str">
        <f>VLOOKUP(B161,'Detailed Update'!B:I,8,FALSE)</f>
        <v>Sharorah</v>
      </c>
      <c r="Q161" s="17" t="s">
        <v>53</v>
      </c>
      <c r="R161" s="10">
        <f>VLOOKUP(B161,'Detailed Update'!B:T,11,FALSE)</f>
        <v>45124</v>
      </c>
      <c r="S161" s="10">
        <f>VLOOKUP(B161,'Detailed Update'!B:T,12,FALSE)</f>
        <v>45124</v>
      </c>
      <c r="T161" s="9">
        <f>VLOOKUP(B161,'Detailed Update'!B:T,13,FALSE)</f>
        <v>45308</v>
      </c>
      <c r="U161" s="9">
        <f>VLOOKUP(B161,'Detailed Update'!B:T,17,FALSE)</f>
        <v>45308</v>
      </c>
      <c r="V161" s="9">
        <f>VLOOKUP(B161,'Detailed Update'!B:S,18,FALSE)</f>
        <v>45308</v>
      </c>
      <c r="W161" s="9">
        <f>VLOOKUP(B161,'Detailed Update'!B:T,19,FALSE)</f>
        <v>46021</v>
      </c>
      <c r="X161" s="11" t="str">
        <f>VLOOKUP(B161,'Detailed Update'!B:U,20,FALSE)</f>
        <v>-</v>
      </c>
    </row>
    <row r="162" spans="1:24" ht="27.6" customHeight="1">
      <c r="A162" s="7">
        <v>129</v>
      </c>
      <c r="B162" s="7" t="s">
        <v>230</v>
      </c>
      <c r="C162" s="20" t="str">
        <f>VLOOKUP(B162,'Detailed Update'!B:C,2,FALSE)</f>
        <v>HVDC-3 | COA-SOA | KUDMI</v>
      </c>
      <c r="D162" s="13" t="str">
        <f>VLOOKUP(B162,'Updated Progress % + TCC'!B:D,3,FALSE)</f>
        <v>Mohamed Sabri</v>
      </c>
      <c r="E162" s="7" t="str">
        <f>VLOOKUP(B162,'Updated Progress % + TCC'!B:J,9,FALSE)</f>
        <v>Southern</v>
      </c>
      <c r="F162" s="13" t="str">
        <f t="shared" si="13"/>
        <v>Yes</v>
      </c>
      <c r="G162" s="13"/>
      <c r="H162" s="13"/>
      <c r="I162" s="13" t="s">
        <v>45</v>
      </c>
      <c r="J162" s="13"/>
      <c r="K162" s="14">
        <f>VLOOKUP(B162,'Detailed Update'!B:D,3,FALSE)</f>
        <v>45470</v>
      </c>
      <c r="L162" s="18">
        <f>VLOOKUP(B162,'Detailed Update'!B:I,4,FALSE)</f>
        <v>0.56240000000000001</v>
      </c>
      <c r="M162" s="18">
        <f>VLOOKUP(B162,'Detailed Update'!B:I,5,FALSE)</f>
        <v>0.56259999999999999</v>
      </c>
      <c r="N162" s="18">
        <f t="shared" si="14"/>
        <v>1.9999999999997797E-4</v>
      </c>
      <c r="O162" s="7" t="str">
        <f>VLOOKUP(B162,'Detailed Update'!B:I,6,FALSE)</f>
        <v xml:space="preserve">SEC </v>
      </c>
      <c r="P162" s="7" t="str">
        <f>VLOOKUP(B162,'Detailed Update'!B:I,8,FALSE)</f>
        <v>jazan</v>
      </c>
      <c r="Q162" s="17" t="s">
        <v>53</v>
      </c>
      <c r="R162" s="10">
        <f>VLOOKUP(B162,'Detailed Update'!B:T,11,FALSE)</f>
        <v>46387</v>
      </c>
      <c r="S162" s="10">
        <f>VLOOKUP(B162,'Detailed Update'!B:T,12,FALSE)</f>
        <v>46387</v>
      </c>
      <c r="T162" s="9">
        <f>VLOOKUP(B162,'Detailed Update'!B:T,13,FALSE)</f>
        <v>46387</v>
      </c>
      <c r="U162" s="9">
        <f>VLOOKUP(B162,'Detailed Update'!B:T,17,FALSE)</f>
        <v>46538</v>
      </c>
      <c r="V162" s="9">
        <f>VLOOKUP(B162,'Detailed Update'!B:S,18,FALSE)</f>
        <v>46538</v>
      </c>
      <c r="W162" s="9">
        <f>VLOOKUP(B162,'Detailed Update'!B:T,19,FALSE)</f>
        <v>46538</v>
      </c>
      <c r="X162" s="11" t="str">
        <f>VLOOKUP(B162,'Detailed Update'!B:U,20,FALSE)</f>
        <v>-</v>
      </c>
    </row>
    <row r="163" spans="1:24" ht="27.6" customHeight="1">
      <c r="A163" s="7">
        <v>130</v>
      </c>
      <c r="B163" s="7" t="s">
        <v>231</v>
      </c>
      <c r="C163" s="20" t="str">
        <f>VLOOKUP(B163,'Detailed Update'!B:C,2,FALSE)</f>
        <v>380kV OHTL Between 1A BSP &amp; Kudmi BSP (Approx. 47Km)| JCPDI P-4007 1A</v>
      </c>
      <c r="D163" s="13" t="str">
        <f>VLOOKUP(B163,'Updated Progress % + TCC'!B:D,3,FALSE)</f>
        <v>Adil Bashir</v>
      </c>
      <c r="E163" s="7" t="str">
        <f>VLOOKUP(B163,'Updated Progress % + TCC'!B:J,9,FALSE)</f>
        <v>Southern</v>
      </c>
      <c r="F163" s="13" t="str">
        <f t="shared" si="13"/>
        <v>Yes</v>
      </c>
      <c r="G163" s="13"/>
      <c r="H163" s="13"/>
      <c r="I163" s="13"/>
      <c r="J163" s="13"/>
      <c r="K163" s="14">
        <f>VLOOKUP(B163,'Detailed Update'!B:D,3,FALSE)</f>
        <v>45957</v>
      </c>
      <c r="L163" s="18">
        <f>VLOOKUP(B163,'Detailed Update'!B:I,4,FALSE)</f>
        <v>0.69879999999999998</v>
      </c>
      <c r="M163" s="18">
        <f>VLOOKUP(B163,'Detailed Update'!B:I,5,FALSE)</f>
        <v>0.29349999999999998</v>
      </c>
      <c r="N163" s="18">
        <f t="shared" si="14"/>
        <v>-0.40529999999999999</v>
      </c>
      <c r="O163" s="7" t="str">
        <f>VLOOKUP(B163,'Detailed Update'!B:I,6,FALSE)</f>
        <v>RC</v>
      </c>
      <c r="P163" s="7" t="str">
        <f>VLOOKUP(B163,'Detailed Update'!B:I,8,FALSE)</f>
        <v>Jizan</v>
      </c>
      <c r="Q163" s="17" t="s">
        <v>53</v>
      </c>
      <c r="R163" s="10">
        <f>VLOOKUP(B163,'Detailed Update'!B:T,11,FALSE)</f>
        <v>46989</v>
      </c>
      <c r="S163" s="10">
        <f>VLOOKUP(B163,'Detailed Update'!B:T,12,FALSE)</f>
        <v>46989</v>
      </c>
      <c r="T163" s="9">
        <f>VLOOKUP(B163,'Detailed Update'!B:T,13,FALSE)</f>
        <v>46505</v>
      </c>
      <c r="U163" s="9">
        <f>VLOOKUP(B163,'Detailed Update'!B:T,17,FALSE)</f>
        <v>47052</v>
      </c>
      <c r="V163" s="9">
        <f>VLOOKUP(B163,'Detailed Update'!B:S,18,FALSE)</f>
        <v>47052</v>
      </c>
      <c r="W163" s="9">
        <f>VLOOKUP(B163,'Detailed Update'!B:T,19,FALSE)</f>
        <v>47052</v>
      </c>
      <c r="X163" s="11" t="str">
        <f>VLOOKUP(B163,'Detailed Update'!B:U,20,FALSE)</f>
        <v>- Plan &amp; Profile submission &amp; Approval delayed.
- Foundation design drawing submission delayed due to Geo-tech soil investigation on going.
- Access road  and structure PAD works on hold due to trees cutting/NCEC permit.
- Delay in Delivery of Insulator by Mar-27</v>
      </c>
    </row>
    <row r="164" spans="1:24" ht="27.6" customHeight="1">
      <c r="A164" s="7">
        <v>131</v>
      </c>
      <c r="B164" s="7" t="s">
        <v>232</v>
      </c>
      <c r="C164" s="20" t="str">
        <f>VLOOKUP(B164,'Detailed Update'!B:C,2,FALSE)</f>
        <v>Design and construction of a buried cable to feed the industrial area</v>
      </c>
      <c r="D164" s="13" t="str">
        <f>VLOOKUP(B164,'Updated Progress % + TCC'!B:D,3,FALSE)</f>
        <v>Nadim Shaikh</v>
      </c>
      <c r="E164" s="7" t="str">
        <f>VLOOKUP(B164,'Updated Progress % + TCC'!B:J,9,FALSE)</f>
        <v>Southern</v>
      </c>
      <c r="F164" s="13" t="str">
        <f t="shared" si="13"/>
        <v>Yes</v>
      </c>
      <c r="G164" s="13"/>
      <c r="H164" s="13"/>
      <c r="I164" s="13"/>
      <c r="J164" s="13"/>
      <c r="K164" s="14">
        <f>VLOOKUP(B164,'Detailed Update'!B:D,3,FALSE)</f>
        <v>45988</v>
      </c>
      <c r="L164" s="18">
        <f>VLOOKUP(B164,'Detailed Update'!B:I,4,FALSE)</f>
        <v>0.3206</v>
      </c>
      <c r="M164" s="18">
        <f>VLOOKUP(B164,'Detailed Update'!B:I,5,FALSE)</f>
        <v>0.18970000000000001</v>
      </c>
      <c r="N164" s="18">
        <f t="shared" si="14"/>
        <v>-0.13089999999999999</v>
      </c>
      <c r="O164" s="7" t="str">
        <f>VLOOKUP(B164,'Detailed Update'!B:I,6,FALSE)</f>
        <v>RC</v>
      </c>
      <c r="P164" s="7" t="str">
        <f>VLOOKUP(B164,'Detailed Update'!B:I,8,FALSE)</f>
        <v>Jizan</v>
      </c>
      <c r="Q164" s="17" t="s">
        <v>53</v>
      </c>
      <c r="R164" s="10">
        <f>VLOOKUP(B164,'Detailed Update'!B:T,11,FALSE)</f>
        <v>46617</v>
      </c>
      <c r="S164" s="10">
        <f>VLOOKUP(B164,'Detailed Update'!B:T,12,FALSE)</f>
        <v>46617</v>
      </c>
      <c r="T164" s="9">
        <f>VLOOKUP(B164,'Detailed Update'!B:T,13,FALSE)</f>
        <v>46502</v>
      </c>
      <c r="U164" s="9">
        <f>VLOOKUP(B164,'Detailed Update'!B:T,17,FALSE)</f>
        <v>46461</v>
      </c>
      <c r="V164" s="9">
        <f>VLOOKUP(B164,'Detailed Update'!B:S,18,FALSE)</f>
        <v>46477</v>
      </c>
      <c r="W164" s="9">
        <f>VLOOKUP(B164,'Detailed Update'!B:T,19,FALSE)</f>
        <v>46966</v>
      </c>
      <c r="X164" s="11" t="str">
        <f>VLOOKUP(B164,'Detailed Update'!B:U,20,FALSE)</f>
        <v xml:space="preserve">.Key Rout plan approval finilaiz &amp; need to expdite reamining material POs &amp; Power cable Manfufacturing </v>
      </c>
    </row>
    <row r="165" spans="1:24" ht="27.6" customHeight="1">
      <c r="A165" s="7">
        <v>132</v>
      </c>
      <c r="B165" s="7" t="s">
        <v>233</v>
      </c>
      <c r="C165" s="20" t="str">
        <f>VLOOKUP(B165,'Detailed Update'!B:C,2,FALSE)</f>
        <v>Design &amp; Construction of Electricity Substation 5E - Residential Area 132KV GIS + UGC</v>
      </c>
      <c r="D165" s="13" t="str">
        <f>VLOOKUP(B165,'Updated Progress % + TCC'!B:D,3,FALSE)</f>
        <v>L1</v>
      </c>
      <c r="E165" s="7" t="str">
        <f>VLOOKUP(B165,'Updated Progress % + TCC'!B:J,9,FALSE)</f>
        <v>Southern</v>
      </c>
      <c r="F165" s="13" t="str">
        <f t="shared" si="13"/>
        <v>Yes</v>
      </c>
      <c r="G165" s="13"/>
      <c r="H165" s="13"/>
      <c r="I165" s="13"/>
      <c r="J165" s="13"/>
      <c r="K165" s="14" t="str">
        <f>VLOOKUP(B165,'Detailed Update'!B:D,3,FALSE)</f>
        <v>L1</v>
      </c>
      <c r="L165" s="18">
        <f>VLOOKUP(B165,'Detailed Update'!B:I,4,FALSE)</f>
        <v>0</v>
      </c>
      <c r="M165" s="18">
        <f>VLOOKUP(B165,'Detailed Update'!B:I,5,FALSE)</f>
        <v>0</v>
      </c>
      <c r="N165" s="18">
        <f t="shared" si="14"/>
        <v>0</v>
      </c>
      <c r="O165" s="7" t="str">
        <f>VLOOKUP(B165,'Detailed Update'!B:I,6,FALSE)</f>
        <v>-</v>
      </c>
      <c r="P165" s="7" t="str">
        <f>VLOOKUP(B165,'Detailed Update'!B:I,8,FALSE)</f>
        <v>-</v>
      </c>
      <c r="Q165" s="17" t="s">
        <v>53</v>
      </c>
      <c r="R165" s="10">
        <f>VLOOKUP(B165,'Detailed Update'!B:T,11,FALSE)</f>
        <v>0</v>
      </c>
      <c r="S165" s="10">
        <f>VLOOKUP(B165,'Detailed Update'!B:T,12,FALSE)</f>
        <v>0</v>
      </c>
      <c r="T165" s="9">
        <f>VLOOKUP(B165,'Detailed Update'!B:T,13,FALSE)</f>
        <v>0</v>
      </c>
      <c r="U165" s="9">
        <f>VLOOKUP(B165,'Detailed Update'!B:T,17,FALSE)</f>
        <v>0</v>
      </c>
      <c r="V165" s="9">
        <f>VLOOKUP(B165,'Detailed Update'!B:S,18,FALSE)</f>
        <v>0</v>
      </c>
      <c r="W165" s="9">
        <f>VLOOKUP(B165,'Detailed Update'!B:T,19,FALSE)</f>
        <v>0</v>
      </c>
      <c r="X165" s="11" t="str">
        <f>VLOOKUP(B165,'Detailed Update'!B:U,20,FALSE)</f>
        <v>-</v>
      </c>
    </row>
    <row r="166" spans="1:24" ht="27.6" customHeight="1">
      <c r="A166" s="7">
        <v>133</v>
      </c>
      <c r="B166" s="7" t="s">
        <v>234</v>
      </c>
      <c r="C166" s="20" t="str">
        <f>VLOOKUP(B166,'Detailed Update'!B:C,2,FALSE)</f>
        <v>Power supply to Saad water facility Project (new 132 kV substation project)</v>
      </c>
      <c r="D166" s="13" t="str">
        <f>VLOOKUP(B166,'Updated Progress % + TCC'!B:D,3,FALSE)</f>
        <v>L1</v>
      </c>
      <c r="E166" s="7" t="str">
        <f>VLOOKUP(B166,'Updated Progress % + TCC'!B:J,9,FALSE)</f>
        <v>Southern</v>
      </c>
      <c r="F166" s="13" t="str">
        <f t="shared" si="13"/>
        <v>Yes</v>
      </c>
      <c r="G166" s="13"/>
      <c r="H166" s="13"/>
      <c r="I166" s="13"/>
      <c r="J166" s="13"/>
      <c r="K166" s="14" t="str">
        <f>VLOOKUP(B166,'Detailed Update'!B:D,3,FALSE)</f>
        <v>L1</v>
      </c>
      <c r="L166" s="18">
        <f>VLOOKUP(B166,'Detailed Update'!B:I,4,FALSE)</f>
        <v>0</v>
      </c>
      <c r="M166" s="18">
        <f>VLOOKUP(B166,'Detailed Update'!B:I,5,FALSE)</f>
        <v>0</v>
      </c>
      <c r="N166" s="18">
        <f t="shared" si="14"/>
        <v>0</v>
      </c>
      <c r="O166" s="7" t="str">
        <f>VLOOKUP(B166,'Detailed Update'!B:I,6,FALSE)</f>
        <v>-</v>
      </c>
      <c r="P166" s="7" t="str">
        <f>VLOOKUP(B166,'Detailed Update'!B:I,8,FALSE)</f>
        <v>-</v>
      </c>
      <c r="Q166" s="17" t="s">
        <v>53</v>
      </c>
      <c r="R166" s="10">
        <f>VLOOKUP(B166,'Detailed Update'!B:T,11,FALSE)</f>
        <v>0</v>
      </c>
      <c r="S166" s="10">
        <f>VLOOKUP(B166,'Detailed Update'!B:T,12,FALSE)</f>
        <v>0</v>
      </c>
      <c r="T166" s="9">
        <f>VLOOKUP(B166,'Detailed Update'!B:T,13,FALSE)</f>
        <v>0</v>
      </c>
      <c r="U166" s="9">
        <f>VLOOKUP(B166,'Detailed Update'!B:T,17,FALSE)</f>
        <v>0</v>
      </c>
      <c r="V166" s="9">
        <f>VLOOKUP(B166,'Detailed Update'!B:S,18,FALSE)</f>
        <v>0</v>
      </c>
      <c r="W166" s="9">
        <f>VLOOKUP(B166,'Detailed Update'!B:T,19,FALSE)</f>
        <v>0</v>
      </c>
      <c r="X166" s="11" t="str">
        <f>VLOOKUP(B166,'Detailed Update'!B:U,20,FALSE)</f>
        <v>-</v>
      </c>
    </row>
    <row r="167" spans="1:24" ht="27.6" customHeight="1">
      <c r="A167" s="7">
        <v>134</v>
      </c>
      <c r="B167" s="7" t="s">
        <v>235</v>
      </c>
      <c r="C167" s="20" t="str">
        <f>VLOOKUP(B167,'Detailed Update'!B:C,2,FALSE)</f>
        <v>PE364 - 380KV OHTL HDN-2 &amp; BAHA BSP</v>
      </c>
      <c r="D167" s="13" t="str">
        <f>VLOOKUP(B167,'Updated Progress % + TCC'!B:D,3,FALSE)</f>
        <v>Mohamed Eltohfa</v>
      </c>
      <c r="E167" s="7" t="str">
        <f>VLOOKUP(B167,'Updated Progress % + TCC'!B:J,9,FALSE)</f>
        <v>Southern</v>
      </c>
      <c r="F167" s="13" t="str">
        <f t="shared" si="13"/>
        <v>Yes</v>
      </c>
      <c r="G167" s="13" t="s">
        <v>45</v>
      </c>
      <c r="H167" s="13" t="s">
        <v>45</v>
      </c>
      <c r="I167" s="13"/>
      <c r="J167" s="13"/>
      <c r="K167" s="14">
        <f>VLOOKUP(B167,'Detailed Update'!B:D,3,FALSE)</f>
        <v>45945</v>
      </c>
      <c r="L167" s="18">
        <f>VLOOKUP(B167,'Detailed Update'!B:I,4,FALSE)</f>
        <v>0.62350000000000005</v>
      </c>
      <c r="M167" s="18">
        <f>VLOOKUP(B167,'Detailed Update'!B:I,5,FALSE)</f>
        <v>0.47589999999999999</v>
      </c>
      <c r="N167" s="18">
        <f>M167-L167</f>
        <v>-0.14760000000000006</v>
      </c>
      <c r="O167" s="7" t="str">
        <f>VLOOKUP(B167,'Detailed Update'!B:I,6,FALSE)</f>
        <v>SEC</v>
      </c>
      <c r="P167" s="7" t="str">
        <f>VLOOKUP(B167,'Detailed Update'!B:I,8,FALSE)</f>
        <v>TAIF - BAHA</v>
      </c>
      <c r="Q167" s="17" t="s">
        <v>53</v>
      </c>
      <c r="R167" s="10">
        <f>VLOOKUP(B167,'Detailed Update'!B:T,11,FALSE)</f>
        <v>46492</v>
      </c>
      <c r="S167" s="10">
        <f>VLOOKUP(B167,'Detailed Update'!B:T,12,FALSE)</f>
        <v>46492</v>
      </c>
      <c r="T167" s="9">
        <f>VLOOKUP(B167,'Detailed Update'!B:T,13,FALSE)</f>
        <v>46614</v>
      </c>
      <c r="U167" s="9">
        <f>VLOOKUP(B167,'Detailed Update'!B:T,17,FALSE)</f>
        <v>46645</v>
      </c>
      <c r="V167" s="9">
        <f>VLOOKUP(B167,'Detailed Update'!B:S,18,FALSE)</f>
        <v>46645</v>
      </c>
      <c r="W167" s="9">
        <f>VLOOKUP(B167,'Detailed Update'!B:T,19,FALSE)</f>
        <v>46767</v>
      </c>
      <c r="X167" s="11" t="str">
        <f>VLOOKUP(B167,'Detailed Update'!B:U,20,FALSE)</f>
        <v xml:space="preserve">- Contract Amendment of Rerouting Received 19-Aug that will require Change Order &amp; Impact on time and cost.
- On-Hold shipping for the Insulators &amp; Hardware due to the additional shipping cost imposed by the vendor is impacting stringing start by Oct-26.
- Manpower shortage for Assembly / Erection works impacting the site productivity.
- Delayed finalization of Stringing Subcontractor, impacting the readiness for stringing activities by Oct-26
- Delayed concreting readiness in the western area due to the availability of a batching plant (First, under relocation / Second, PO under finalization)  
</v>
      </c>
    </row>
    <row r="168" spans="1:24" ht="27.6" customHeight="1">
      <c r="A168" s="7">
        <v>135</v>
      </c>
      <c r="B168" s="7" t="s">
        <v>236</v>
      </c>
      <c r="C168" s="20" t="str">
        <f>VLOOKUP(B168,'Detailed Update'!B:C,2,FALSE)</f>
        <v>132KV Ad Dayir SS</v>
      </c>
      <c r="D168" s="13" t="str">
        <f>VLOOKUP(B168,'Updated Progress % + TCC'!B:D,3,FALSE)</f>
        <v>Moazam Ali Sayed</v>
      </c>
      <c r="E168" s="7" t="str">
        <f>VLOOKUP(B168,'Updated Progress % + TCC'!B:J,9,FALSE)</f>
        <v>Southern</v>
      </c>
      <c r="F168" s="13" t="str">
        <f t="shared" si="13"/>
        <v>Yes</v>
      </c>
      <c r="G168" s="13"/>
      <c r="H168" s="13"/>
      <c r="I168" s="13"/>
      <c r="J168" s="13"/>
      <c r="K168" s="14">
        <f>VLOOKUP(B168,'Detailed Update'!B:D,3,FALSE)</f>
        <v>46030</v>
      </c>
      <c r="L168" s="18">
        <f>VLOOKUP(B168,'Detailed Update'!B:I,4,FALSE)</f>
        <v>0.27</v>
      </c>
      <c r="M168" s="18">
        <f>VLOOKUP(B168,'Detailed Update'!B:I,5,FALSE)</f>
        <v>0.14000000000000001</v>
      </c>
      <c r="N168" s="18">
        <f t="shared" si="14"/>
        <v>-0.13</v>
      </c>
      <c r="O168" s="7" t="str">
        <f>VLOOKUP(B168,'Detailed Update'!B:I,6,FALSE)</f>
        <v>SEC</v>
      </c>
      <c r="P168" s="7" t="str">
        <f>VLOOKUP(B168,'Detailed Update'!B:I,8,FALSE)</f>
        <v>Jizan</v>
      </c>
      <c r="Q168" s="17" t="s">
        <v>53</v>
      </c>
      <c r="R168" s="10">
        <f>VLOOKUP(B168,'Detailed Update'!B:T,11,FALSE)</f>
        <v>46576</v>
      </c>
      <c r="S168" s="10">
        <f>VLOOKUP(B168,'Detailed Update'!B:T,12,FALSE)</f>
        <v>46576</v>
      </c>
      <c r="T168" s="9">
        <f>VLOOKUP(B168,'Detailed Update'!B:T,13,FALSE)</f>
        <v>46631</v>
      </c>
      <c r="U168" s="9">
        <f>VLOOKUP(B168,'Detailed Update'!B:T,17,FALSE)</f>
        <v>46729</v>
      </c>
      <c r="V168" s="9">
        <f>VLOOKUP(B168,'Detailed Update'!B:S,18,FALSE)</f>
        <v>46729</v>
      </c>
      <c r="W168" s="9">
        <f>VLOOKUP(B168,'Detailed Update'!B:T,19,FALSE)</f>
        <v>46784</v>
      </c>
      <c r="X168" s="11" t="str">
        <f>VLOOKUP(B168,'Detailed Update'!B:U,20,FALSE)</f>
        <v xml:space="preserve">-Delay in mobilization and site works as site handover given on 12-Feb-26
-Delay in RFM for protection,SST, HV Cables, and MV Cables due to delay in design submission from AES for SST &amp; Protection
-Delay in power source identification for auxiliary transformers which delay relocation of existing transformers and delays excavation works for the main building
-Delay in precast supplier confirmation as for using precast slap or cast in situ, due to hard access to the site as it is on a mountainous area which will hinder supplying of precast slap. late confirmation impacts civil design and civil works.
-Delay in manpower supplier prequalification approval for civil works
-GIS GAFM released 1.5 months later than planned and no manufacturing schedule received yet from siemens  </v>
      </c>
    </row>
    <row r="169" spans="1:24" ht="27.6" customHeight="1">
      <c r="A169" s="7">
        <v>136</v>
      </c>
      <c r="B169" s="7" t="s">
        <v>237</v>
      </c>
      <c r="C169" s="20" t="str">
        <f>VLOOKUP(B169,'Detailed Update'!B:C,2,FALSE)</f>
        <v>132KV Ayban SS</v>
      </c>
      <c r="D169" s="13" t="str">
        <f>VLOOKUP(B169,'Updated Progress % + TCC'!B:D,3,FALSE)</f>
        <v>Khawaja Fayyaz</v>
      </c>
      <c r="E169" s="7" t="str">
        <f>VLOOKUP(B169,'Updated Progress % + TCC'!B:J,9,FALSE)</f>
        <v>Southern</v>
      </c>
      <c r="F169" s="13" t="str">
        <f t="shared" si="13"/>
        <v>Yes</v>
      </c>
      <c r="G169" s="13"/>
      <c r="H169" s="13"/>
      <c r="I169" s="13"/>
      <c r="J169" s="13"/>
      <c r="K169" s="14">
        <f>VLOOKUP(B169,'Detailed Update'!B:D,3,FALSE)</f>
        <v>46000</v>
      </c>
      <c r="L169" s="18">
        <f>VLOOKUP(B169,'Detailed Update'!B:I,4,FALSE)</f>
        <v>0.4022</v>
      </c>
      <c r="M169" s="18">
        <f>VLOOKUP(B169,'Detailed Update'!B:I,5,FALSE)</f>
        <v>0.19800000000000001</v>
      </c>
      <c r="N169" s="18">
        <f t="shared" si="14"/>
        <v>-0.20419999999999999</v>
      </c>
      <c r="O169" s="7" t="str">
        <f>VLOOKUP(B169,'Detailed Update'!B:I,6,FALSE)</f>
        <v>SEC</v>
      </c>
      <c r="P169" s="7" t="str">
        <f>VLOOKUP(B169,'Detailed Update'!B:I,8,FALSE)</f>
        <v>Jizan</v>
      </c>
      <c r="Q169" s="17" t="s">
        <v>53</v>
      </c>
      <c r="R169" s="10">
        <f>VLOOKUP(B169,'Detailed Update'!B:T,11,FALSE)</f>
        <v>46547</v>
      </c>
      <c r="S169" s="10">
        <f>VLOOKUP(B169,'Detailed Update'!B:T,12,FALSE)</f>
        <v>46547</v>
      </c>
      <c r="T169" s="9">
        <f>VLOOKUP(B169,'Detailed Update'!B:T,13,FALSE)</f>
        <v>46608</v>
      </c>
      <c r="U169" s="9">
        <f>VLOOKUP(B169,'Detailed Update'!B:T,17,FALSE)</f>
        <v>46700</v>
      </c>
      <c r="V169" s="9">
        <f>VLOOKUP(B169,'Detailed Update'!B:S,18,FALSE)</f>
        <v>46700</v>
      </c>
      <c r="W169" s="9">
        <f>VLOOKUP(B169,'Detailed Update'!B:T,19,FALSE)</f>
        <v>46761</v>
      </c>
      <c r="X169" s="11" t="str">
        <f>VLOOKUP(B169,'Detailed Update'!B:U,20,FALSE)</f>
        <v>Presence of existing feeders, dead Gantry structures and cables causing delay in start of excavation</v>
      </c>
    </row>
    <row r="170" spans="1:24" ht="27.6" customHeight="1">
      <c r="A170" s="7">
        <v>137</v>
      </c>
      <c r="B170" s="7" t="s">
        <v>238</v>
      </c>
      <c r="C170" s="20" t="str">
        <f>VLOOKUP(B170,'Detailed Update'!B:C,2,FALSE)</f>
        <v>132KV Al-Haqu SS</v>
      </c>
      <c r="D170" s="13" t="str">
        <f>VLOOKUP(B170,'Updated Progress % + TCC'!B:D,3,FALSE)</f>
        <v>L1</v>
      </c>
      <c r="E170" s="7" t="str">
        <f>VLOOKUP(B170,'Updated Progress % + TCC'!B:J,9,FALSE)</f>
        <v>Southern</v>
      </c>
      <c r="F170" s="13" t="str">
        <f t="shared" si="13"/>
        <v>Yes</v>
      </c>
      <c r="G170" s="13"/>
      <c r="H170" s="13"/>
      <c r="I170" s="13"/>
      <c r="J170" s="13"/>
      <c r="K170" s="14" t="str">
        <f>VLOOKUP(B170,'Detailed Update'!B:D,3,FALSE)</f>
        <v>L1</v>
      </c>
      <c r="L170" s="18">
        <f>VLOOKUP(B170,'Detailed Update'!B:I,4,FALSE)</f>
        <v>0</v>
      </c>
      <c r="M170" s="18">
        <f>VLOOKUP(B170,'Detailed Update'!B:I,5,FALSE)</f>
        <v>0</v>
      </c>
      <c r="N170" s="18">
        <f t="shared" si="14"/>
        <v>0</v>
      </c>
      <c r="O170" s="7" t="str">
        <f>VLOOKUP(B170,'Detailed Update'!B:I,6,FALSE)</f>
        <v>-</v>
      </c>
      <c r="P170" s="7" t="str">
        <f>VLOOKUP(B170,'Detailed Update'!B:I,8,FALSE)</f>
        <v>-</v>
      </c>
      <c r="Q170" s="17" t="s">
        <v>53</v>
      </c>
      <c r="R170" s="10">
        <f>VLOOKUP(B170,'Detailed Update'!B:T,11,FALSE)</f>
        <v>0</v>
      </c>
      <c r="S170" s="10">
        <f>VLOOKUP(B170,'Detailed Update'!B:T,12,FALSE)</f>
        <v>0</v>
      </c>
      <c r="T170" s="9">
        <f>VLOOKUP(B170,'Detailed Update'!B:T,13,FALSE)</f>
        <v>0</v>
      </c>
      <c r="U170" s="9">
        <f>VLOOKUP(B170,'Detailed Update'!B:T,17,FALSE)</f>
        <v>0</v>
      </c>
      <c r="V170" s="9">
        <f>VLOOKUP(B170,'Detailed Update'!B:S,18,FALSE)</f>
        <v>0</v>
      </c>
      <c r="W170" s="9">
        <f>VLOOKUP(B170,'Detailed Update'!B:T,19,FALSE)</f>
        <v>0</v>
      </c>
      <c r="X170" s="11" t="str">
        <f>VLOOKUP(B170,'Detailed Update'!B:U,20,FALSE)</f>
        <v>-</v>
      </c>
    </row>
    <row r="171" spans="1:24" ht="27.6" customHeight="1">
      <c r="A171" s="7">
        <v>138</v>
      </c>
      <c r="B171" s="7" t="s">
        <v>239</v>
      </c>
      <c r="C171" s="20" t="str">
        <f>VLOOKUP(B171,'Detailed Update'!B:C,2,FALSE)</f>
        <v xml:space="preserve">REFURBISHMENT OF 132 KV ASIR CPS SUBSTATION IN SOUTHERN OPERATING AREA </v>
      </c>
      <c r="D171" s="13" t="str">
        <f>VLOOKUP(B171,'Updated Progress % + TCC'!B:D,3,FALSE)</f>
        <v>N/A</v>
      </c>
      <c r="E171" s="7" t="str">
        <f>VLOOKUP(B171,'Updated Progress % + TCC'!B:J,9,FALSE)</f>
        <v>Southern</v>
      </c>
      <c r="F171" s="13" t="str">
        <f t="shared" si="13"/>
        <v>Yes</v>
      </c>
      <c r="G171" s="13"/>
      <c r="H171" s="13"/>
      <c r="I171" s="13"/>
      <c r="J171" s="13"/>
      <c r="K171" s="14" t="str">
        <f>VLOOKUP(B171,'Detailed Update'!B:D,3,FALSE)</f>
        <v>L1</v>
      </c>
      <c r="L171" s="18">
        <f>VLOOKUP(B171,'Detailed Update'!B:I,4,FALSE)</f>
        <v>0</v>
      </c>
      <c r="M171" s="18">
        <f>VLOOKUP(B171,'Detailed Update'!B:I,5,FALSE)</f>
        <v>0</v>
      </c>
      <c r="N171" s="18">
        <f t="shared" ref="N171:N174" si="15">M171-L171</f>
        <v>0</v>
      </c>
      <c r="O171" s="7" t="str">
        <f>VLOOKUP(B171,'Detailed Update'!B:I,6,FALSE)</f>
        <v>SEC</v>
      </c>
      <c r="P171" s="7" t="str">
        <f>VLOOKUP(B171,'Detailed Update'!B:I,8,FALSE)</f>
        <v>-</v>
      </c>
      <c r="Q171" s="17" t="s">
        <v>53</v>
      </c>
      <c r="R171" s="10">
        <f>VLOOKUP(B171,'Detailed Update'!B:T,11,FALSE)</f>
        <v>0</v>
      </c>
      <c r="S171" s="10">
        <f>VLOOKUP(B171,'Detailed Update'!B:T,12,FALSE)</f>
        <v>0</v>
      </c>
      <c r="T171" s="9">
        <f>VLOOKUP(B171,'Detailed Update'!B:T,13,FALSE)</f>
        <v>0</v>
      </c>
      <c r="U171" s="9">
        <f>VLOOKUP(B171,'Detailed Update'!B:T,17,FALSE)</f>
        <v>0</v>
      </c>
      <c r="V171" s="9">
        <f>VLOOKUP(B171,'Detailed Update'!B:S,18,FALSE)</f>
        <v>0</v>
      </c>
      <c r="W171" s="9">
        <f>VLOOKUP(B171,'Detailed Update'!B:T,19,FALSE)</f>
        <v>0</v>
      </c>
      <c r="X171" s="11" t="str">
        <f>VLOOKUP(B171,'Detailed Update'!B:U,20,FALSE)</f>
        <v>-</v>
      </c>
    </row>
    <row r="172" spans="1:24" ht="27.6" customHeight="1">
      <c r="A172" s="7">
        <v>139</v>
      </c>
      <c r="B172" s="7" t="s">
        <v>240</v>
      </c>
      <c r="C172" s="20" t="str">
        <f>VLOOKUP(B172,'Detailed Update'!B:C,2,FALSE)</f>
        <v>CONVERT SAMAKH SUBSTATION TO A CONVENTIONAL SUBSTATION IN BISHA REGION-SOA</v>
      </c>
      <c r="D172" s="13" t="str">
        <f>VLOOKUP(B172,'Updated Progress % + TCC'!B:D,3,FALSE)</f>
        <v>N/A</v>
      </c>
      <c r="E172" s="7" t="str">
        <f>VLOOKUP(B172,'Updated Progress % + TCC'!B:J,9,FALSE)</f>
        <v>Southern</v>
      </c>
      <c r="F172" s="13" t="str">
        <f t="shared" si="13"/>
        <v>Yes</v>
      </c>
      <c r="G172" s="13"/>
      <c r="H172" s="13"/>
      <c r="I172" s="13"/>
      <c r="J172" s="13"/>
      <c r="K172" s="14" t="str">
        <f>VLOOKUP(B172,'Detailed Update'!B:D,3,FALSE)</f>
        <v>L1</v>
      </c>
      <c r="L172" s="18">
        <f>VLOOKUP(B172,'Detailed Update'!B:I,4,FALSE)</f>
        <v>0</v>
      </c>
      <c r="M172" s="18">
        <f>VLOOKUP(B172,'Detailed Update'!B:I,5,FALSE)</f>
        <v>0</v>
      </c>
      <c r="N172" s="18">
        <f t="shared" si="15"/>
        <v>0</v>
      </c>
      <c r="O172" s="7" t="str">
        <f>VLOOKUP(B172,'Detailed Update'!B:I,6,FALSE)</f>
        <v>SEC</v>
      </c>
      <c r="P172" s="7" t="str">
        <f>VLOOKUP(B172,'Detailed Update'!B:I,8,FALSE)</f>
        <v>-</v>
      </c>
      <c r="Q172" s="17" t="s">
        <v>53</v>
      </c>
      <c r="R172" s="10">
        <f>VLOOKUP(B172,'Detailed Update'!B:T,11,FALSE)</f>
        <v>0</v>
      </c>
      <c r="S172" s="10">
        <f>VLOOKUP(B172,'Detailed Update'!B:T,12,FALSE)</f>
        <v>0</v>
      </c>
      <c r="T172" s="9">
        <f>VLOOKUP(B172,'Detailed Update'!B:T,13,FALSE)</f>
        <v>0</v>
      </c>
      <c r="U172" s="9">
        <f>VLOOKUP(B172,'Detailed Update'!B:T,17,FALSE)</f>
        <v>0</v>
      </c>
      <c r="V172" s="9">
        <f>VLOOKUP(B172,'Detailed Update'!B:S,18,FALSE)</f>
        <v>0</v>
      </c>
      <c r="W172" s="9">
        <f>VLOOKUP(B172,'Detailed Update'!B:T,19,FALSE)</f>
        <v>0</v>
      </c>
      <c r="X172" s="11" t="str">
        <f>VLOOKUP(B172,'Detailed Update'!B:U,20,FALSE)</f>
        <v>-</v>
      </c>
    </row>
    <row r="173" spans="1:24" ht="27.6" customHeight="1">
      <c r="A173" s="7">
        <v>140</v>
      </c>
      <c r="B173" s="7" t="s">
        <v>241</v>
      </c>
      <c r="C173" s="20" t="str">
        <f>VLOOKUP(B173,'Detailed Update'!B:C,2,FALSE)</f>
        <v>CONST. NEW AD‑DARB S/S 132/33KV</v>
      </c>
      <c r="D173" s="13" t="str">
        <f>VLOOKUP(B173,'Updated Progress % + TCC'!B:D,3,FALSE)</f>
        <v>N/A</v>
      </c>
      <c r="E173" s="7" t="str">
        <f>VLOOKUP(B173,'Updated Progress % + TCC'!B:J,9,FALSE)</f>
        <v>Southern</v>
      </c>
      <c r="F173" s="13" t="str">
        <f t="shared" si="13"/>
        <v>Yes</v>
      </c>
      <c r="G173" s="13"/>
      <c r="H173" s="13"/>
      <c r="I173" s="13"/>
      <c r="J173" s="13"/>
      <c r="K173" s="14">
        <f>VLOOKUP(B173,'Detailed Update'!B:D,3,FALSE)</f>
        <v>46124</v>
      </c>
      <c r="L173" s="18">
        <f>VLOOKUP(B173,'Detailed Update'!B:I,4,FALSE)</f>
        <v>7.7299999999999994E-2</v>
      </c>
      <c r="M173" s="18">
        <f>VLOOKUP(B173,'Detailed Update'!B:I,5,FALSE)</f>
        <v>7.3700000000000002E-2</v>
      </c>
      <c r="N173" s="18">
        <f t="shared" si="15"/>
        <v>-3.5999999999999921E-3</v>
      </c>
      <c r="O173" s="7" t="str">
        <f>VLOOKUP(B173,'Detailed Update'!B:I,6,FALSE)</f>
        <v>SEC</v>
      </c>
      <c r="P173" s="7" t="str">
        <f>VLOOKUP(B173,'Detailed Update'!B:I,8,FALSE)</f>
        <v>Jizan</v>
      </c>
      <c r="Q173" s="17" t="s">
        <v>53</v>
      </c>
      <c r="R173" s="10">
        <f>VLOOKUP(B173,'Detailed Update'!B:T,11,FALSE)</f>
        <v>46855</v>
      </c>
      <c r="S173" s="10">
        <f>VLOOKUP(B173,'Detailed Update'!B:T,12,FALSE)</f>
        <v>46855</v>
      </c>
      <c r="T173" s="9">
        <f>VLOOKUP(B173,'Detailed Update'!B:T,13,FALSE)</f>
        <v>46855</v>
      </c>
      <c r="U173" s="9">
        <f>VLOOKUP(B173,'Detailed Update'!B:T,17,FALSE)</f>
        <v>47008</v>
      </c>
      <c r="V173" s="9">
        <f>VLOOKUP(B173,'Detailed Update'!B:S,18,FALSE)</f>
        <v>47008</v>
      </c>
      <c r="W173" s="9">
        <f>VLOOKUP(B173,'Detailed Update'!B:T,19,FALSE)</f>
        <v>47008</v>
      </c>
      <c r="X173" s="11" t="str">
        <f>VLOOKUP(B173,'Detailed Update'!B:U,20,FALSE)</f>
        <v>-</v>
      </c>
    </row>
    <row r="174" spans="1:24" ht="27.6" customHeight="1">
      <c r="A174" s="7">
        <v>141</v>
      </c>
      <c r="B174" s="7" t="s">
        <v>242</v>
      </c>
      <c r="C174" s="20" t="str">
        <f>VLOOKUP(B174,'Detailed Update'!B:C,2,FALSE)</f>
        <v>132KV OHTL BETWEEN SAMITAH PV AND MOKTARA SUBSTATION IN JAZAN– SOA</v>
      </c>
      <c r="D174" s="13" t="str">
        <f>VLOOKUP(B174,'Updated Progress % + TCC'!B:D,3,FALSE)</f>
        <v>N/A</v>
      </c>
      <c r="E174" s="7" t="str">
        <f>VLOOKUP(B174,'Updated Progress % + TCC'!B:J,9,FALSE)</f>
        <v>Southern</v>
      </c>
      <c r="F174" s="13" t="str">
        <f t="shared" si="13"/>
        <v>Yes</v>
      </c>
      <c r="G174" s="13"/>
      <c r="H174" s="13"/>
      <c r="I174" s="13"/>
      <c r="J174" s="13"/>
      <c r="K174" s="14">
        <f>VLOOKUP(B174,'Detailed Update'!B:D,3,FALSE)</f>
        <v>46155</v>
      </c>
      <c r="L174" s="18">
        <f>VLOOKUP(B174,'Detailed Update'!B:I,4,FALSE)</f>
        <v>0.1137</v>
      </c>
      <c r="M174" s="18">
        <f>VLOOKUP(B174,'Detailed Update'!B:I,5,FALSE)</f>
        <v>5.1799999999999999E-2</v>
      </c>
      <c r="N174" s="18">
        <f t="shared" si="15"/>
        <v>-6.1899999999999997E-2</v>
      </c>
      <c r="O174" s="7" t="str">
        <f>VLOOKUP(B174,'Detailed Update'!B:I,6,FALSE)</f>
        <v>SEC</v>
      </c>
      <c r="P174" s="7" t="str">
        <f>VLOOKUP(B174,'Detailed Update'!B:I,8,FALSE)</f>
        <v>Jizan</v>
      </c>
      <c r="Q174" s="17" t="s">
        <v>53</v>
      </c>
      <c r="R174" s="10">
        <f>VLOOKUP(B174,'Detailed Update'!B:T,11,FALSE)</f>
        <v>46704</v>
      </c>
      <c r="S174" s="10">
        <f>VLOOKUP(B174,'Detailed Update'!B:T,12,FALSE)</f>
        <v>46704</v>
      </c>
      <c r="T174" s="9">
        <f>VLOOKUP(B174,'Detailed Update'!B:T,13,FALSE)</f>
        <v>46704</v>
      </c>
      <c r="U174" s="9">
        <f>VLOOKUP(B174,'Detailed Update'!B:T,17,FALSE)</f>
        <v>46856</v>
      </c>
      <c r="V174" s="9">
        <f>VLOOKUP(B174,'Detailed Update'!B:S,18,FALSE)</f>
        <v>46856</v>
      </c>
      <c r="W174" s="9">
        <f>VLOOKUP(B174,'Detailed Update'!B:T,19,FALSE)</f>
        <v>46856</v>
      </c>
      <c r="X174" s="11" t="str">
        <f>VLOOKUP(B174,'Detailed Update'!B:U,20,FALSE)</f>
        <v>-</v>
      </c>
    </row>
    <row r="175" spans="1:24" ht="27.6" customHeight="1">
      <c r="A175" s="4"/>
      <c r="B175" s="4"/>
      <c r="C175" s="5" t="s">
        <v>243</v>
      </c>
      <c r="D175" s="15"/>
      <c r="E175" s="15"/>
      <c r="F175" s="15"/>
      <c r="G175" s="15"/>
      <c r="H175" s="15"/>
      <c r="I175" s="15"/>
      <c r="J175" s="15"/>
      <c r="K175" s="15"/>
      <c r="L175" s="15"/>
      <c r="M175" s="15"/>
      <c r="N175" s="15"/>
      <c r="O175" s="4"/>
      <c r="P175" s="4"/>
      <c r="Q175" s="36"/>
      <c r="R175" s="6"/>
      <c r="S175" s="6"/>
      <c r="T175" s="12"/>
      <c r="U175" s="12"/>
      <c r="V175" s="12"/>
      <c r="W175" s="12"/>
      <c r="X175" s="187"/>
    </row>
    <row r="176" spans="1:24" ht="27.6" customHeight="1">
      <c r="A176" s="13">
        <v>137</v>
      </c>
      <c r="B176" s="13" t="s">
        <v>244</v>
      </c>
      <c r="C176" s="20" t="str">
        <f>VLOOKUP(B176,'Detailed Update'!B:C,2,FALSE)</f>
        <v>Steel Factory - DOOSAN</v>
      </c>
      <c r="D176" s="13" t="str">
        <f>VLOOKUP(B176,'Updated Progress % + TCC'!B:D,3,FALSE)</f>
        <v>Ahmed Shebl</v>
      </c>
      <c r="E176" s="7" t="str">
        <f>VLOOKUP(B176,'Updated Progress % + TCC'!B:J,9,FALSE)</f>
        <v>Eastern</v>
      </c>
      <c r="F176" s="13" t="str">
        <f t="shared" si="13"/>
        <v>No</v>
      </c>
      <c r="G176" s="13" t="s">
        <v>25</v>
      </c>
      <c r="H176" s="13" t="s">
        <v>25</v>
      </c>
      <c r="I176" s="13" t="s">
        <v>25</v>
      </c>
      <c r="J176" s="13"/>
      <c r="K176" s="14">
        <f>VLOOKUP(B176,'Detailed Update'!B:D,3,FALSE)</f>
        <v>44679</v>
      </c>
      <c r="L176" s="18">
        <f>VLOOKUP(B176,'Detailed Update'!B:I,4,FALSE)</f>
        <v>0.99970000000000003</v>
      </c>
      <c r="M176" s="18">
        <f>VLOOKUP(B176,'Detailed Update'!B:I,5,FALSE)</f>
        <v>0.96519999999999995</v>
      </c>
      <c r="N176" s="18">
        <f t="shared" ref="N176:N189" si="16">M176-L176</f>
        <v>-3.4500000000000086E-2</v>
      </c>
      <c r="O176" s="7" t="str">
        <f>VLOOKUP(B176,'Detailed Update'!B:I,6,FALSE)</f>
        <v>Doosan</v>
      </c>
      <c r="P176" s="7" t="str">
        <f>VLOOKUP(B176,'Detailed Update'!B:I,8,FALSE)</f>
        <v>Ras Al Khair</v>
      </c>
      <c r="Q176" s="17" t="s">
        <v>53</v>
      </c>
      <c r="R176" s="10">
        <f>VLOOKUP(B176,'Detailed Update'!B:T,11,FALSE)</f>
        <v>45673</v>
      </c>
      <c r="S176" s="10">
        <f>VLOOKUP(B176,'Detailed Update'!B:T,12,FALSE)</f>
        <v>45673</v>
      </c>
      <c r="T176" s="9">
        <f>VLOOKUP(B176,'Detailed Update'!B:T,13,FALSE)</f>
        <v>45777</v>
      </c>
      <c r="U176" s="9">
        <f>VLOOKUP(B176,'Detailed Update'!B:T,17,FALSE)</f>
        <v>45673</v>
      </c>
      <c r="V176" s="9">
        <f>VLOOKUP(B176,'Detailed Update'!B:S,18,FALSE)</f>
        <v>45673</v>
      </c>
      <c r="W176" s="9">
        <f>VLOOKUP(B176,'Detailed Update'!B:T,19,FALSE)</f>
        <v>45777</v>
      </c>
      <c r="X176" s="11" t="str">
        <f>VLOOKUP(B176,'Detailed Update'!B:U,20,FALSE)</f>
        <v>-</v>
      </c>
    </row>
    <row r="177" spans="1:24" ht="27.6" customHeight="1">
      <c r="A177" s="13">
        <v>138</v>
      </c>
      <c r="B177" s="13" t="s">
        <v>245</v>
      </c>
      <c r="C177" s="20" t="str">
        <f>VLOOKUP(B177,'Detailed Update'!B:C,2,FALSE)</f>
        <v>NEOM Village NRC-11</v>
      </c>
      <c r="D177" s="13" t="str">
        <f>VLOOKUP(B177,'Updated Progress % + TCC'!B:D,3,FALSE)</f>
        <v>Kamran Ali</v>
      </c>
      <c r="E177" s="7" t="str">
        <f>VLOOKUP(B177,'Updated Progress % + TCC'!B:J,9,FALSE)</f>
        <v>Western</v>
      </c>
      <c r="F177" s="13" t="str">
        <f t="shared" si="13"/>
        <v>No</v>
      </c>
      <c r="G177" s="13" t="s">
        <v>25</v>
      </c>
      <c r="H177" s="13" t="s">
        <v>25</v>
      </c>
      <c r="I177" s="13" t="s">
        <v>25</v>
      </c>
      <c r="J177" s="13"/>
      <c r="K177" s="14">
        <f>VLOOKUP(B177,'Detailed Update'!B:D,3,FALSE)</f>
        <v>44679</v>
      </c>
      <c r="L177" s="18">
        <f>VLOOKUP(B177,'Detailed Update'!B:I,4,FALSE)</f>
        <v>1</v>
      </c>
      <c r="M177" s="18">
        <f>VLOOKUP(B177,'Detailed Update'!B:I,5,FALSE)</f>
        <v>0.99990000000000001</v>
      </c>
      <c r="N177" s="18">
        <f t="shared" si="16"/>
        <v>-9.9999999999988987E-5</v>
      </c>
      <c r="O177" s="7" t="str">
        <f>VLOOKUP(B177,'Detailed Update'!B:I,6,FALSE)</f>
        <v>AGD</v>
      </c>
      <c r="P177" s="7" t="str">
        <f>VLOOKUP(B177,'Detailed Update'!B:I,8,FALSE)</f>
        <v>NEOM</v>
      </c>
      <c r="Q177" s="17" t="s">
        <v>53</v>
      </c>
      <c r="R177" s="10">
        <f>VLOOKUP(B177,'Detailed Update'!B:T,11,FALSE)</f>
        <v>45449</v>
      </c>
      <c r="S177" s="10">
        <f>VLOOKUP(B177,'Detailed Update'!B:T,12,FALSE)</f>
        <v>45449</v>
      </c>
      <c r="T177" s="9">
        <f>VLOOKUP(B177,'Detailed Update'!B:T,13,FALSE)</f>
        <v>46022</v>
      </c>
      <c r="U177" s="9">
        <f>VLOOKUP(B177,'Detailed Update'!B:T,17,FALSE)</f>
        <v>45449</v>
      </c>
      <c r="V177" s="9">
        <f>VLOOKUP(B177,'Detailed Update'!B:S,18,FALSE)</f>
        <v>45449</v>
      </c>
      <c r="W177" s="9">
        <f>VLOOKUP(B177,'Detailed Update'!B:T,19,FALSE)</f>
        <v>45645</v>
      </c>
      <c r="X177" s="11" t="str">
        <f>VLOOKUP(B177,'Detailed Update'!B:U,20,FALSE)</f>
        <v>-</v>
      </c>
    </row>
    <row r="178" spans="1:24" ht="27.6" customHeight="1">
      <c r="A178" s="13">
        <v>139</v>
      </c>
      <c r="B178" s="13" t="s">
        <v>246</v>
      </c>
      <c r="C178" s="20" t="str">
        <f>VLOOKUP(B178,'Detailed Update'!B:C,2,FALSE)</f>
        <v>NEOM Village NRC-13</v>
      </c>
      <c r="D178" s="13" t="str">
        <f>VLOOKUP(B178,'Updated Progress % + TCC'!B:D,3,FALSE)</f>
        <v>Mohammd Elshafie</v>
      </c>
      <c r="E178" s="7" t="str">
        <f>VLOOKUP(B178,'Updated Progress % + TCC'!B:J,9,FALSE)</f>
        <v>Western</v>
      </c>
      <c r="F178" s="13" t="str">
        <f t="shared" si="13"/>
        <v>No</v>
      </c>
      <c r="G178" s="13" t="s">
        <v>25</v>
      </c>
      <c r="H178" s="13" t="s">
        <v>25</v>
      </c>
      <c r="I178" s="13" t="s">
        <v>25</v>
      </c>
      <c r="J178" s="13"/>
      <c r="K178" s="14">
        <f>VLOOKUP(B178,'Detailed Update'!B:D,3,FALSE)</f>
        <v>44679</v>
      </c>
      <c r="L178" s="18">
        <f>VLOOKUP(B178,'Detailed Update'!B:I,4,FALSE)</f>
        <v>1</v>
      </c>
      <c r="M178" s="18">
        <f>VLOOKUP(B178,'Detailed Update'!B:I,5,FALSE)</f>
        <v>0.99990000000000001</v>
      </c>
      <c r="N178" s="18">
        <f t="shared" si="16"/>
        <v>-9.9999999999988987E-5</v>
      </c>
      <c r="O178" s="7" t="str">
        <f>VLOOKUP(B178,'Detailed Update'!B:I,6,FALSE)</f>
        <v>AGD</v>
      </c>
      <c r="P178" s="7" t="str">
        <f>VLOOKUP(B178,'Detailed Update'!B:I,8,FALSE)</f>
        <v>NEOM</v>
      </c>
      <c r="Q178" s="17" t="s">
        <v>53</v>
      </c>
      <c r="R178" s="10">
        <f>VLOOKUP(B178,'Detailed Update'!B:T,11,FALSE)</f>
        <v>45449</v>
      </c>
      <c r="S178" s="10">
        <f>VLOOKUP(B178,'Detailed Update'!B:T,12,FALSE)</f>
        <v>45449</v>
      </c>
      <c r="T178" s="9">
        <f>VLOOKUP(B178,'Detailed Update'!B:T,13,FALSE)</f>
        <v>46022</v>
      </c>
      <c r="U178" s="9">
        <f>VLOOKUP(B178,'Detailed Update'!B:T,17,FALSE)</f>
        <v>45449</v>
      </c>
      <c r="V178" s="9">
        <f>VLOOKUP(B178,'Detailed Update'!B:S,18,FALSE)</f>
        <v>45449</v>
      </c>
      <c r="W178" s="9">
        <f>VLOOKUP(B178,'Detailed Update'!B:T,19,FALSE)</f>
        <v>45645</v>
      </c>
      <c r="X178" s="11" t="str">
        <f>VLOOKUP(B178,'Detailed Update'!B:U,20,FALSE)</f>
        <v>-</v>
      </c>
    </row>
    <row r="179" spans="1:24" ht="27.6" customHeight="1">
      <c r="A179" s="13">
        <v>140</v>
      </c>
      <c r="B179" s="13" t="s">
        <v>247</v>
      </c>
      <c r="C179" s="20" t="str">
        <f>VLOOKUP(B179,'Detailed Update'!B:C,2,FALSE)</f>
        <v>NEOM Village NRC-17</v>
      </c>
      <c r="D179" s="13" t="str">
        <f>VLOOKUP(B179,'Updated Progress % + TCC'!B:D,3,FALSE)</f>
        <v>Abdelhadi Abdulhalim Kassem</v>
      </c>
      <c r="E179" s="7" t="str">
        <f>VLOOKUP(B179,'Updated Progress % + TCC'!B:J,9,FALSE)</f>
        <v>Western</v>
      </c>
      <c r="F179" s="13" t="str">
        <f t="shared" si="13"/>
        <v>No</v>
      </c>
      <c r="G179" s="13" t="s">
        <v>25</v>
      </c>
      <c r="H179" s="13" t="s">
        <v>25</v>
      </c>
      <c r="I179" s="13" t="s">
        <v>25</v>
      </c>
      <c r="J179" s="13"/>
      <c r="K179" s="14">
        <f>VLOOKUP(B179,'Detailed Update'!B:D,3,FALSE)</f>
        <v>44679</v>
      </c>
      <c r="L179" s="18">
        <f>VLOOKUP(B179,'Detailed Update'!B:I,4,FALSE)</f>
        <v>1</v>
      </c>
      <c r="M179" s="18">
        <f>VLOOKUP(B179,'Detailed Update'!B:I,5,FALSE)</f>
        <v>0.99990000000000001</v>
      </c>
      <c r="N179" s="18">
        <f t="shared" si="16"/>
        <v>-9.9999999999988987E-5</v>
      </c>
      <c r="O179" s="7" t="str">
        <f>VLOOKUP(B179,'Detailed Update'!B:I,6,FALSE)</f>
        <v>AGD</v>
      </c>
      <c r="P179" s="7" t="str">
        <f>VLOOKUP(B179,'Detailed Update'!B:I,8,FALSE)</f>
        <v>NEOM</v>
      </c>
      <c r="Q179" s="17" t="s">
        <v>53</v>
      </c>
      <c r="R179" s="10">
        <f>VLOOKUP(B179,'Detailed Update'!B:T,11,FALSE)</f>
        <v>45449</v>
      </c>
      <c r="S179" s="10">
        <f>VLOOKUP(B179,'Detailed Update'!B:T,12,FALSE)</f>
        <v>45449</v>
      </c>
      <c r="T179" s="9">
        <f>VLOOKUP(B179,'Detailed Update'!B:T,13,FALSE)</f>
        <v>46022</v>
      </c>
      <c r="U179" s="9">
        <f>VLOOKUP(B179,'Detailed Update'!B:T,17,FALSE)</f>
        <v>45449</v>
      </c>
      <c r="V179" s="9">
        <f>VLOOKUP(B179,'Detailed Update'!B:S,18,FALSE)</f>
        <v>45449</v>
      </c>
      <c r="W179" s="9">
        <f>VLOOKUP(B179,'Detailed Update'!B:T,19,FALSE)</f>
        <v>45641</v>
      </c>
      <c r="X179" s="11" t="str">
        <f>VLOOKUP(B179,'Detailed Update'!B:U,20,FALSE)</f>
        <v>-</v>
      </c>
    </row>
    <row r="180" spans="1:24" ht="27.6" customHeight="1">
      <c r="A180" s="13">
        <v>141</v>
      </c>
      <c r="B180" s="13" t="s">
        <v>248</v>
      </c>
      <c r="C180" s="20" t="str">
        <f>VLOOKUP(B180,'Detailed Update'!B:C,2,FALSE)</f>
        <v>NEOM Village NRC-19</v>
      </c>
      <c r="D180" s="13" t="str">
        <f>VLOOKUP(B180,'Updated Progress % + TCC'!B:D,3,FALSE)</f>
        <v>Fahed Al Malki</v>
      </c>
      <c r="E180" s="7" t="str">
        <f>VLOOKUP(B180,'Updated Progress % + TCC'!B:J,9,FALSE)</f>
        <v>Western</v>
      </c>
      <c r="F180" s="13" t="str">
        <f t="shared" si="13"/>
        <v>No</v>
      </c>
      <c r="G180" s="13" t="s">
        <v>25</v>
      </c>
      <c r="H180" s="13" t="s">
        <v>25</v>
      </c>
      <c r="I180" s="13" t="s">
        <v>25</v>
      </c>
      <c r="J180" s="13"/>
      <c r="K180" s="14" t="str">
        <f>VLOOKUP(B180,'Detailed Update'!B:D,3,FALSE)</f>
        <v xml:space="preserve"> </v>
      </c>
      <c r="L180" s="18">
        <f>VLOOKUP(B180,'Detailed Update'!B:I,4,FALSE)</f>
        <v>1</v>
      </c>
      <c r="M180" s="18">
        <f>VLOOKUP(B180,'Detailed Update'!B:I,5,FALSE)</f>
        <v>0.99990000000000001</v>
      </c>
      <c r="N180" s="18">
        <f t="shared" si="16"/>
        <v>-9.9999999999988987E-5</v>
      </c>
      <c r="O180" s="7" t="str">
        <f>VLOOKUP(B180,'Detailed Update'!B:I,6,FALSE)</f>
        <v>AGD</v>
      </c>
      <c r="P180" s="7" t="str">
        <f>VLOOKUP(B180,'Detailed Update'!B:I,8,FALSE)</f>
        <v>NEOM</v>
      </c>
      <c r="Q180" s="17" t="s">
        <v>53</v>
      </c>
      <c r="R180" s="10">
        <f>VLOOKUP(B180,'Detailed Update'!B:T,11,FALSE)</f>
        <v>45494</v>
      </c>
      <c r="S180" s="10">
        <f>VLOOKUP(B180,'Detailed Update'!B:T,12,FALSE)</f>
        <v>45494</v>
      </c>
      <c r="T180" s="9">
        <f>VLOOKUP(B180,'Detailed Update'!B:T,13,FALSE)</f>
        <v>46022</v>
      </c>
      <c r="U180" s="9">
        <f>VLOOKUP(B180,'Detailed Update'!B:T,17,FALSE)</f>
        <v>45494</v>
      </c>
      <c r="V180" s="9">
        <f>VLOOKUP(B180,'Detailed Update'!B:S,18,FALSE)</f>
        <v>45494</v>
      </c>
      <c r="W180" s="9">
        <f>VLOOKUP(B180,'Detailed Update'!B:T,19,FALSE)</f>
        <v>45641</v>
      </c>
      <c r="X180" s="11" t="str">
        <f>VLOOKUP(B180,'Detailed Update'!B:U,20,FALSE)</f>
        <v>-</v>
      </c>
    </row>
    <row r="181" spans="1:24" ht="27.6" customHeight="1">
      <c r="A181" s="13">
        <v>142</v>
      </c>
      <c r="B181" s="13" t="s">
        <v>249</v>
      </c>
      <c r="C181" s="20" t="str">
        <f>VLOOKUP(B181,'Detailed Update'!B:C,2,FALSE)</f>
        <v>NEOM Village NRC-26</v>
      </c>
      <c r="D181" s="13" t="str">
        <f>VLOOKUP(B181,'Updated Progress % + TCC'!B:D,3,FALSE)</f>
        <v>Mohamed Shokry</v>
      </c>
      <c r="E181" s="7" t="str">
        <f>VLOOKUP(B181,'Updated Progress % + TCC'!B:J,9,FALSE)</f>
        <v>Western</v>
      </c>
      <c r="F181" s="13" t="str">
        <f t="shared" si="13"/>
        <v>No</v>
      </c>
      <c r="G181" s="13" t="s">
        <v>25</v>
      </c>
      <c r="H181" s="13" t="s">
        <v>25</v>
      </c>
      <c r="I181" s="13" t="s">
        <v>25</v>
      </c>
      <c r="J181" s="13"/>
      <c r="K181" s="14">
        <f>VLOOKUP(B181,'Detailed Update'!B:D,3,FALSE)</f>
        <v>44885</v>
      </c>
      <c r="L181" s="18">
        <f>VLOOKUP(B181,'Detailed Update'!B:I,4,FALSE)</f>
        <v>1</v>
      </c>
      <c r="M181" s="18">
        <f>VLOOKUP(B181,'Detailed Update'!B:I,5,FALSE)</f>
        <v>0.99990000000000001</v>
      </c>
      <c r="N181" s="18">
        <f t="shared" si="16"/>
        <v>-9.9999999999988987E-5</v>
      </c>
      <c r="O181" s="7" t="str">
        <f>VLOOKUP(B181,'Detailed Update'!B:I,6,FALSE)</f>
        <v>AGD</v>
      </c>
      <c r="P181" s="7" t="str">
        <f>VLOOKUP(B181,'Detailed Update'!B:I,8,FALSE)</f>
        <v>NEOM</v>
      </c>
      <c r="Q181" s="17" t="s">
        <v>53</v>
      </c>
      <c r="R181" s="10">
        <f>VLOOKUP(B181,'Detailed Update'!B:T,11,FALSE)</f>
        <v>45539</v>
      </c>
      <c r="S181" s="10">
        <f>VLOOKUP(B181,'Detailed Update'!B:T,12,FALSE)</f>
        <v>45539</v>
      </c>
      <c r="T181" s="9">
        <f>VLOOKUP(B181,'Detailed Update'!B:T,13,FALSE)</f>
        <v>46022</v>
      </c>
      <c r="U181" s="9">
        <f>VLOOKUP(B181,'Detailed Update'!B:T,17,FALSE)</f>
        <v>45539</v>
      </c>
      <c r="V181" s="9">
        <f>VLOOKUP(B181,'Detailed Update'!B:S,18,FALSE)</f>
        <v>45539</v>
      </c>
      <c r="W181" s="9">
        <f>VLOOKUP(B181,'Detailed Update'!B:T,19,FALSE)</f>
        <v>45672</v>
      </c>
      <c r="X181" s="11" t="str">
        <f>VLOOKUP(B181,'Detailed Update'!B:U,20,FALSE)</f>
        <v>-</v>
      </c>
    </row>
    <row r="182" spans="1:24" ht="27.6" customHeight="1">
      <c r="A182" s="13">
        <v>143</v>
      </c>
      <c r="B182" s="13" t="s">
        <v>250</v>
      </c>
      <c r="C182" s="20" t="str">
        <f>VLOOKUP(B182,'Detailed Update'!B:C,2,FALSE)</f>
        <v>SEVEN JIZAN Project</v>
      </c>
      <c r="D182" s="13" t="str">
        <f>VLOOKUP(B182,'Updated Progress % + TCC'!B:D,3,FALSE)</f>
        <v>Khalid Khalil</v>
      </c>
      <c r="E182" s="7" t="str">
        <f>VLOOKUP(B182,'Updated Progress % + TCC'!B:J,9,FALSE)</f>
        <v>Southern</v>
      </c>
      <c r="F182" s="13" t="str">
        <f t="shared" si="13"/>
        <v>Yes</v>
      </c>
      <c r="G182" s="13"/>
      <c r="H182" s="13"/>
      <c r="I182" s="13" t="s">
        <v>45</v>
      </c>
      <c r="J182" s="13"/>
      <c r="K182" s="14">
        <f>VLOOKUP(B182,'Detailed Update'!B:D,3,FALSE)</f>
        <v>45074</v>
      </c>
      <c r="L182" s="18">
        <f>VLOOKUP(B182,'Detailed Update'!B:I,4,FALSE)</f>
        <v>1</v>
      </c>
      <c r="M182" s="18">
        <f>VLOOKUP(B182,'Detailed Update'!B:I,5,FALSE)</f>
        <v>0.6028</v>
      </c>
      <c r="N182" s="18">
        <f t="shared" si="16"/>
        <v>-0.3972</v>
      </c>
      <c r="O182" s="7" t="str">
        <f>VLOOKUP(B182,'Detailed Update'!B:I,6,FALSE)</f>
        <v>SEVEN</v>
      </c>
      <c r="P182" s="7" t="str">
        <f>VLOOKUP(B182,'Detailed Update'!B:I,8,FALSE)</f>
        <v>Jizan</v>
      </c>
      <c r="Q182" s="17" t="s">
        <v>53</v>
      </c>
      <c r="R182" s="10">
        <f>VLOOKUP(B182,'Detailed Update'!B:T,11,FALSE)</f>
        <v>45804</v>
      </c>
      <c r="S182" s="10">
        <f>VLOOKUP(B182,'Detailed Update'!B:T,12,FALSE)</f>
        <v>45804</v>
      </c>
      <c r="T182" s="9">
        <f>VLOOKUP(B182,'Detailed Update'!B:T,13,FALSE)</f>
        <v>46294</v>
      </c>
      <c r="U182" s="9">
        <f>VLOOKUP(B182,'Detailed Update'!B:T,17,FALSE)</f>
        <v>45804</v>
      </c>
      <c r="V182" s="9">
        <f>VLOOKUP(B182,'Detailed Update'!B:S,18,FALSE)</f>
        <v>45804</v>
      </c>
      <c r="W182" s="9">
        <f>VLOOKUP(B182,'Detailed Update'!B:T,19,FALSE)</f>
        <v>46294</v>
      </c>
      <c r="X182" s="11" t="str">
        <f>VLOOKUP(B182,'Detailed Update'!B:U,20,FALSE)</f>
        <v>-</v>
      </c>
    </row>
    <row r="183" spans="1:24" ht="27.6" customHeight="1">
      <c r="A183" s="13">
        <v>144</v>
      </c>
      <c r="B183" s="13" t="s">
        <v>251</v>
      </c>
      <c r="C183" s="20" t="str">
        <f>VLOOKUP(B183,'Detailed Update'!B:C,2,FALSE)</f>
        <v>NEOM Community 1 expansion</v>
      </c>
      <c r="D183" s="13" t="str">
        <f>VLOOKUP(B183,'Updated Progress % + TCC'!B:D,3,FALSE)</f>
        <v>Mohammed Khurbush</v>
      </c>
      <c r="E183" s="7" t="str">
        <f>VLOOKUP(B183,'Updated Progress % + TCC'!B:J,9,FALSE)</f>
        <v>Western</v>
      </c>
      <c r="F183" s="13" t="str">
        <f t="shared" si="13"/>
        <v>No</v>
      </c>
      <c r="G183" s="13" t="s">
        <v>25</v>
      </c>
      <c r="H183" s="13" t="s">
        <v>25</v>
      </c>
      <c r="I183" s="13" t="s">
        <v>25</v>
      </c>
      <c r="J183" s="13"/>
      <c r="K183" s="14">
        <f>VLOOKUP(B183,'Detailed Update'!B:D,3,FALSE)</f>
        <v>45078</v>
      </c>
      <c r="L183" s="18">
        <f>VLOOKUP(B183,'Detailed Update'!B:I,4,FALSE)</f>
        <v>1</v>
      </c>
      <c r="M183" s="18">
        <f>VLOOKUP(B183,'Detailed Update'!B:I,5,FALSE)</f>
        <v>1</v>
      </c>
      <c r="N183" s="18">
        <f t="shared" si="16"/>
        <v>0</v>
      </c>
      <c r="O183" s="7" t="str">
        <f>VLOOKUP(B183,'Detailed Update'!B:I,6,FALSE)</f>
        <v xml:space="preserve">NEOM  </v>
      </c>
      <c r="P183" s="7" t="str">
        <f>VLOOKUP(B183,'Detailed Update'!B:I,8,FALSE)</f>
        <v>NEOM</v>
      </c>
      <c r="Q183" s="17" t="s">
        <v>53</v>
      </c>
      <c r="R183" s="10">
        <f>VLOOKUP(B183,'Detailed Update'!B:T,11,FALSE)</f>
        <v>45386</v>
      </c>
      <c r="S183" s="10">
        <f>VLOOKUP(B183,'Detailed Update'!B:T,12,FALSE)</f>
        <v>45467</v>
      </c>
      <c r="T183" s="9">
        <f>VLOOKUP(B183,'Detailed Update'!B:T,13,FALSE)</f>
        <v>45792</v>
      </c>
      <c r="U183" s="9">
        <f>VLOOKUP(B183,'Detailed Update'!B:T,17,FALSE)</f>
        <v>45386</v>
      </c>
      <c r="V183" s="9">
        <f>VLOOKUP(B183,'Detailed Update'!B:S,18,FALSE)</f>
        <v>45467</v>
      </c>
      <c r="W183" s="9">
        <f>VLOOKUP(B183,'Detailed Update'!B:T,19,FALSE)</f>
        <v>45792</v>
      </c>
      <c r="X183" s="11" t="str">
        <f>VLOOKUP(B183,'Detailed Update'!B:U,20,FALSE)</f>
        <v>-</v>
      </c>
    </row>
    <row r="184" spans="1:24" ht="27.6" customHeight="1">
      <c r="A184" s="13">
        <v>145</v>
      </c>
      <c r="B184" s="13" t="s">
        <v>252</v>
      </c>
      <c r="C184" s="20" t="str">
        <f>VLOOKUP(B184,'Detailed Update'!B:C,2,FALSE)</f>
        <v>SWRO Des. Plant | Shoaibha PP</v>
      </c>
      <c r="D184" s="13" t="str">
        <f>VLOOKUP(B184,'Updated Progress % + TCC'!B:D,3,FALSE)</f>
        <v>Fathi Mousa</v>
      </c>
      <c r="E184" s="7" t="str">
        <f>VLOOKUP(B184,'Updated Progress % + TCC'!B:J,9,FALSE)</f>
        <v>Western</v>
      </c>
      <c r="F184" s="13" t="str">
        <f t="shared" si="13"/>
        <v>No</v>
      </c>
      <c r="G184" s="13" t="s">
        <v>45</v>
      </c>
      <c r="H184" s="13" t="s">
        <v>45</v>
      </c>
      <c r="I184" s="13" t="s">
        <v>45</v>
      </c>
      <c r="J184" s="13"/>
      <c r="K184" s="14">
        <f>VLOOKUP(B184,'Detailed Update'!B:D,3,FALSE)</f>
        <v>45642</v>
      </c>
      <c r="L184" s="18">
        <f>VLOOKUP(B184,'Detailed Update'!B:I,4,FALSE)</f>
        <v>1</v>
      </c>
      <c r="M184" s="18">
        <f>VLOOKUP(B184,'Detailed Update'!B:I,5,FALSE)</f>
        <v>0.82840000000000003</v>
      </c>
      <c r="N184" s="18">
        <f t="shared" si="16"/>
        <v>-0.17159999999999997</v>
      </c>
      <c r="O184" s="7" t="str">
        <f>VLOOKUP(B184,'Detailed Update'!B:I,6,FALSE)</f>
        <v>SEC</v>
      </c>
      <c r="P184" s="7" t="str">
        <f>VLOOKUP(B184,'Detailed Update'!B:I,8,FALSE)</f>
        <v>Shoaibha</v>
      </c>
      <c r="Q184" s="32" t="s">
        <v>33</v>
      </c>
      <c r="R184" s="10">
        <f>VLOOKUP(B184,'Detailed Update'!B:T,11,FALSE)</f>
        <v>46158</v>
      </c>
      <c r="S184" s="10">
        <f>VLOOKUP(B184,'Detailed Update'!B:T,12,FALSE)</f>
        <v>46264</v>
      </c>
      <c r="T184" s="9">
        <f>VLOOKUP(B184,'Detailed Update'!B:T,13,FALSE)</f>
        <v>46295</v>
      </c>
      <c r="U184" s="9">
        <f>VLOOKUP(B184,'Detailed Update'!B:T,17,FALSE)</f>
        <v>46554</v>
      </c>
      <c r="V184" s="9">
        <f>VLOOKUP(B184,'Detailed Update'!B:S,18,FALSE)</f>
        <v>46660</v>
      </c>
      <c r="W184" s="9">
        <f>VLOOKUP(B184,'Detailed Update'!B:T,19,FALSE)</f>
        <v>46690</v>
      </c>
      <c r="X184" s="11" t="str">
        <f>VLOOKUP(B184,'Detailed Update'!B:U,20,FALSE)</f>
        <v>* Conditions Approval received TCC 30-Aug-26 
*Neutralization Pit : SE to review and approve the required Variation Order
* PO for Existing MV switchgear CT :  Expedite the delivery of the CT
*Outdoor Works Permit : approve 24h working outside the fence. Pipe and cable routing activities are delayed 
*Tank No. 3 Outage Required: Delay on tie-in works</v>
      </c>
    </row>
    <row r="185" spans="1:24" ht="27.6" customHeight="1">
      <c r="A185" s="13">
        <v>146</v>
      </c>
      <c r="B185" s="13" t="s">
        <v>253</v>
      </c>
      <c r="C185" s="20" t="str">
        <f>VLOOKUP(B185,'Detailed Update'!B:C,2,FALSE)</f>
        <v>SABGS - Phase IV Schools-Central</v>
      </c>
      <c r="D185" s="13" t="str">
        <f>VLOOKUP(B185,'Updated Progress % + TCC'!B:D,3,FALSE)</f>
        <v>Ahmed Shebl</v>
      </c>
      <c r="E185" s="7" t="str">
        <f>VLOOKUP(B185,'Updated Progress % + TCC'!B:J,9,FALSE)</f>
        <v>Eastern</v>
      </c>
      <c r="F185" s="13" t="str">
        <f t="shared" si="13"/>
        <v>Yes</v>
      </c>
      <c r="G185" s="13" t="str">
        <f>IF(N185&gt;70.01%,"No","Yes")</f>
        <v>Yes</v>
      </c>
      <c r="H185" s="13" t="s">
        <v>36</v>
      </c>
      <c r="I185" s="13"/>
      <c r="J185" s="13"/>
      <c r="K185" s="14">
        <f>VLOOKUP(B185,'Detailed Update'!B:D,3,FALSE)</f>
        <v>45697</v>
      </c>
      <c r="L185" s="18">
        <f>VLOOKUP(B185,'Detailed Update'!B:I,4,FALSE)</f>
        <v>0.32400000000000001</v>
      </c>
      <c r="M185" s="18">
        <f>VLOOKUP(B185,'Detailed Update'!B:I,5,FALSE)</f>
        <v>0.21490000000000001</v>
      </c>
      <c r="N185" s="18">
        <f t="shared" si="16"/>
        <v>-0.1091</v>
      </c>
      <c r="O185" s="7" t="str">
        <f>VLOOKUP(B185,'Detailed Update'!B:I,6,FALSE)</f>
        <v>Aramco</v>
      </c>
      <c r="P185" s="7" t="str">
        <f>VLOOKUP(B185,'Detailed Update'!B:I,8,FALSE)</f>
        <v>Dammam</v>
      </c>
      <c r="Q185" s="32" t="s">
        <v>33</v>
      </c>
      <c r="R185" s="10">
        <f>VLOOKUP(B185,'Detailed Update'!B:T,11,FALSE)</f>
        <v>46657</v>
      </c>
      <c r="S185" s="10">
        <f>VLOOKUP(B185,'Detailed Update'!B:T,12,FALSE)</f>
        <v>46657</v>
      </c>
      <c r="T185" s="9">
        <f>VLOOKUP(B185,'Detailed Update'!B:T,13,FALSE)</f>
        <v>47164</v>
      </c>
      <c r="U185" s="9">
        <f>VLOOKUP(B185,'Detailed Update'!B:T,17,FALSE)</f>
        <v>46687</v>
      </c>
      <c r="V185" s="9">
        <f>VLOOKUP(B185,'Detailed Update'!B:S,18,FALSE)</f>
        <v>46687</v>
      </c>
      <c r="W185" s="9">
        <f>VLOOKUP(B185,'Detailed Update'!B:T,19,FALSE)</f>
        <v>47193</v>
      </c>
      <c r="X185" s="11" t="str">
        <f>VLOOKUP(B185,'Detailed Update'!B:U,20,FALSE)</f>
        <v>-</v>
      </c>
    </row>
    <row r="186" spans="1:24" ht="27.6" customHeight="1">
      <c r="A186" s="13">
        <v>147</v>
      </c>
      <c r="B186" s="13" t="s">
        <v>254</v>
      </c>
      <c r="C186" s="20" t="str">
        <f>VLOOKUP(B186,'Detailed Update'!B:C,2,FALSE)</f>
        <v xml:space="preserve">SABGS - Phase IV Schools-Southern </v>
      </c>
      <c r="D186" s="13" t="str">
        <f>VLOOKUP(B186,'Updated Progress % + TCC'!B:D,3,FALSE)</f>
        <v>Ahmed Shebl</v>
      </c>
      <c r="E186" s="7" t="str">
        <f>VLOOKUP(B186,'Updated Progress % + TCC'!B:J,9,FALSE)</f>
        <v>Eastern</v>
      </c>
      <c r="F186" s="13" t="str">
        <f t="shared" si="13"/>
        <v>Yes</v>
      </c>
      <c r="G186" s="13" t="str">
        <f>IF(N186&gt;70.01%,"No","Yes")</f>
        <v>Yes</v>
      </c>
      <c r="H186" s="13" t="s">
        <v>36</v>
      </c>
      <c r="I186" s="13"/>
      <c r="J186" s="13"/>
      <c r="K186" s="14">
        <f>VLOOKUP(B186,'Detailed Update'!B:D,3,FALSE)</f>
        <v>45697</v>
      </c>
      <c r="L186" s="18">
        <f>VLOOKUP(B186,'Detailed Update'!B:I,4,FALSE)</f>
        <v>0.32040000000000002</v>
      </c>
      <c r="M186" s="18">
        <f>VLOOKUP(B186,'Detailed Update'!B:I,5,FALSE)</f>
        <v>0.19139999999999999</v>
      </c>
      <c r="N186" s="18">
        <f t="shared" si="16"/>
        <v>-0.12900000000000003</v>
      </c>
      <c r="O186" s="7" t="str">
        <f>VLOOKUP(B186,'Detailed Update'!B:I,6,FALSE)</f>
        <v>Aramco</v>
      </c>
      <c r="P186" s="7" t="str">
        <f>VLOOKUP(B186,'Detailed Update'!B:I,8,FALSE)</f>
        <v>Hofuf</v>
      </c>
      <c r="Q186" s="17" t="s">
        <v>53</v>
      </c>
      <c r="R186" s="10">
        <f>VLOOKUP(B186,'Detailed Update'!B:T,11,FALSE)</f>
        <v>46657</v>
      </c>
      <c r="S186" s="10">
        <f>VLOOKUP(B186,'Detailed Update'!B:T,12,FALSE)</f>
        <v>46657</v>
      </c>
      <c r="T186" s="9">
        <f>VLOOKUP(B186,'Detailed Update'!B:T,13,FALSE)</f>
        <v>46781</v>
      </c>
      <c r="U186" s="9">
        <f>VLOOKUP(B186,'Detailed Update'!B:T,17,FALSE)</f>
        <v>46687</v>
      </c>
      <c r="V186" s="9">
        <f>VLOOKUP(B186,'Detailed Update'!B:S,18,FALSE)</f>
        <v>46687</v>
      </c>
      <c r="W186" s="9">
        <f>VLOOKUP(B186,'Detailed Update'!B:T,19,FALSE)</f>
        <v>46817</v>
      </c>
      <c r="X186" s="11" t="str">
        <f>VLOOKUP(B186,'Detailed Update'!B:U,20,FALSE)</f>
        <v>-</v>
      </c>
    </row>
    <row r="187" spans="1:24" ht="27.6" customHeight="1">
      <c r="A187" s="13">
        <v>148</v>
      </c>
      <c r="B187" s="13" t="s">
        <v>255</v>
      </c>
      <c r="C187" s="20" t="str">
        <f>VLOOKUP(B187,'Detailed Update'!B:C,2,FALSE)</f>
        <v>SWRO Des. Plant- Shuqaiq Power Plant</v>
      </c>
      <c r="D187" s="13" t="str">
        <f>VLOOKUP(B187,'Updated Progress % + TCC'!B:D,3,FALSE)</f>
        <v>Fathi Mousa</v>
      </c>
      <c r="E187" s="7" t="str">
        <f>VLOOKUP(B187,'Updated Progress % + TCC'!B:J,9,FALSE)</f>
        <v>Southern</v>
      </c>
      <c r="F187" s="13" t="str">
        <f t="shared" si="13"/>
        <v>Yes</v>
      </c>
      <c r="G187" s="13" t="s">
        <v>25</v>
      </c>
      <c r="H187" s="13"/>
      <c r="I187" s="13"/>
      <c r="J187" s="13"/>
      <c r="K187" s="14">
        <f>VLOOKUP(B187,'Detailed Update'!B:D,3,FALSE)</f>
        <v>45775</v>
      </c>
      <c r="L187" s="18">
        <f>VLOOKUP(B187,'Detailed Update'!B:I,4,FALSE)</f>
        <v>0.80449999999999999</v>
      </c>
      <c r="M187" s="18">
        <f>VLOOKUP(B187,'Detailed Update'!B:I,5,FALSE)</f>
        <v>0.60060000000000002</v>
      </c>
      <c r="N187" s="18">
        <f t="shared" si="16"/>
        <v>-0.20389999999999997</v>
      </c>
      <c r="O187" s="7" t="str">
        <f>VLOOKUP(B187,'Detailed Update'!B:I,6,FALSE)</f>
        <v>SEC</v>
      </c>
      <c r="P187" s="7" t="str">
        <f>VLOOKUP(B187,'Detailed Update'!B:I,8,FALSE)</f>
        <v>Shuqaiq</v>
      </c>
      <c r="Q187" s="17" t="s">
        <v>53</v>
      </c>
      <c r="R187" s="10">
        <f>VLOOKUP(B187,'Detailed Update'!B:T,11,FALSE)</f>
        <v>46321</v>
      </c>
      <c r="S187" s="10">
        <f>VLOOKUP(B187,'Detailed Update'!B:T,12,FALSE)</f>
        <v>46321</v>
      </c>
      <c r="T187" s="9">
        <f>VLOOKUP(B187,'Detailed Update'!B:T,13,FALSE)</f>
        <v>46371</v>
      </c>
      <c r="U187" s="9">
        <f>VLOOKUP(B187,'Detailed Update'!B:T,17,FALSE)</f>
        <v>46352</v>
      </c>
      <c r="V187" s="9">
        <f>VLOOKUP(B187,'Detailed Update'!B:S,18,FALSE)</f>
        <v>46717</v>
      </c>
      <c r="W187" s="9">
        <f>VLOOKUP(B187,'Detailed Update'!B:T,19,FALSE)</f>
        <v>46767</v>
      </c>
      <c r="X187" s="11" t="str">
        <f>VLOOKUP(B187,'Detailed Update'!B:U,20,FALSE)</f>
        <v>*Outdoor Works Permit : approve 24h working outside the fence
*Conflict Regarding Chemical Bulk Storage Tanks:
There exists a direct and material conflict between the two documents: 
Schedule B (Cl. 5.1.10) – Contractor to utilise existing bulk tanks; no new tanks required. 
Post-Bid Clarification (Point 2) – Contractor to supply new NaOH and H₂SO₄ bulk storage tanks with all associated equipment. 
* AES arabia Material Delivery:  AES to officially confirm and expedite delivery dates no later than 20-Aug-26.</v>
      </c>
    </row>
    <row r="188" spans="1:24" ht="27.6" customHeight="1">
      <c r="A188" s="13">
        <v>149</v>
      </c>
      <c r="B188" s="13" t="s">
        <v>256</v>
      </c>
      <c r="C188" s="20" t="str">
        <f>VLOOKUP(B188,'Detailed Update'!B:C,2,FALSE)</f>
        <v>Water Treatment Plant &amp; Tank - Jeddah</v>
      </c>
      <c r="D188" s="13" t="str">
        <f>VLOOKUP(B188,'Updated Progress % + TCC'!B:D,3,FALSE)</f>
        <v>Fathi Mousa</v>
      </c>
      <c r="E188" s="7" t="str">
        <f>VLOOKUP(B188,'Updated Progress % + TCC'!B:J,9,FALSE)</f>
        <v>Western</v>
      </c>
      <c r="F188" s="13" t="str">
        <f t="shared" si="13"/>
        <v>No</v>
      </c>
      <c r="G188" s="13" t="str">
        <f>IF(N188&gt;70.01%,"No","Yes")</f>
        <v>Yes</v>
      </c>
      <c r="H188" s="13"/>
      <c r="I188" s="13"/>
      <c r="J188" s="13"/>
      <c r="K188" s="14">
        <f>VLOOKUP(B188,'Detailed Update'!B:D,3,FALSE)</f>
        <v>45735</v>
      </c>
      <c r="L188" s="18">
        <f>VLOOKUP(B188,'Detailed Update'!B:I,4,FALSE)</f>
        <v>1</v>
      </c>
      <c r="M188" s="18">
        <f>VLOOKUP(B188,'Detailed Update'!B:I,5,FALSE)</f>
        <v>0.70550000000000002</v>
      </c>
      <c r="N188" s="18">
        <f t="shared" si="16"/>
        <v>-0.29449999999999998</v>
      </c>
      <c r="O188" s="7" t="str">
        <f>VLOOKUP(B188,'Detailed Update'!B:I,6,FALSE)</f>
        <v>SEC</v>
      </c>
      <c r="P188" s="7" t="str">
        <f>VLOOKUP(B188,'Detailed Update'!B:I,8,FALSE)</f>
        <v>Jeddah</v>
      </c>
      <c r="Q188" s="17" t="s">
        <v>53</v>
      </c>
      <c r="R188" s="10">
        <f>VLOOKUP(B188,'Detailed Update'!B:T,11,FALSE)</f>
        <v>46162</v>
      </c>
      <c r="S188" s="10">
        <f>VLOOKUP(B188,'Detailed Update'!B:T,12,FALSE)</f>
        <v>46162</v>
      </c>
      <c r="T188" s="9">
        <f>VLOOKUP(B188,'Detailed Update'!B:T,13,FALSE)</f>
        <v>46325</v>
      </c>
      <c r="U188" s="9">
        <f>VLOOKUP(B188,'Detailed Update'!B:T,17,FALSE)</f>
        <v>46558</v>
      </c>
      <c r="V188" s="9">
        <f>VLOOKUP(B188,'Detailed Update'!B:S,18,FALSE)</f>
        <v>46558</v>
      </c>
      <c r="W188" s="9">
        <f>VLOOKUP(B188,'Detailed Update'!B:T,19,FALSE)</f>
        <v>46721</v>
      </c>
      <c r="X188" s="11" t="str">
        <f>VLOOKUP(B188,'Detailed Update'!B:U,20,FALSE)</f>
        <v>*Revised Schedule Submitted with TCC 30-Oct-26, Under SEC approval
*Pipe and cable routing activities are currently slow due to pending outdoor work permits: SE to expedite the issuance of all required permits for outdoor works &amp; Allow working 24h for outdoor works
* NAOH Pipeline Hold: Finalize the pending technical decision to release the activity.</v>
      </c>
    </row>
    <row r="189" spans="1:24" ht="27.6" customHeight="1">
      <c r="A189" s="13">
        <v>150</v>
      </c>
      <c r="B189" s="13" t="s">
        <v>257</v>
      </c>
      <c r="C189" s="20" t="str">
        <f>VLOOKUP(B189,'Detailed Update'!B:C,2,FALSE)</f>
        <v>Main Construction Work for Al Ahsa Entertainment Complex</v>
      </c>
      <c r="D189" s="13" t="str">
        <f>VLOOKUP(B189,'Updated Progress % + TCC'!B:D,3,FALSE)</f>
        <v>Fahed Al Malki</v>
      </c>
      <c r="E189" s="7" t="str">
        <f>VLOOKUP(B189,'Updated Progress % + TCC'!B:J,9,FALSE)</f>
        <v>Eastern</v>
      </c>
      <c r="F189" s="13" t="str">
        <f t="shared" si="13"/>
        <v>Yes</v>
      </c>
      <c r="G189" s="13"/>
      <c r="H189" s="13"/>
      <c r="I189" s="13" t="s">
        <v>45</v>
      </c>
      <c r="J189" s="13"/>
      <c r="K189" s="14">
        <f>VLOOKUP(B189,'Detailed Update'!B:D,3,FALSE)</f>
        <v>45778</v>
      </c>
      <c r="L189" s="18">
        <f>VLOOKUP(B189,'Detailed Update'!B:I,4,FALSE)</f>
        <v>0.1144</v>
      </c>
      <c r="M189" s="18">
        <f>VLOOKUP(B189,'Detailed Update'!B:I,5,FALSE)</f>
        <v>0.11890000000000001</v>
      </c>
      <c r="N189" s="18">
        <f t="shared" si="16"/>
        <v>4.500000000000004E-3</v>
      </c>
      <c r="O189" s="7" t="str">
        <f>VLOOKUP(B189,'Detailed Update'!B:I,6,FALSE)</f>
        <v>SEVEN</v>
      </c>
      <c r="P189" s="7" t="str">
        <f>VLOOKUP(B189,'Detailed Update'!B:I,8,FALSE)</f>
        <v>Alahsa</v>
      </c>
      <c r="Q189" s="32" t="s">
        <v>53</v>
      </c>
      <c r="R189" s="10">
        <f>VLOOKUP(B189,'Detailed Update'!B:T,11,FALSE)</f>
        <v>46688</v>
      </c>
      <c r="S189" s="10">
        <f>VLOOKUP(B189,'Detailed Update'!B:T,12,FALSE)</f>
        <v>46688</v>
      </c>
      <c r="T189" s="9">
        <f>VLOOKUP(B189,'Detailed Update'!B:T,13,FALSE)</f>
        <v>46688</v>
      </c>
      <c r="U189" s="9">
        <f>VLOOKUP(B189,'Detailed Update'!B:T,17,FALSE)</f>
        <v>46688</v>
      </c>
      <c r="V189" s="9">
        <f>VLOOKUP(B189,'Detailed Update'!B:S,18,FALSE)</f>
        <v>46688</v>
      </c>
      <c r="W189" s="9">
        <f>VLOOKUP(B189,'Detailed Update'!B:T,19,FALSE)</f>
        <v>46688</v>
      </c>
      <c r="X189" s="11" t="str">
        <f>VLOOKUP(B189,'Detailed Update'!B:U,20,FALSE)</f>
        <v>-</v>
      </c>
    </row>
    <row r="190" spans="1:24" ht="27.6" customHeight="1">
      <c r="A190" s="4"/>
      <c r="B190" s="4"/>
      <c r="C190" s="5" t="s">
        <v>258</v>
      </c>
      <c r="D190" s="15"/>
      <c r="E190" s="15"/>
      <c r="F190" s="15"/>
      <c r="G190" s="15"/>
      <c r="H190" s="15"/>
      <c r="I190" s="15"/>
      <c r="J190" s="15"/>
      <c r="K190" s="15"/>
      <c r="L190" s="15"/>
      <c r="M190" s="15"/>
      <c r="N190" s="15"/>
      <c r="O190" s="15"/>
      <c r="P190" s="4"/>
      <c r="Q190" s="31"/>
      <c r="R190" s="6"/>
      <c r="S190" s="6"/>
      <c r="T190" s="12"/>
      <c r="U190" s="12"/>
      <c r="V190" s="12"/>
      <c r="W190" s="12"/>
      <c r="X190" s="187"/>
    </row>
    <row r="191" spans="1:24" ht="27.6" customHeight="1">
      <c r="A191" s="7">
        <v>151</v>
      </c>
      <c r="B191" s="7" t="s">
        <v>259</v>
      </c>
      <c r="C191" s="20" t="str">
        <f>VLOOKUP(B191,'Detailed Update'!B:C,2,FALSE)</f>
        <v>Rehab &amp; Development of Ohud Hospital</v>
      </c>
      <c r="D191" s="13" t="str">
        <f>VLOOKUP(B191,'Updated Progress % + TCC'!B:D,3,FALSE)</f>
        <v>Ghaleb</v>
      </c>
      <c r="E191" s="7" t="str">
        <f>VLOOKUP(B191,'Updated Progress % + TCC'!B:J,9,FALSE)</f>
        <v>Western</v>
      </c>
      <c r="F191" s="13" t="str">
        <f t="shared" si="13"/>
        <v>No</v>
      </c>
      <c r="G191" s="13" t="s">
        <v>25</v>
      </c>
      <c r="H191" s="13" t="s">
        <v>25</v>
      </c>
      <c r="I191" s="13" t="s">
        <v>25</v>
      </c>
      <c r="J191" s="13"/>
      <c r="K191" s="14">
        <f>VLOOKUP(B191,'Detailed Update'!B:D,3,FALSE)</f>
        <v>44488</v>
      </c>
      <c r="L191" s="18">
        <f>VLOOKUP(B191,'Detailed Update'!B:I,4,FALSE)</f>
        <v>1</v>
      </c>
      <c r="M191" s="18">
        <f>VLOOKUP(B191,'Detailed Update'!B:I,5,FALSE)</f>
        <v>0.97440000000000004</v>
      </c>
      <c r="N191" s="18">
        <f t="shared" ref="N191:N208" si="17">M191-L191</f>
        <v>-2.5599999999999956E-2</v>
      </c>
      <c r="O191" s="7" t="str">
        <f>VLOOKUP(B191,'Detailed Update'!B:I,6,FALSE)</f>
        <v>MOH</v>
      </c>
      <c r="P191" s="7" t="str">
        <f>VLOOKUP(B191,'Detailed Update'!B:I,8,FALSE)</f>
        <v>Madinah</v>
      </c>
      <c r="Q191" s="17" t="s">
        <v>53</v>
      </c>
      <c r="R191" s="10">
        <f>VLOOKUP(B191,'Detailed Update'!B:T,11,FALSE)</f>
        <v>45400</v>
      </c>
      <c r="S191" s="10">
        <f>VLOOKUP(B191,'Detailed Update'!B:T,12,FALSE)</f>
        <v>45948</v>
      </c>
      <c r="T191" s="9">
        <f>VLOOKUP(B191,'Detailed Update'!B:T,13,FALSE)</f>
        <v>46265</v>
      </c>
      <c r="U191" s="9">
        <f>VLOOKUP(B191,'Detailed Update'!B:T,17,FALSE)</f>
        <v>45400</v>
      </c>
      <c r="V191" s="9">
        <f>VLOOKUP(B191,'Detailed Update'!B:S,18,FALSE)</f>
        <v>45948</v>
      </c>
      <c r="W191" s="9">
        <f>VLOOKUP(B191,'Detailed Update'!B:T,19,FALSE)</f>
        <v>46265</v>
      </c>
      <c r="X191" s="11" t="str">
        <f>VLOOKUP(B191,'Detailed Update'!B:U,20,FALSE)</f>
        <v>-</v>
      </c>
    </row>
    <row r="192" spans="1:24" ht="27.6" customHeight="1">
      <c r="A192" s="13">
        <v>152</v>
      </c>
      <c r="B192" s="13" t="s">
        <v>260</v>
      </c>
      <c r="C192" s="20" t="str">
        <f>VLOOKUP(B192,'Detailed Update'!B:C,2,FALSE)</f>
        <v>CONST OF COLLEGE -Faculty of Science – Univ of Tabuk.</v>
      </c>
      <c r="D192" s="13" t="str">
        <f>VLOOKUP(B192,'Updated Progress % + TCC'!B:D,3,FALSE)</f>
        <v>AbdelHafez Mousa</v>
      </c>
      <c r="E192" s="7" t="str">
        <f>VLOOKUP(B192,'Updated Progress % + TCC'!B:J,9,FALSE)</f>
        <v>Western</v>
      </c>
      <c r="F192" s="13" t="str">
        <f t="shared" si="13"/>
        <v>No</v>
      </c>
      <c r="G192" s="13" t="s">
        <v>25</v>
      </c>
      <c r="H192" s="13" t="s">
        <v>25</v>
      </c>
      <c r="I192" s="13" t="s">
        <v>25</v>
      </c>
      <c r="J192" s="13"/>
      <c r="K192" s="14">
        <f>VLOOKUP(B192,'Detailed Update'!B:D,3,FALSE)</f>
        <v>44760</v>
      </c>
      <c r="L192" s="18">
        <f>VLOOKUP(B192,'Detailed Update'!B:I,4,FALSE)</f>
        <v>1</v>
      </c>
      <c r="M192" s="18">
        <f>VLOOKUP(B192,'Detailed Update'!B:I,5,FALSE)</f>
        <v>0.94089999999999996</v>
      </c>
      <c r="N192" s="18">
        <f t="shared" si="17"/>
        <v>-5.9100000000000041E-2</v>
      </c>
      <c r="O192" s="7" t="str">
        <f>VLOOKUP(B192,'Detailed Update'!B:I,6,FALSE)</f>
        <v>University of Tabuk</v>
      </c>
      <c r="P192" s="7" t="str">
        <f>VLOOKUP(B192,'Detailed Update'!B:I,8,FALSE)</f>
        <v>Tabuk - KSA.</v>
      </c>
      <c r="Q192" s="33" t="s">
        <v>33</v>
      </c>
      <c r="R192" s="10">
        <f>VLOOKUP(B192,'Detailed Update'!B:T,11,FALSE)</f>
        <v>45300</v>
      </c>
      <c r="S192" s="10">
        <f>VLOOKUP(B192,'Detailed Update'!B:T,12,FALSE)</f>
        <v>46168</v>
      </c>
      <c r="T192" s="9">
        <f>VLOOKUP(B192,'Detailed Update'!B:T,13,FALSE)</f>
        <v>46249</v>
      </c>
      <c r="U192" s="9">
        <f>VLOOKUP(B192,'Detailed Update'!B:T,17,FALSE)</f>
        <v>45300</v>
      </c>
      <c r="V192" s="9">
        <f>VLOOKUP(B192,'Detailed Update'!B:S,18,FALSE)</f>
        <v>46168</v>
      </c>
      <c r="W192" s="9">
        <f>VLOOKUP(B192,'Detailed Update'!B:T,19,FALSE)</f>
        <v>46249</v>
      </c>
      <c r="X192" s="11" t="str">
        <f>VLOOKUP(B192,'Detailed Update'!B:U,20,FALSE)</f>
        <v>-</v>
      </c>
    </row>
    <row r="193" spans="1:24" ht="27.6" customHeight="1">
      <c r="A193" s="7">
        <v>153</v>
      </c>
      <c r="B193" s="13" t="s">
        <v>261</v>
      </c>
      <c r="C193" s="20" t="str">
        <f>VLOOKUP(B193,'Detailed Update'!B:C,2,FALSE)</f>
        <v>Four Season Resort, Triple Bay, Amaala</v>
      </c>
      <c r="D193" s="13" t="str">
        <f>VLOOKUP(B193,'Updated Progress % + TCC'!B:D,3,FALSE)</f>
        <v>Raja Naveed</v>
      </c>
      <c r="E193" s="7" t="str">
        <f>VLOOKUP(B193,'Updated Progress % + TCC'!B:J,9,FALSE)</f>
        <v>Western</v>
      </c>
      <c r="F193" s="13" t="str">
        <f t="shared" si="13"/>
        <v>No</v>
      </c>
      <c r="G193" s="13" t="s">
        <v>25</v>
      </c>
      <c r="H193" s="13" t="s">
        <v>25</v>
      </c>
      <c r="I193" s="13" t="s">
        <v>25</v>
      </c>
      <c r="J193" s="13"/>
      <c r="K193" s="14">
        <f>VLOOKUP(B193,'Detailed Update'!B:D,3,FALSE)</f>
        <v>45169</v>
      </c>
      <c r="L193" s="18">
        <f>VLOOKUP(B193,'Detailed Update'!B:I,4,FALSE)</f>
        <v>1</v>
      </c>
      <c r="M193" s="18">
        <f>VLOOKUP(B193,'Detailed Update'!B:I,5,FALSE)</f>
        <v>0.98709999999999998</v>
      </c>
      <c r="N193" s="18">
        <f t="shared" si="17"/>
        <v>-1.2900000000000023E-2</v>
      </c>
      <c r="O193" s="7" t="str">
        <f>VLOOKUP(B193,'Detailed Update'!B:I,6,FALSE)</f>
        <v>AMAALA</v>
      </c>
      <c r="P193" s="7" t="str">
        <f>VLOOKUP(B193,'Detailed Update'!B:I,8,FALSE)</f>
        <v>Al Wajh</v>
      </c>
      <c r="Q193" s="33" t="s">
        <v>26</v>
      </c>
      <c r="R193" s="10">
        <f>VLOOKUP(B193,'Detailed Update'!B:T,11,FALSE)</f>
        <v>45643</v>
      </c>
      <c r="S193" s="10">
        <f>VLOOKUP(B193,'Detailed Update'!B:T,12,FALSE)</f>
        <v>45899</v>
      </c>
      <c r="T193" s="9">
        <f>VLOOKUP(B193,'Detailed Update'!B:T,13,FALSE)</f>
        <v>46264</v>
      </c>
      <c r="U193" s="9">
        <f>VLOOKUP(B193,'Detailed Update'!B:T,17,FALSE)</f>
        <v>45643</v>
      </c>
      <c r="V193" s="9">
        <f>VLOOKUP(B193,'Detailed Update'!B:S,18,FALSE)</f>
        <v>45899</v>
      </c>
      <c r="W193" s="9">
        <f>VLOOKUP(B193,'Detailed Update'!B:T,19,FALSE)</f>
        <v>46264</v>
      </c>
      <c r="X193" s="11" t="str">
        <f>VLOOKUP(B193,'Detailed Update'!B:U,20,FALSE)</f>
        <v>-</v>
      </c>
    </row>
    <row r="194" spans="1:24" ht="27.6" customHeight="1">
      <c r="A194" s="13">
        <v>154</v>
      </c>
      <c r="B194" s="13" t="s">
        <v>262</v>
      </c>
      <c r="C194" s="20" t="str">
        <f>VLOOKUP(B194,'Detailed Update'!B:C,2,FALSE)</f>
        <v>NEOM MEP | NRC-11</v>
      </c>
      <c r="D194" s="13" t="str">
        <f>VLOOKUP(B194,'Updated Progress % + TCC'!B:D,3,FALSE)</f>
        <v xml:space="preserve">Hashem Mohamed </v>
      </c>
      <c r="E194" s="7" t="str">
        <f>VLOOKUP(B194,'Updated Progress % + TCC'!B:J,9,FALSE)</f>
        <v>Western</v>
      </c>
      <c r="F194" s="13" t="str">
        <f t="shared" si="13"/>
        <v>No</v>
      </c>
      <c r="G194" s="13" t="s">
        <v>25</v>
      </c>
      <c r="H194" s="13" t="s">
        <v>25</v>
      </c>
      <c r="I194" s="13" t="s">
        <v>25</v>
      </c>
      <c r="J194" s="13"/>
      <c r="K194" s="14">
        <f>VLOOKUP(B194,'Detailed Update'!B:D,3,FALSE)</f>
        <v>44840</v>
      </c>
      <c r="L194" s="18">
        <f>VLOOKUP(B194,'Detailed Update'!B:I,4,FALSE)</f>
        <v>1</v>
      </c>
      <c r="M194" s="18">
        <f>VLOOKUP(B194,'Detailed Update'!B:I,5,FALSE)</f>
        <v>0.99990000000000001</v>
      </c>
      <c r="N194" s="18">
        <f t="shared" si="17"/>
        <v>-9.9999999999988987E-5</v>
      </c>
      <c r="O194" s="7" t="str">
        <f>VLOOKUP(B194,'Detailed Update'!B:I,6,FALSE)</f>
        <v>Alfanar EC</v>
      </c>
      <c r="P194" s="7" t="str">
        <f>VLOOKUP(B194,'Detailed Update'!B:I,8,FALSE)</f>
        <v>NEOM</v>
      </c>
      <c r="Q194" s="33" t="s">
        <v>53</v>
      </c>
      <c r="R194" s="10">
        <f>VLOOKUP(B194,'Detailed Update'!B:T,11,FALSE)</f>
        <v>45449</v>
      </c>
      <c r="S194" s="10">
        <f>VLOOKUP(B194,'Detailed Update'!B:T,12,FALSE)</f>
        <v>45449</v>
      </c>
      <c r="T194" s="9">
        <f>VLOOKUP(B194,'Detailed Update'!B:T,13,FALSE)</f>
        <v>46022</v>
      </c>
      <c r="U194" s="9">
        <f>VLOOKUP(B194,'Detailed Update'!B:T,17,FALSE)</f>
        <v>45449</v>
      </c>
      <c r="V194" s="9">
        <f>VLOOKUP(B194,'Detailed Update'!B:S,18,FALSE)</f>
        <v>45449</v>
      </c>
      <c r="W194" s="9">
        <f>VLOOKUP(B194,'Detailed Update'!B:T,19,FALSE)</f>
        <v>46022</v>
      </c>
      <c r="X194" s="11" t="str">
        <f>VLOOKUP(B194,'Detailed Update'!B:U,20,FALSE)</f>
        <v>-</v>
      </c>
    </row>
    <row r="195" spans="1:24" ht="27.6" customHeight="1">
      <c r="A195" s="7">
        <v>155</v>
      </c>
      <c r="B195" s="13" t="s">
        <v>263</v>
      </c>
      <c r="C195" s="20" t="str">
        <f>VLOOKUP(B195,'Detailed Update'!B:C,2,FALSE)</f>
        <v>NEOM MEP | NRC-13</v>
      </c>
      <c r="D195" s="13" t="str">
        <f>VLOOKUP(B195,'Updated Progress % + TCC'!B:D,3,FALSE)</f>
        <v xml:space="preserve">Hashem Mohamed </v>
      </c>
      <c r="E195" s="7" t="str">
        <f>VLOOKUP(B195,'Updated Progress % + TCC'!B:J,9,FALSE)</f>
        <v>Western</v>
      </c>
      <c r="F195" s="13" t="str">
        <f t="shared" si="13"/>
        <v>No</v>
      </c>
      <c r="G195" s="13" t="s">
        <v>25</v>
      </c>
      <c r="H195" s="13" t="s">
        <v>25</v>
      </c>
      <c r="I195" s="13" t="s">
        <v>25</v>
      </c>
      <c r="J195" s="13"/>
      <c r="K195" s="14">
        <f>VLOOKUP(B195,'Detailed Update'!B:D,3,FALSE)</f>
        <v>44840</v>
      </c>
      <c r="L195" s="18">
        <f>VLOOKUP(B195,'Detailed Update'!B:I,4,FALSE)</f>
        <v>1</v>
      </c>
      <c r="M195" s="18">
        <f>VLOOKUP(B195,'Detailed Update'!B:I,5,FALSE)</f>
        <v>0.99990000000000001</v>
      </c>
      <c r="N195" s="18">
        <f t="shared" si="17"/>
        <v>-9.9999999999988987E-5</v>
      </c>
      <c r="O195" s="7" t="str">
        <f>VLOOKUP(B195,'Detailed Update'!B:I,6,FALSE)</f>
        <v>Alfanar EC</v>
      </c>
      <c r="P195" s="7" t="str">
        <f>VLOOKUP(B195,'Detailed Update'!B:I,8,FALSE)</f>
        <v>NEOM</v>
      </c>
      <c r="Q195" s="33" t="s">
        <v>53</v>
      </c>
      <c r="R195" s="10">
        <f>VLOOKUP(B195,'Detailed Update'!B:T,11,FALSE)</f>
        <v>45449</v>
      </c>
      <c r="S195" s="10">
        <f>VLOOKUP(B195,'Detailed Update'!B:T,12,FALSE)</f>
        <v>45449</v>
      </c>
      <c r="T195" s="9">
        <f>VLOOKUP(B195,'Detailed Update'!B:T,13,FALSE)</f>
        <v>46022</v>
      </c>
      <c r="U195" s="9">
        <f>VLOOKUP(B195,'Detailed Update'!B:T,17,FALSE)</f>
        <v>45449</v>
      </c>
      <c r="V195" s="9">
        <f>VLOOKUP(B195,'Detailed Update'!B:S,18,FALSE)</f>
        <v>45449</v>
      </c>
      <c r="W195" s="9">
        <f>VLOOKUP(B195,'Detailed Update'!B:T,19,FALSE)</f>
        <v>46022</v>
      </c>
      <c r="X195" s="11" t="str">
        <f>VLOOKUP(B195,'Detailed Update'!B:U,20,FALSE)</f>
        <v>-</v>
      </c>
    </row>
    <row r="196" spans="1:24" ht="27.6" customHeight="1">
      <c r="A196" s="13">
        <v>156</v>
      </c>
      <c r="B196" s="13" t="s">
        <v>264</v>
      </c>
      <c r="C196" s="20" t="str">
        <f>VLOOKUP(B196,'Detailed Update'!B:C,2,FALSE)</f>
        <v>NEOM MEP | NRC-17</v>
      </c>
      <c r="D196" s="13" t="str">
        <f>VLOOKUP(B196,'Updated Progress % + TCC'!B:D,3,FALSE)</f>
        <v xml:space="preserve">Hashem Mohamed </v>
      </c>
      <c r="E196" s="7" t="str">
        <f>VLOOKUP(B196,'Updated Progress % + TCC'!B:J,9,FALSE)</f>
        <v>Western</v>
      </c>
      <c r="F196" s="13" t="str">
        <f t="shared" si="13"/>
        <v>No</v>
      </c>
      <c r="G196" s="13" t="s">
        <v>25</v>
      </c>
      <c r="H196" s="13" t="s">
        <v>25</v>
      </c>
      <c r="I196" s="13" t="s">
        <v>25</v>
      </c>
      <c r="J196" s="13"/>
      <c r="K196" s="14">
        <f>VLOOKUP(B196,'Detailed Update'!B:D,3,FALSE)</f>
        <v>44840</v>
      </c>
      <c r="L196" s="18">
        <f>VLOOKUP(B196,'Detailed Update'!B:I,4,FALSE)</f>
        <v>1</v>
      </c>
      <c r="M196" s="18">
        <f>VLOOKUP(B196,'Detailed Update'!B:I,5,FALSE)</f>
        <v>0.99990000000000001</v>
      </c>
      <c r="N196" s="18">
        <f t="shared" si="17"/>
        <v>-9.9999999999988987E-5</v>
      </c>
      <c r="O196" s="7" t="str">
        <f>VLOOKUP(B196,'Detailed Update'!B:I,6,FALSE)</f>
        <v>Alfanar EC</v>
      </c>
      <c r="P196" s="7" t="str">
        <f>VLOOKUP(B196,'Detailed Update'!B:I,8,FALSE)</f>
        <v>NEOM</v>
      </c>
      <c r="Q196" s="33" t="s">
        <v>53</v>
      </c>
      <c r="R196" s="10">
        <f>VLOOKUP(B196,'Detailed Update'!B:T,11,FALSE)</f>
        <v>45449</v>
      </c>
      <c r="S196" s="10">
        <f>VLOOKUP(B196,'Detailed Update'!B:T,12,FALSE)</f>
        <v>45449</v>
      </c>
      <c r="T196" s="9">
        <f>VLOOKUP(B196,'Detailed Update'!B:T,13,FALSE)</f>
        <v>46022</v>
      </c>
      <c r="U196" s="9">
        <f>VLOOKUP(B196,'Detailed Update'!B:T,17,FALSE)</f>
        <v>45449</v>
      </c>
      <c r="V196" s="9">
        <f>VLOOKUP(B196,'Detailed Update'!B:S,18,FALSE)</f>
        <v>45449</v>
      </c>
      <c r="W196" s="9">
        <f>VLOOKUP(B196,'Detailed Update'!B:T,19,FALSE)</f>
        <v>46022</v>
      </c>
      <c r="X196" s="11" t="str">
        <f>VLOOKUP(B196,'Detailed Update'!B:U,20,FALSE)</f>
        <v>-</v>
      </c>
    </row>
    <row r="197" spans="1:24" ht="27.6" customHeight="1">
      <c r="A197" s="7">
        <v>157</v>
      </c>
      <c r="B197" s="7" t="s">
        <v>265</v>
      </c>
      <c r="C197" s="20" t="str">
        <f>VLOOKUP(B197,'Detailed Update'!B:C,2,FALSE)</f>
        <v>NEOM MEP | NRC-19</v>
      </c>
      <c r="D197" s="13" t="str">
        <f>VLOOKUP(B197,'Updated Progress % + TCC'!B:D,3,FALSE)</f>
        <v xml:space="preserve">Hashem Mohamed </v>
      </c>
      <c r="E197" s="7" t="str">
        <f>VLOOKUP(B197,'Updated Progress % + TCC'!B:J,9,FALSE)</f>
        <v>Western</v>
      </c>
      <c r="F197" s="13" t="str">
        <f t="shared" si="13"/>
        <v>No</v>
      </c>
      <c r="G197" s="13" t="s">
        <v>25</v>
      </c>
      <c r="H197" s="13" t="s">
        <v>25</v>
      </c>
      <c r="I197" s="13" t="s">
        <v>25</v>
      </c>
      <c r="J197" s="13"/>
      <c r="K197" s="14">
        <f>VLOOKUP(B197,'Detailed Update'!B:D,3,FALSE)</f>
        <v>44885</v>
      </c>
      <c r="L197" s="18">
        <f>VLOOKUP(B197,'Detailed Update'!B:I,4,FALSE)</f>
        <v>1</v>
      </c>
      <c r="M197" s="18">
        <f>VLOOKUP(B197,'Detailed Update'!B:I,5,FALSE)</f>
        <v>0.99990000000000001</v>
      </c>
      <c r="N197" s="18">
        <f t="shared" si="17"/>
        <v>-9.9999999999988987E-5</v>
      </c>
      <c r="O197" s="7" t="str">
        <f>VLOOKUP(B197,'Detailed Update'!B:I,6,FALSE)</f>
        <v>Alfanar EC</v>
      </c>
      <c r="P197" s="7" t="str">
        <f>VLOOKUP(B197,'Detailed Update'!B:I,8,FALSE)</f>
        <v>NEOM</v>
      </c>
      <c r="Q197" s="33" t="s">
        <v>53</v>
      </c>
      <c r="R197" s="10">
        <f>VLOOKUP(B197,'Detailed Update'!B:T,11,FALSE)</f>
        <v>45494</v>
      </c>
      <c r="S197" s="10">
        <f>VLOOKUP(B197,'Detailed Update'!B:T,12,FALSE)</f>
        <v>45494</v>
      </c>
      <c r="T197" s="9">
        <f>VLOOKUP(B197,'Detailed Update'!B:T,13,FALSE)</f>
        <v>46022</v>
      </c>
      <c r="U197" s="9">
        <f>VLOOKUP(B197,'Detailed Update'!B:T,17,FALSE)</f>
        <v>45494</v>
      </c>
      <c r="V197" s="9">
        <f>VLOOKUP(B197,'Detailed Update'!B:S,18,FALSE)</f>
        <v>45494</v>
      </c>
      <c r="W197" s="9">
        <f>VLOOKUP(B197,'Detailed Update'!B:T,19,FALSE)</f>
        <v>46022</v>
      </c>
      <c r="X197" s="11" t="str">
        <f>VLOOKUP(B197,'Detailed Update'!B:U,20,FALSE)</f>
        <v>-</v>
      </c>
    </row>
    <row r="198" spans="1:24" ht="27.6" customHeight="1">
      <c r="A198" s="13">
        <v>158</v>
      </c>
      <c r="B198" s="13" t="s">
        <v>266</v>
      </c>
      <c r="C198" s="20" t="str">
        <f>VLOOKUP(B198,'Detailed Update'!B:C,2,FALSE)</f>
        <v>NEOM MEP | NRC-26</v>
      </c>
      <c r="D198" s="13" t="str">
        <f>VLOOKUP(B198,'Updated Progress % + TCC'!B:D,3,FALSE)</f>
        <v xml:space="preserve">Hashem Mohamed </v>
      </c>
      <c r="E198" s="7" t="str">
        <f>VLOOKUP(B198,'Updated Progress % + TCC'!B:J,9,FALSE)</f>
        <v>Western</v>
      </c>
      <c r="F198" s="13" t="str">
        <f t="shared" si="13"/>
        <v>No</v>
      </c>
      <c r="G198" s="13" t="s">
        <v>25</v>
      </c>
      <c r="H198" s="13" t="s">
        <v>25</v>
      </c>
      <c r="I198" s="13" t="s">
        <v>25</v>
      </c>
      <c r="J198" s="13"/>
      <c r="K198" s="14">
        <f>VLOOKUP(B198,'Detailed Update'!B:D,3,FALSE)</f>
        <v>44885</v>
      </c>
      <c r="L198" s="18">
        <f>VLOOKUP(B198,'Detailed Update'!B:I,4,FALSE)</f>
        <v>1</v>
      </c>
      <c r="M198" s="18">
        <f>VLOOKUP(B198,'Detailed Update'!B:I,5,FALSE)</f>
        <v>0.99990000000000001</v>
      </c>
      <c r="N198" s="18">
        <f t="shared" si="17"/>
        <v>-9.9999999999988987E-5</v>
      </c>
      <c r="O198" s="7" t="str">
        <f>VLOOKUP(B198,'Detailed Update'!B:I,6,FALSE)</f>
        <v>Alfanar EC</v>
      </c>
      <c r="P198" s="7" t="str">
        <f>VLOOKUP(B198,'Detailed Update'!B:I,8,FALSE)</f>
        <v>NEOM</v>
      </c>
      <c r="Q198" s="33" t="s">
        <v>53</v>
      </c>
      <c r="R198" s="10">
        <f>VLOOKUP(B198,'Detailed Update'!B:T,11,FALSE)</f>
        <v>45539</v>
      </c>
      <c r="S198" s="10">
        <f>VLOOKUP(B198,'Detailed Update'!B:T,12,FALSE)</f>
        <v>45539</v>
      </c>
      <c r="T198" s="9">
        <f>VLOOKUP(B198,'Detailed Update'!B:T,13,FALSE)</f>
        <v>46022</v>
      </c>
      <c r="U198" s="9">
        <f>VLOOKUP(B198,'Detailed Update'!B:T,17,FALSE)</f>
        <v>45539</v>
      </c>
      <c r="V198" s="9">
        <f>VLOOKUP(B198,'Detailed Update'!B:S,18,FALSE)</f>
        <v>45539</v>
      </c>
      <c r="W198" s="9">
        <f>VLOOKUP(B198,'Detailed Update'!B:T,19,FALSE)</f>
        <v>46022</v>
      </c>
      <c r="X198" s="11" t="str">
        <f>VLOOKUP(B198,'Detailed Update'!B:U,20,FALSE)</f>
        <v>-</v>
      </c>
    </row>
    <row r="199" spans="1:24" ht="27.6" customHeight="1">
      <c r="A199" s="7">
        <v>159</v>
      </c>
      <c r="B199" s="13" t="s">
        <v>267</v>
      </c>
      <c r="C199" s="20" t="str">
        <f>VLOOKUP(B199,'Detailed Update'!B:C,2,FALSE)</f>
        <v>MEP Works for AMAALA YACHT CLUB</v>
      </c>
      <c r="D199" s="13" t="str">
        <f>VLOOKUP(B199,'Updated Progress % + TCC'!B:D,3,FALSE)</f>
        <v xml:space="preserve">Hashem Mohamed </v>
      </c>
      <c r="E199" s="7" t="str">
        <f>VLOOKUP(B199,'Updated Progress % + TCC'!B:J,9,FALSE)</f>
        <v>Western</v>
      </c>
      <c r="F199" s="13" t="str">
        <f t="shared" si="13"/>
        <v>No</v>
      </c>
      <c r="G199" s="13" t="s">
        <v>25</v>
      </c>
      <c r="H199" s="13" t="s">
        <v>25</v>
      </c>
      <c r="I199" s="13" t="s">
        <v>25</v>
      </c>
      <c r="J199" s="13"/>
      <c r="K199" s="14">
        <f>VLOOKUP(B199,'Detailed Update'!B:D,3,FALSE)</f>
        <v>45549</v>
      </c>
      <c r="L199" s="18">
        <f>VLOOKUP(B199,'Detailed Update'!B:I,4,FALSE)</f>
        <v>1</v>
      </c>
      <c r="M199" s="18">
        <f>VLOOKUP(B199,'Detailed Update'!B:I,5,FALSE)</f>
        <v>0.999</v>
      </c>
      <c r="N199" s="18">
        <f t="shared" si="17"/>
        <v>-1.0000000000000009E-3</v>
      </c>
      <c r="O199" s="7" t="str">
        <f>VLOOKUP(B199,'Detailed Update'!B:I,6,FALSE)</f>
        <v>AMAALA</v>
      </c>
      <c r="P199" s="7" t="str">
        <f>VLOOKUP(B199,'Detailed Update'!B:I,8,FALSE)</f>
        <v>Al Wajh</v>
      </c>
      <c r="Q199" s="33" t="s">
        <v>53</v>
      </c>
      <c r="R199" s="10">
        <f>VLOOKUP(B199,'Detailed Update'!B:T,11,FALSE)</f>
        <v>45715</v>
      </c>
      <c r="S199" s="10">
        <f>VLOOKUP(B199,'Detailed Update'!B:T,12,FALSE)</f>
        <v>45960</v>
      </c>
      <c r="T199" s="9">
        <f>VLOOKUP(B199,'Detailed Update'!B:T,13,FALSE)</f>
        <v>46234</v>
      </c>
      <c r="U199" s="9">
        <f>VLOOKUP(B199,'Detailed Update'!B:T,17,FALSE)</f>
        <v>45715</v>
      </c>
      <c r="V199" s="9">
        <f>VLOOKUP(B199,'Detailed Update'!B:S,18,FALSE)</f>
        <v>45960</v>
      </c>
      <c r="W199" s="9">
        <f>VLOOKUP(B199,'Detailed Update'!B:T,19,FALSE)</f>
        <v>46234</v>
      </c>
      <c r="X199" s="11" t="str">
        <f>VLOOKUP(B199,'Detailed Update'!B:U,20,FALSE)</f>
        <v>-</v>
      </c>
    </row>
    <row r="200" spans="1:24" ht="27.6" customHeight="1">
      <c r="A200" s="13">
        <v>160</v>
      </c>
      <c r="B200" s="7" t="s">
        <v>268</v>
      </c>
      <c r="C200" s="20" t="str">
        <f>VLOOKUP(B200,'Detailed Update'!B:C,2,FALSE)</f>
        <v>NEOM  - BMS FOR 5 VILLAGES</v>
      </c>
      <c r="D200" s="13" t="str">
        <f>VLOOKUP(B200,'Updated Progress % + TCC'!B:D,3,FALSE)</f>
        <v xml:space="preserve">Hashem Mohamed </v>
      </c>
      <c r="E200" s="7" t="str">
        <f>VLOOKUP(B200,'Updated Progress % + TCC'!B:J,9,FALSE)</f>
        <v>Western</v>
      </c>
      <c r="F200" s="13" t="str">
        <f t="shared" si="13"/>
        <v>No</v>
      </c>
      <c r="G200" s="13" t="s">
        <v>25</v>
      </c>
      <c r="H200" s="13" t="s">
        <v>25</v>
      </c>
      <c r="I200" s="13" t="s">
        <v>25</v>
      </c>
      <c r="J200" s="13"/>
      <c r="K200" s="14">
        <f>VLOOKUP(B200,'Detailed Update'!B:D,3,FALSE)</f>
        <v>45641</v>
      </c>
      <c r="L200" s="18">
        <f>VLOOKUP(B200,'Detailed Update'!B:I,4,FALSE)</f>
        <v>1</v>
      </c>
      <c r="M200" s="18">
        <f>VLOOKUP(B200,'Detailed Update'!B:I,5,FALSE)</f>
        <v>1</v>
      </c>
      <c r="N200" s="18">
        <f t="shared" si="17"/>
        <v>0</v>
      </c>
      <c r="O200" s="7" t="str">
        <f>VLOOKUP(B200,'Detailed Update'!B:I,6,FALSE)</f>
        <v>ALFANAR - AGD</v>
      </c>
      <c r="P200" s="7" t="str">
        <f>VLOOKUP(B200,'Detailed Update'!B:I,8,FALSE)</f>
        <v>NEOM</v>
      </c>
      <c r="Q200" s="37" t="s">
        <v>53</v>
      </c>
      <c r="R200" s="10">
        <f>VLOOKUP(B200,'Detailed Update'!B:T,11,FALSE)</f>
        <v>45778</v>
      </c>
      <c r="S200" s="10">
        <f>VLOOKUP(B200,'Detailed Update'!B:T,12,FALSE)</f>
        <v>45778</v>
      </c>
      <c r="T200" s="9">
        <f>VLOOKUP(B200,'Detailed Update'!B:T,13,FALSE)</f>
        <v>46022</v>
      </c>
      <c r="U200" s="9">
        <f>VLOOKUP(B200,'Detailed Update'!B:T,17,FALSE)</f>
        <v>45778</v>
      </c>
      <c r="V200" s="9">
        <f>VLOOKUP(B200,'Detailed Update'!B:S,18,FALSE)</f>
        <v>45778</v>
      </c>
      <c r="W200" s="9">
        <f>VLOOKUP(B200,'Detailed Update'!B:T,19,FALSE)</f>
        <v>46022</v>
      </c>
      <c r="X200" s="11" t="str">
        <f>VLOOKUP(B200,'Detailed Update'!B:U,20,FALSE)</f>
        <v>-</v>
      </c>
    </row>
    <row r="201" spans="1:24" ht="27.6" customHeight="1">
      <c r="A201" s="7">
        <v>161</v>
      </c>
      <c r="B201" s="7" t="s">
        <v>269</v>
      </c>
      <c r="C201" s="20" t="str">
        <f>VLOOKUP(B201,'Detailed Update'!B:C,2,FALSE)</f>
        <v xml:space="preserve">ALFANAR HEALTH CARE - BIM SERVICE				</v>
      </c>
      <c r="D201" s="13" t="str">
        <f>VLOOKUP(B201,'Updated Progress % + TCC'!B:D,3,FALSE)</f>
        <v xml:space="preserve">Hashem Mohamed </v>
      </c>
      <c r="E201" s="7" t="str">
        <f>VLOOKUP(B201,'Updated Progress % + TCC'!B:J,9,FALSE)</f>
        <v>Western</v>
      </c>
      <c r="F201" s="13" t="str">
        <f t="shared" si="13"/>
        <v>No</v>
      </c>
      <c r="G201" s="13" t="s">
        <v>25</v>
      </c>
      <c r="H201" s="13" t="s">
        <v>25</v>
      </c>
      <c r="I201" s="13" t="s">
        <v>25</v>
      </c>
      <c r="J201" s="13"/>
      <c r="K201" s="14">
        <f>VLOOKUP(B201,'Detailed Update'!B:D,3,FALSE)</f>
        <v>45631</v>
      </c>
      <c r="L201" s="18">
        <f>VLOOKUP(B201,'Detailed Update'!B:I,4,FALSE)</f>
        <v>1</v>
      </c>
      <c r="M201" s="18">
        <f>VLOOKUP(B201,'Detailed Update'!B:I,5,FALSE)</f>
        <v>1</v>
      </c>
      <c r="N201" s="18">
        <f t="shared" si="17"/>
        <v>0</v>
      </c>
      <c r="O201" s="7" t="str">
        <f>VLOOKUP(B201,'Detailed Update'!B:I,6,FALSE)</f>
        <v>Alfanar Health Care</v>
      </c>
      <c r="P201" s="7" t="str">
        <f>VLOOKUP(B201,'Detailed Update'!B:I,8,FALSE)</f>
        <v>Amaala</v>
      </c>
      <c r="Q201" s="37" t="s">
        <v>53</v>
      </c>
      <c r="R201" s="10">
        <f>VLOOKUP(B201,'Detailed Update'!B:T,11,FALSE)</f>
        <v>45778</v>
      </c>
      <c r="S201" s="10">
        <f>VLOOKUP(B201,'Detailed Update'!B:T,12,FALSE)</f>
        <v>45778</v>
      </c>
      <c r="T201" s="9">
        <f>VLOOKUP(B201,'Detailed Update'!B:T,13,FALSE)</f>
        <v>46022</v>
      </c>
      <c r="U201" s="9">
        <f>VLOOKUP(B201,'Detailed Update'!B:T,17,FALSE)</f>
        <v>45778</v>
      </c>
      <c r="V201" s="9">
        <f>VLOOKUP(B201,'Detailed Update'!B:S,18,FALSE)</f>
        <v>45778</v>
      </c>
      <c r="W201" s="9">
        <f>VLOOKUP(B201,'Detailed Update'!B:T,19,FALSE)</f>
        <v>46022</v>
      </c>
      <c r="X201" s="11" t="str">
        <f>VLOOKUP(B201,'Detailed Update'!B:U,20,FALSE)</f>
        <v>-</v>
      </c>
    </row>
    <row r="202" spans="1:24" ht="27.6" customHeight="1">
      <c r="A202" s="13">
        <v>162</v>
      </c>
      <c r="B202" s="7" t="s">
        <v>270</v>
      </c>
      <c r="C202" s="20" t="str">
        <f>VLOOKUP(B202,'Detailed Update'!B:C,2,FALSE)</f>
        <v>NEOM Expansion - (PE-269 Project)</v>
      </c>
      <c r="D202" s="13" t="str">
        <f>VLOOKUP(B202,'Updated Progress % + TCC'!B:D,3,FALSE)</f>
        <v xml:space="preserve">Hashem Mohamed </v>
      </c>
      <c r="E202" s="7" t="str">
        <f>VLOOKUP(B202,'Updated Progress % + TCC'!B:J,9,FALSE)</f>
        <v>Western</v>
      </c>
      <c r="F202" s="13" t="str">
        <f t="shared" si="13"/>
        <v>No</v>
      </c>
      <c r="G202" s="13" t="s">
        <v>25</v>
      </c>
      <c r="H202" s="13" t="s">
        <v>25</v>
      </c>
      <c r="I202" s="13" t="s">
        <v>25</v>
      </c>
      <c r="J202" s="13"/>
      <c r="K202" s="14">
        <f>VLOOKUP(B202,'Detailed Update'!B:D,3,FALSE)</f>
        <v>45761</v>
      </c>
      <c r="L202" s="18">
        <f>VLOOKUP(B202,'Detailed Update'!B:I,4,FALSE)</f>
        <v>1</v>
      </c>
      <c r="M202" s="18">
        <f>VLOOKUP(B202,'Detailed Update'!B:I,5,FALSE)</f>
        <v>1</v>
      </c>
      <c r="N202" s="18">
        <f t="shared" si="17"/>
        <v>0</v>
      </c>
      <c r="O202" s="7" t="str">
        <f>VLOOKUP(B202,'Detailed Update'!B:I,6,FALSE)</f>
        <v>Alfanar EC</v>
      </c>
      <c r="P202" s="7" t="str">
        <f>VLOOKUP(B202,'Detailed Update'!B:I,8,FALSE)</f>
        <v>NEOM</v>
      </c>
      <c r="Q202" s="37" t="s">
        <v>53</v>
      </c>
      <c r="R202" s="10">
        <f>VLOOKUP(B202,'Detailed Update'!B:T,11,FALSE)</f>
        <v>45808</v>
      </c>
      <c r="S202" s="10">
        <f>VLOOKUP(B202,'Detailed Update'!B:T,12,FALSE)</f>
        <v>45808</v>
      </c>
      <c r="T202" s="9">
        <f>VLOOKUP(B202,'Detailed Update'!B:T,13,FALSE)</f>
        <v>45808</v>
      </c>
      <c r="U202" s="9">
        <f>VLOOKUP(B202,'Detailed Update'!B:T,17,FALSE)</f>
        <v>45808</v>
      </c>
      <c r="V202" s="9">
        <f>VLOOKUP(B202,'Detailed Update'!B:S,18,FALSE)</f>
        <v>45808</v>
      </c>
      <c r="W202" s="9">
        <f>VLOOKUP(B202,'Detailed Update'!B:T,19,FALSE)</f>
        <v>45808</v>
      </c>
      <c r="X202" s="11" t="str">
        <f>VLOOKUP(B202,'Detailed Update'!B:U,20,FALSE)</f>
        <v>-</v>
      </c>
    </row>
    <row r="203" spans="1:24" ht="27.6" customHeight="1">
      <c r="A203" s="7">
        <v>163</v>
      </c>
      <c r="B203" s="7" t="s">
        <v>271</v>
      </c>
      <c r="C203" s="20" t="str">
        <f>VLOOKUP(B203,'Detailed Update'!B:C,2,FALSE)</f>
        <v>HVDC-1 | COA-WOA | RUH-9022 - MEP WORKS</v>
      </c>
      <c r="D203" s="13" t="str">
        <f>VLOOKUP(B203,'Updated Progress % + TCC'!B:D,3,FALSE)</f>
        <v xml:space="preserve">Hashem Mohamed </v>
      </c>
      <c r="E203" s="7" t="str">
        <f>VLOOKUP(B203,'Updated Progress % + TCC'!B:J,9,FALSE)</f>
        <v>Central</v>
      </c>
      <c r="F203" s="13" t="str">
        <f t="shared" si="13"/>
        <v>No</v>
      </c>
      <c r="G203" s="13"/>
      <c r="H203" s="13"/>
      <c r="I203" s="13"/>
      <c r="J203" s="13"/>
      <c r="K203" s="14">
        <f>VLOOKUP(B203,'Detailed Update'!B:D,3,FALSE)</f>
        <v>45792</v>
      </c>
      <c r="L203" s="18">
        <f>VLOOKUP(B203,'Detailed Update'!B:I,4,FALSE)</f>
        <v>0.96020000000000005</v>
      </c>
      <c r="M203" s="18">
        <f>VLOOKUP(B203,'Detailed Update'!B:I,5,FALSE)</f>
        <v>0.74750000000000005</v>
      </c>
      <c r="N203" s="18">
        <f t="shared" si="17"/>
        <v>-0.2127</v>
      </c>
      <c r="O203" s="7" t="str">
        <f>VLOOKUP(B203,'Detailed Update'!B:I,6,FALSE)</f>
        <v>Alfanar EC</v>
      </c>
      <c r="P203" s="7" t="str">
        <f>VLOOKUP(B203,'Detailed Update'!B:I,8,FALSE)</f>
        <v>Dhurma</v>
      </c>
      <c r="Q203" s="37" t="s">
        <v>53</v>
      </c>
      <c r="R203" s="10">
        <f>VLOOKUP(B203,'Detailed Update'!B:T,11,FALSE)</f>
        <v>46135</v>
      </c>
      <c r="S203" s="10">
        <f>VLOOKUP(B203,'Detailed Update'!B:T,12,FALSE)</f>
        <v>46135</v>
      </c>
      <c r="T203" s="9">
        <f>VLOOKUP(B203,'Detailed Update'!B:T,13,FALSE)</f>
        <v>46279</v>
      </c>
      <c r="U203" s="9">
        <f>VLOOKUP(B203,'Detailed Update'!B:T,17,FALSE)</f>
        <v>46135</v>
      </c>
      <c r="V203" s="9">
        <f>VLOOKUP(B203,'Detailed Update'!B:S,18,FALSE)</f>
        <v>46135</v>
      </c>
      <c r="W203" s="9">
        <f>VLOOKUP(B203,'Detailed Update'!B:T,19,FALSE)</f>
        <v>46279</v>
      </c>
      <c r="X203" s="11" t="str">
        <f>VLOOKUP(B203,'Detailed Update'!B:U,20,FALSE)</f>
        <v>-</v>
      </c>
    </row>
    <row r="204" spans="1:24" ht="27.6" customHeight="1">
      <c r="A204" s="13">
        <v>164</v>
      </c>
      <c r="B204" s="7" t="s">
        <v>272</v>
      </c>
      <c r="C204" s="20" t="str">
        <f>VLOOKUP(B204,'Detailed Update'!B:C,2,FALSE)</f>
        <v>HVDC-2 | COA-SOA | RUH-9041 - MEP WORKS</v>
      </c>
      <c r="D204" s="13" t="str">
        <f>VLOOKUP(B204,'Updated Progress % + TCC'!B:D,3,FALSE)</f>
        <v xml:space="preserve">Hashem Mohamed </v>
      </c>
      <c r="E204" s="7" t="str">
        <f>VLOOKUP(B204,'Updated Progress % + TCC'!B:J,9,FALSE)</f>
        <v>Central</v>
      </c>
      <c r="F204" s="13" t="str">
        <f t="shared" si="13"/>
        <v>Yes</v>
      </c>
      <c r="G204" s="13"/>
      <c r="H204" s="13"/>
      <c r="I204" s="13"/>
      <c r="J204" s="13"/>
      <c r="K204" s="14">
        <f>VLOOKUP(B204,'Detailed Update'!B:D,3,FALSE)</f>
        <v>45792</v>
      </c>
      <c r="L204" s="18">
        <f>VLOOKUP(B204,'Detailed Update'!B:I,4,FALSE)</f>
        <v>0.95289999999999997</v>
      </c>
      <c r="M204" s="18">
        <f>VLOOKUP(B204,'Detailed Update'!B:I,5,FALSE)</f>
        <v>0.67569999999999997</v>
      </c>
      <c r="N204" s="18">
        <f t="shared" si="17"/>
        <v>-0.2772</v>
      </c>
      <c r="O204" s="7" t="str">
        <f>VLOOKUP(B204,'Detailed Update'!B:I,6,FALSE)</f>
        <v>Alfanar EC</v>
      </c>
      <c r="P204" s="7" t="str">
        <f>VLOOKUP(B204,'Detailed Update'!B:I,8,FALSE)</f>
        <v>Kharj</v>
      </c>
      <c r="Q204" s="37" t="s">
        <v>53</v>
      </c>
      <c r="R204" s="10">
        <f>VLOOKUP(B204,'Detailed Update'!B:T,11,FALSE)</f>
        <v>46324</v>
      </c>
      <c r="S204" s="10">
        <f>VLOOKUP(B204,'Detailed Update'!B:T,12,FALSE)</f>
        <v>46324</v>
      </c>
      <c r="T204" s="9">
        <f>VLOOKUP(B204,'Detailed Update'!B:T,13,FALSE)</f>
        <v>46324</v>
      </c>
      <c r="U204" s="9">
        <f>VLOOKUP(B204,'Detailed Update'!B:T,17,FALSE)</f>
        <v>46324</v>
      </c>
      <c r="V204" s="9">
        <f>VLOOKUP(B204,'Detailed Update'!B:S,18,FALSE)</f>
        <v>46324</v>
      </c>
      <c r="W204" s="9">
        <f>VLOOKUP(B204,'Detailed Update'!B:T,19,FALSE)</f>
        <v>46324</v>
      </c>
      <c r="X204" s="11" t="str">
        <f>VLOOKUP(B204,'Detailed Update'!B:U,20,FALSE)</f>
        <v>-</v>
      </c>
    </row>
    <row r="205" spans="1:24" ht="27.6" customHeight="1">
      <c r="A205" s="7">
        <v>165</v>
      </c>
      <c r="B205" s="7" t="s">
        <v>273</v>
      </c>
      <c r="C205" s="20" t="str">
        <f>VLOOKUP(B205,'Detailed Update'!B:C,2,FALSE)</f>
        <v>HVDC-3 | COA-SOA | KUDMI - MEP WORKS</v>
      </c>
      <c r="D205" s="13" t="str">
        <f>VLOOKUP(B205,'Updated Progress % + TCC'!B:D,3,FALSE)</f>
        <v xml:space="preserve">Hashem Mohamed </v>
      </c>
      <c r="E205" s="7" t="str">
        <f>VLOOKUP(B205,'Updated Progress % + TCC'!B:J,9,FALSE)</f>
        <v>Southern</v>
      </c>
      <c r="F205" s="13" t="str">
        <f t="shared" si="13"/>
        <v>No</v>
      </c>
      <c r="G205" s="13"/>
      <c r="H205" s="13"/>
      <c r="I205" s="13"/>
      <c r="J205" s="13"/>
      <c r="K205" s="14">
        <f>VLOOKUP(B205,'Detailed Update'!B:D,3,FALSE)</f>
        <v>45792</v>
      </c>
      <c r="L205" s="18">
        <f>VLOOKUP(B205,'Detailed Update'!B:I,4,FALSE)</f>
        <v>1</v>
      </c>
      <c r="M205" s="18">
        <f>VLOOKUP(B205,'Detailed Update'!B:I,5,FALSE)</f>
        <v>0.73829999999999996</v>
      </c>
      <c r="N205" s="18">
        <f t="shared" si="17"/>
        <v>-0.26170000000000004</v>
      </c>
      <c r="O205" s="7" t="str">
        <f>VLOOKUP(B205,'Detailed Update'!B:I,6,FALSE)</f>
        <v>Alfanar EC</v>
      </c>
      <c r="P205" s="7" t="str">
        <f>VLOOKUP(B205,'Detailed Update'!B:I,8,FALSE)</f>
        <v>Kudmi</v>
      </c>
      <c r="Q205" s="37" t="s">
        <v>53</v>
      </c>
      <c r="R205" s="10">
        <f>VLOOKUP(B205,'Detailed Update'!B:T,11,FALSE)</f>
        <v>46324</v>
      </c>
      <c r="S205" s="10">
        <f>VLOOKUP(B205,'Detailed Update'!B:T,12,FALSE)</f>
        <v>46324</v>
      </c>
      <c r="T205" s="9">
        <f>VLOOKUP(B205,'Detailed Update'!B:T,13,FALSE)</f>
        <v>46348</v>
      </c>
      <c r="U205" s="9">
        <f>VLOOKUP(B205,'Detailed Update'!B:T,17,FALSE)</f>
        <v>46324</v>
      </c>
      <c r="V205" s="9">
        <f>VLOOKUP(B205,'Detailed Update'!B:S,18,FALSE)</f>
        <v>46324</v>
      </c>
      <c r="W205" s="9">
        <f>VLOOKUP(B205,'Detailed Update'!B:T,19,FALSE)</f>
        <v>46348</v>
      </c>
      <c r="X205" s="11" t="str">
        <f>VLOOKUP(B205,'Detailed Update'!B:U,20,FALSE)</f>
        <v>-</v>
      </c>
    </row>
    <row r="206" spans="1:24" ht="27.6" customHeight="1">
      <c r="A206" s="13">
        <v>166</v>
      </c>
      <c r="B206" s="7" t="s">
        <v>274</v>
      </c>
      <c r="C206" s="20" t="str">
        <f>VLOOKUP(B206,'Detailed Update'!B:C,2,FALSE)</f>
        <v>HVDC-4 | COA-WOA | JED-HHR1 - MEP WORKS</v>
      </c>
      <c r="D206" s="13" t="str">
        <f>VLOOKUP(B206,'Updated Progress % + TCC'!B:D,3,FALSE)</f>
        <v xml:space="preserve">Hashem Mohamed </v>
      </c>
      <c r="E206" s="7" t="str">
        <f>VLOOKUP(B206,'Updated Progress % + TCC'!B:J,9,FALSE)</f>
        <v>Western</v>
      </c>
      <c r="F206" s="13" t="str">
        <f t="shared" si="13"/>
        <v>No</v>
      </c>
      <c r="G206" s="13"/>
      <c r="H206" s="13"/>
      <c r="I206" s="13"/>
      <c r="J206" s="13"/>
      <c r="K206" s="14">
        <f>VLOOKUP(B206,'Detailed Update'!B:D,3,FALSE)</f>
        <v>45792</v>
      </c>
      <c r="L206" s="18">
        <f>VLOOKUP(B206,'Detailed Update'!B:I,4,FALSE)</f>
        <v>1</v>
      </c>
      <c r="M206" s="18">
        <f>VLOOKUP(B206,'Detailed Update'!B:I,5,FALSE)</f>
        <v>0.76639999999999997</v>
      </c>
      <c r="N206" s="18">
        <f t="shared" si="17"/>
        <v>-0.23360000000000003</v>
      </c>
      <c r="O206" s="7" t="str">
        <f>VLOOKUP(B206,'Detailed Update'!B:I,6,FALSE)</f>
        <v>Alfanar EC</v>
      </c>
      <c r="P206" s="7" t="str">
        <f>VLOOKUP(B206,'Detailed Update'!B:I,8,FALSE)</f>
        <v>Jeddah</v>
      </c>
      <c r="Q206" s="37" t="s">
        <v>53</v>
      </c>
      <c r="R206" s="10">
        <f>VLOOKUP(B206,'Detailed Update'!B:T,11,FALSE)</f>
        <v>46324</v>
      </c>
      <c r="S206" s="10">
        <f>VLOOKUP(B206,'Detailed Update'!B:T,12,FALSE)</f>
        <v>46324</v>
      </c>
      <c r="T206" s="9">
        <f>VLOOKUP(B206,'Detailed Update'!B:T,13,FALSE)</f>
        <v>46324</v>
      </c>
      <c r="U206" s="9">
        <f>VLOOKUP(B206,'Detailed Update'!B:T,17,FALSE)</f>
        <v>46324</v>
      </c>
      <c r="V206" s="9">
        <f>VLOOKUP(B206,'Detailed Update'!B:S,18,FALSE)</f>
        <v>46324</v>
      </c>
      <c r="W206" s="9">
        <f>VLOOKUP(B206,'Detailed Update'!B:T,19,FALSE)</f>
        <v>46324</v>
      </c>
      <c r="X206" s="11" t="str">
        <f>VLOOKUP(B206,'Detailed Update'!B:U,20,FALSE)</f>
        <v>-</v>
      </c>
    </row>
    <row r="207" spans="1:24" ht="27.6" customHeight="1">
      <c r="A207" s="7">
        <v>167</v>
      </c>
      <c r="B207" s="7" t="s">
        <v>275</v>
      </c>
      <c r="C207" s="20" t="str">
        <f>VLOOKUP(B207,'Detailed Update'!B:C,2,FALSE)</f>
        <v>MEP WORKS FOR SEVEN - AL AHSA   (Same as PE-352)</v>
      </c>
      <c r="D207" s="13" t="str">
        <f>VLOOKUP(B207,'Updated Progress % + TCC'!B:D,3,FALSE)</f>
        <v xml:space="preserve">Hashem Mohamed </v>
      </c>
      <c r="E207" s="7" t="str">
        <f>VLOOKUP(B207,'Updated Progress % + TCC'!B:J,9,FALSE)</f>
        <v>Eastern</v>
      </c>
      <c r="F207" s="13" t="str">
        <f t="shared" si="13"/>
        <v>Yes</v>
      </c>
      <c r="G207" s="13"/>
      <c r="H207" s="13"/>
      <c r="I207" s="13"/>
      <c r="J207" s="13"/>
      <c r="K207" s="14">
        <f>VLOOKUP(B207,'Detailed Update'!B:D,3,FALSE)</f>
        <v>45778</v>
      </c>
      <c r="L207" s="18">
        <f>VLOOKUP(B207,'Detailed Update'!B:I,4,FALSE)</f>
        <v>0.32800000000000001</v>
      </c>
      <c r="M207" s="18">
        <f>VLOOKUP(B207,'Detailed Update'!B:I,5,FALSE)</f>
        <v>0.28699999999999998</v>
      </c>
      <c r="N207" s="18">
        <f t="shared" si="17"/>
        <v>-4.1000000000000036E-2</v>
      </c>
      <c r="O207" s="7" t="str">
        <f>VLOOKUP(B207,'Detailed Update'!B:I,6,FALSE)</f>
        <v>SEVEN</v>
      </c>
      <c r="P207" s="7" t="str">
        <f>VLOOKUP(B207,'Detailed Update'!B:I,8,FALSE)</f>
        <v>Alahsa</v>
      </c>
      <c r="Q207" s="37" t="s">
        <v>53</v>
      </c>
      <c r="R207" s="10">
        <f>VLOOKUP(B207,'Detailed Update'!B:T,11,FALSE)</f>
        <v>46688</v>
      </c>
      <c r="S207" s="10">
        <f>VLOOKUP(B207,'Detailed Update'!B:T,12,FALSE)</f>
        <v>46688</v>
      </c>
      <c r="T207" s="9">
        <f>VLOOKUP(B207,'Detailed Update'!B:T,13,FALSE)</f>
        <v>46847</v>
      </c>
      <c r="U207" s="9">
        <f>VLOOKUP(B207,'Detailed Update'!B:T,17,FALSE)</f>
        <v>46688</v>
      </c>
      <c r="V207" s="9">
        <f>VLOOKUP(B207,'Detailed Update'!B:S,18,FALSE)</f>
        <v>46688</v>
      </c>
      <c r="W207" s="9">
        <f>VLOOKUP(B207,'Detailed Update'!B:T,19,FALSE)</f>
        <v>46847</v>
      </c>
      <c r="X207" s="11" t="str">
        <f>VLOOKUP(B207,'Detailed Update'!B:U,20,FALSE)</f>
        <v>-</v>
      </c>
    </row>
    <row r="208" spans="1:24" ht="27.6" customHeight="1">
      <c r="A208" s="13">
        <v>168</v>
      </c>
      <c r="B208" s="47" t="s">
        <v>276</v>
      </c>
      <c r="C208" s="20" t="str">
        <f>VLOOKUP(B208,'Detailed Update'!B:C,2,FALSE)</f>
        <v xml:space="preserve">MEP WORKS Amaala Wellness 				</v>
      </c>
      <c r="D208" s="13" t="str">
        <f>VLOOKUP(B208,'Updated Progress % + TCC'!B:D,3,FALSE)</f>
        <v xml:space="preserve">Hashem Mohamed </v>
      </c>
      <c r="E208" s="7" t="str">
        <f>VLOOKUP(B208,'Updated Progress % + TCC'!B:J,9,FALSE)</f>
        <v>Western</v>
      </c>
      <c r="F208" s="46" t="str">
        <f t="shared" ref="F208" si="18">IF(M208&gt;70.01%,"No","Yes")</f>
        <v>No</v>
      </c>
      <c r="G208" s="46" t="s">
        <v>25</v>
      </c>
      <c r="H208" s="46" t="s">
        <v>25</v>
      </c>
      <c r="I208" s="46" t="s">
        <v>25</v>
      </c>
      <c r="J208" s="46"/>
      <c r="K208" s="14">
        <f>VLOOKUP(B208,'Detailed Update'!B:D,3,FALSE)</f>
        <v>45875</v>
      </c>
      <c r="L208" s="18">
        <f>VLOOKUP(B208,'Detailed Update'!B:I,4,FALSE)</f>
        <v>0.94</v>
      </c>
      <c r="M208" s="18">
        <f>VLOOKUP(B208,'Detailed Update'!B:I,5,FALSE)</f>
        <v>0.92</v>
      </c>
      <c r="N208" s="48">
        <f t="shared" si="17"/>
        <v>-1.9999999999999907E-2</v>
      </c>
      <c r="O208" s="7" t="str">
        <f>VLOOKUP(B208,'Detailed Update'!B:I,6,FALSE)</f>
        <v>AMAALA</v>
      </c>
      <c r="P208" s="7" t="str">
        <f>VLOOKUP(B208,'Detailed Update'!B:I,8,FALSE)</f>
        <v>Al Wajh</v>
      </c>
      <c r="Q208" s="49" t="s">
        <v>53</v>
      </c>
      <c r="R208" s="10">
        <f>VLOOKUP(B208,'Detailed Update'!B:T,11,FALSE)</f>
        <v>46022</v>
      </c>
      <c r="S208" s="10">
        <f>VLOOKUP(B208,'Detailed Update'!B:T,12,FALSE)</f>
        <v>46064</v>
      </c>
      <c r="T208" s="9">
        <f>VLOOKUP(B208,'Detailed Update'!B:T,13,FALSE)</f>
        <v>46265</v>
      </c>
      <c r="U208" s="9">
        <f>VLOOKUP(B208,'Detailed Update'!B:T,17,FALSE)</f>
        <v>46022</v>
      </c>
      <c r="V208" s="9">
        <f>VLOOKUP(B208,'Detailed Update'!B:S,18,FALSE)</f>
        <v>46064</v>
      </c>
      <c r="W208" s="9">
        <f>VLOOKUP(B208,'Detailed Update'!B:T,19,FALSE)</f>
        <v>46265</v>
      </c>
      <c r="X208" s="11" t="str">
        <f>VLOOKUP(B208,'Detailed Update'!B:U,20,FALSE)</f>
        <v>-</v>
      </c>
    </row>
  </sheetData>
  <autoFilter ref="A1:X208" xr:uid="{46305412-642E-4232-AFB7-9D05AF1C9544}">
    <filterColumn colId="17" showButton="0"/>
    <filterColumn colId="18" showButton="0"/>
    <filterColumn colId="20" showButton="0"/>
    <filterColumn colId="21" showButton="0"/>
  </autoFilter>
  <mergeCells count="21">
    <mergeCell ref="K1:K2"/>
    <mergeCell ref="E1:E2"/>
    <mergeCell ref="R1:T1"/>
    <mergeCell ref="X1:X2"/>
    <mergeCell ref="F1:F2"/>
    <mergeCell ref="G1:G2"/>
    <mergeCell ref="H1:H2"/>
    <mergeCell ref="I1:I2"/>
    <mergeCell ref="J1:J2"/>
    <mergeCell ref="M1:M2"/>
    <mergeCell ref="N1:N2"/>
    <mergeCell ref="O1:O2"/>
    <mergeCell ref="P1:P2"/>
    <mergeCell ref="Q1:Q2"/>
    <mergeCell ref="L1:L2"/>
    <mergeCell ref="U1:W1"/>
    <mergeCell ref="A45:A71"/>
    <mergeCell ref="A1:A2"/>
    <mergeCell ref="B1:B2"/>
    <mergeCell ref="C1:C2"/>
    <mergeCell ref="D1:D2"/>
  </mergeCells>
  <conditionalFormatting sqref="B88:B89">
    <cfRule type="duplicateValues" dxfId="17" priority="1"/>
  </conditionalFormatting>
  <conditionalFormatting sqref="F3:J1048576">
    <cfRule type="containsText" dxfId="16" priority="5" operator="containsText" text="No">
      <formula>NOT(ISERROR(SEARCH("No",F3)))</formula>
    </cfRule>
    <cfRule type="containsText" dxfId="15" priority="6" operator="containsText" text="Yes">
      <formula>NOT(ISERROR(SEARCH("Yes",F3)))</formula>
    </cfRule>
  </conditionalFormatting>
  <conditionalFormatting sqref="Q3:Q1048576">
    <cfRule type="containsText" dxfId="14" priority="2" operator="containsText" text="N/A">
      <formula>NOT(ISERROR(SEARCH("N/A",Q3)))</formula>
    </cfRule>
    <cfRule type="containsText" dxfId="13" priority="3" operator="containsText" text="Under Approval">
      <formula>NOT(ISERROR(SEARCH("Under Approval",Q3)))</formula>
    </cfRule>
    <cfRule type="containsText" dxfId="12" priority="4" operator="containsText" text="Approved">
      <formula>NOT(ISERROR(SEARCH("Approved",Q3)))</formula>
    </cfRule>
  </conditionalFormatting>
  <dataValidations count="1">
    <dataValidation type="list" allowBlank="1" showInputMessage="1" showErrorMessage="1" sqref="Q1:Q1048576" xr:uid="{DFE5E2CF-6E1D-4F80-8E50-3EF66ABE4346}">
      <formula1>"Approved, Under Approval, N/A"</formula1>
    </dataValidation>
  </dataValidations>
  <pageMargins left="0.7" right="0.7" top="0.75" bottom="0.75" header="0.3" footer="0.3"/>
  <pageSetup scale="26" orientation="portrait" r:id="rId1"/>
  <headerFooter>
    <oddFooter>&amp;C_x000D_&amp;1#&amp;"Calibri"&amp;10&amp;K0000FF CLASSIFICATION: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2D803-A1F4-4D3A-97F7-6D9FD68DE241}">
  <dimension ref="A1:AC214"/>
  <sheetViews>
    <sheetView tabSelected="1" view="pageBreakPreview" zoomScale="70" zoomScaleNormal="50" zoomScaleSheetLayoutView="70" workbookViewId="0">
      <pane xSplit="3" ySplit="2" topLeftCell="R69" activePane="bottomRight" state="frozen"/>
      <selection pane="topRight" activeCell="D1" sqref="D1"/>
      <selection pane="bottomLeft" activeCell="A3" sqref="A3"/>
      <selection pane="bottomRight" activeCell="U82" sqref="U82"/>
    </sheetView>
  </sheetViews>
  <sheetFormatPr defaultRowHeight="15" customHeight="1"/>
  <cols>
    <col min="1" max="1" width="7.5703125" customWidth="1"/>
    <col min="2" max="2" width="13.7109375" style="161" customWidth="1"/>
    <col min="3" max="3" width="64.7109375" customWidth="1"/>
    <col min="4" max="4" width="16.5703125" style="16" customWidth="1"/>
    <col min="5" max="5" width="13.28515625" customWidth="1"/>
    <col min="6" max="6" width="11.7109375" style="167" customWidth="1"/>
    <col min="7" max="7" width="17.5703125" customWidth="1"/>
    <col min="8" max="8" width="14.28515625" customWidth="1"/>
    <col min="9" max="9" width="16.28515625" customWidth="1"/>
    <col min="10" max="10" width="15.5703125" customWidth="1"/>
    <col min="11" max="11" width="25.7109375" style="179" customWidth="1"/>
    <col min="12" max="12" width="23.42578125" customWidth="1"/>
    <col min="13" max="13" width="24.28515625" customWidth="1"/>
    <col min="14" max="14" width="24.42578125" style="178" customWidth="1"/>
    <col min="15" max="15" width="25.5703125" customWidth="1"/>
    <col min="16" max="16" width="22.7109375" customWidth="1"/>
    <col min="17" max="17" width="22.42578125" customWidth="1"/>
    <col min="18" max="18" width="23.7109375" customWidth="1"/>
    <col min="19" max="19" width="20.28515625" customWidth="1"/>
    <col min="20" max="20" width="22.7109375" customWidth="1"/>
    <col min="21" max="21" width="163.140625" customWidth="1"/>
    <col min="22" max="22" width="12" customWidth="1"/>
    <col min="23" max="23" width="4.5703125" customWidth="1"/>
    <col min="24" max="24" width="6.28515625" customWidth="1"/>
    <col min="25" max="27" width="10" bestFit="1" customWidth="1"/>
    <col min="28" max="29" width="10.28515625" bestFit="1" customWidth="1"/>
  </cols>
  <sheetData>
    <row r="1" spans="1:29" ht="30" customHeight="1" thickBot="1">
      <c r="A1" s="477" t="s">
        <v>277</v>
      </c>
      <c r="B1" s="487" t="s">
        <v>1</v>
      </c>
      <c r="C1" s="477" t="s">
        <v>2</v>
      </c>
      <c r="D1" s="477" t="s">
        <v>10</v>
      </c>
      <c r="E1" s="477" t="s">
        <v>11</v>
      </c>
      <c r="F1" s="477" t="s">
        <v>12</v>
      </c>
      <c r="G1" s="477" t="s">
        <v>14</v>
      </c>
      <c r="H1" s="477" t="s">
        <v>4</v>
      </c>
      <c r="I1" s="477" t="s">
        <v>15</v>
      </c>
      <c r="J1" s="491" t="s">
        <v>278</v>
      </c>
      <c r="K1" s="489" t="s">
        <v>16</v>
      </c>
      <c r="L1" s="23"/>
      <c r="M1" s="21" t="s">
        <v>17</v>
      </c>
      <c r="N1" s="21"/>
      <c r="O1" s="24"/>
      <c r="P1" s="22" t="s">
        <v>279</v>
      </c>
      <c r="Q1" s="42"/>
      <c r="R1" s="492" t="s">
        <v>280</v>
      </c>
      <c r="S1" s="493"/>
      <c r="T1" s="494"/>
      <c r="U1" s="477" t="s">
        <v>19</v>
      </c>
      <c r="Y1" s="19"/>
    </row>
    <row r="2" spans="1:29" ht="21" customHeight="1" thickBot="1">
      <c r="A2" s="478"/>
      <c r="B2" s="488"/>
      <c r="C2" s="478"/>
      <c r="D2" s="478" t="s">
        <v>10</v>
      </c>
      <c r="E2" s="478"/>
      <c r="F2" s="478"/>
      <c r="G2" s="478"/>
      <c r="H2" s="478"/>
      <c r="I2" s="478"/>
      <c r="J2" s="478"/>
      <c r="K2" s="490"/>
      <c r="L2" s="38" t="s">
        <v>17</v>
      </c>
      <c r="M2" s="39" t="s">
        <v>21</v>
      </c>
      <c r="N2" s="40" t="s">
        <v>22</v>
      </c>
      <c r="O2" s="1" t="s">
        <v>20</v>
      </c>
      <c r="P2" s="2" t="s">
        <v>21</v>
      </c>
      <c r="Q2" s="3" t="s">
        <v>22</v>
      </c>
      <c r="R2" s="41" t="s">
        <v>20</v>
      </c>
      <c r="S2" s="25" t="s">
        <v>21</v>
      </c>
      <c r="T2" s="162" t="s">
        <v>22</v>
      </c>
      <c r="U2" s="478"/>
    </row>
    <row r="3" spans="1:29" s="322" customFormat="1" ht="21" customHeight="1">
      <c r="A3" s="334"/>
      <c r="B3" s="335"/>
      <c r="C3" s="5" t="s">
        <v>281</v>
      </c>
      <c r="D3" s="336"/>
      <c r="E3" s="337"/>
      <c r="F3" s="337"/>
      <c r="G3" s="334"/>
      <c r="H3" s="334"/>
      <c r="I3" s="334"/>
      <c r="J3" s="338"/>
      <c r="K3" s="339"/>
      <c r="L3" s="340"/>
      <c r="M3" s="341"/>
      <c r="N3" s="342"/>
      <c r="O3" s="343"/>
      <c r="P3" s="321"/>
      <c r="Q3" s="344"/>
      <c r="R3" s="345"/>
      <c r="S3" s="321"/>
      <c r="T3" s="346"/>
      <c r="U3" s="321"/>
    </row>
    <row r="4" spans="1:29" ht="21" customHeight="1">
      <c r="A4" s="149">
        <v>1</v>
      </c>
      <c r="B4" s="194" t="s">
        <v>24</v>
      </c>
      <c r="C4" s="20" t="s">
        <v>282</v>
      </c>
      <c r="D4" s="195">
        <v>44652</v>
      </c>
      <c r="E4" s="196">
        <v>1</v>
      </c>
      <c r="F4" s="196">
        <v>1</v>
      </c>
      <c r="G4" s="149" t="s">
        <v>76</v>
      </c>
      <c r="H4" s="149" t="s">
        <v>283</v>
      </c>
      <c r="I4" s="149" t="s">
        <v>284</v>
      </c>
      <c r="J4" s="197"/>
      <c r="K4" s="198" t="s">
        <v>26</v>
      </c>
      <c r="L4" s="199">
        <v>45442</v>
      </c>
      <c r="M4" s="166">
        <v>45812</v>
      </c>
      <c r="N4" s="44">
        <v>45812</v>
      </c>
      <c r="O4" s="199">
        <v>45442</v>
      </c>
      <c r="P4" s="166">
        <v>45812</v>
      </c>
      <c r="Q4" s="44">
        <v>45812</v>
      </c>
      <c r="R4" s="201">
        <v>45442</v>
      </c>
      <c r="S4" s="166">
        <v>45812</v>
      </c>
      <c r="T4" s="43">
        <v>45812</v>
      </c>
      <c r="U4" s="251" t="s">
        <v>285</v>
      </c>
    </row>
    <row r="5" spans="1:29" ht="21" customHeight="1">
      <c r="A5" s="149">
        <f t="shared" ref="A5:A19" si="0">A4+1</f>
        <v>2</v>
      </c>
      <c r="B5" s="194" t="s">
        <v>27</v>
      </c>
      <c r="C5" s="20" t="s">
        <v>286</v>
      </c>
      <c r="D5" s="195">
        <v>44350</v>
      </c>
      <c r="E5" s="196">
        <v>1</v>
      </c>
      <c r="F5" s="196">
        <v>0.86299999999999999</v>
      </c>
      <c r="G5" s="149" t="s">
        <v>76</v>
      </c>
      <c r="H5" s="149" t="s">
        <v>283</v>
      </c>
      <c r="I5" s="149" t="s">
        <v>284</v>
      </c>
      <c r="J5" s="203">
        <v>45386</v>
      </c>
      <c r="K5" s="198" t="s">
        <v>26</v>
      </c>
      <c r="L5" s="199">
        <v>44960</v>
      </c>
      <c r="M5" s="166">
        <v>45657</v>
      </c>
      <c r="N5" s="200">
        <v>46411</v>
      </c>
      <c r="O5" s="199">
        <v>45049</v>
      </c>
      <c r="P5" s="166">
        <v>45716</v>
      </c>
      <c r="Q5" s="200">
        <f>N5+60</f>
        <v>46471</v>
      </c>
      <c r="R5" s="201">
        <v>45141</v>
      </c>
      <c r="S5" s="166">
        <v>45808</v>
      </c>
      <c r="T5" s="200">
        <f>Q5+(S5-P5)</f>
        <v>46563</v>
      </c>
      <c r="U5" s="251" t="s">
        <v>287</v>
      </c>
      <c r="Y5" s="168"/>
      <c r="Z5" s="168"/>
      <c r="AA5" s="168"/>
      <c r="AB5" s="168"/>
      <c r="AC5" s="168"/>
    </row>
    <row r="6" spans="1:29" ht="21" customHeight="1">
      <c r="A6" s="149">
        <f t="shared" si="0"/>
        <v>3</v>
      </c>
      <c r="B6" s="194" t="s">
        <v>28</v>
      </c>
      <c r="C6" s="204" t="s">
        <v>288</v>
      </c>
      <c r="D6" s="195">
        <v>44368</v>
      </c>
      <c r="E6" s="196">
        <v>1</v>
      </c>
      <c r="F6" s="196">
        <v>0.99909999999999999</v>
      </c>
      <c r="G6" s="149" t="s">
        <v>289</v>
      </c>
      <c r="H6" s="149" t="s">
        <v>283</v>
      </c>
      <c r="I6" s="149" t="s">
        <v>284</v>
      </c>
      <c r="J6" s="197"/>
      <c r="K6" s="198" t="s">
        <v>26</v>
      </c>
      <c r="L6" s="199">
        <v>45136</v>
      </c>
      <c r="M6" s="166">
        <v>45747</v>
      </c>
      <c r="N6" s="44">
        <v>45961</v>
      </c>
      <c r="O6" s="199">
        <v>45136</v>
      </c>
      <c r="P6" s="166">
        <v>45747</v>
      </c>
      <c r="Q6" s="44">
        <v>45961</v>
      </c>
      <c r="R6" s="201">
        <v>45136</v>
      </c>
      <c r="S6" s="166">
        <v>45747</v>
      </c>
      <c r="T6" s="43">
        <v>45961</v>
      </c>
      <c r="U6" s="251" t="s">
        <v>290</v>
      </c>
      <c r="Y6" s="168"/>
      <c r="Z6" s="168"/>
      <c r="AA6" s="168"/>
      <c r="AB6" s="168"/>
      <c r="AC6" s="168"/>
    </row>
    <row r="7" spans="1:29" ht="21" customHeight="1">
      <c r="A7" s="149">
        <f t="shared" si="0"/>
        <v>4</v>
      </c>
      <c r="B7" s="194" t="s">
        <v>29</v>
      </c>
      <c r="C7" s="20" t="s">
        <v>291</v>
      </c>
      <c r="D7" s="195">
        <v>44444</v>
      </c>
      <c r="E7" s="196">
        <v>1</v>
      </c>
      <c r="F7" s="196">
        <v>0.99280000000000002</v>
      </c>
      <c r="G7" s="149" t="s">
        <v>76</v>
      </c>
      <c r="H7" s="149" t="s">
        <v>283</v>
      </c>
      <c r="I7" s="149" t="s">
        <v>284</v>
      </c>
      <c r="J7" s="197"/>
      <c r="K7" s="198" t="s">
        <v>26</v>
      </c>
      <c r="L7" s="199">
        <v>45235</v>
      </c>
      <c r="M7" s="166">
        <v>45733</v>
      </c>
      <c r="N7" s="44">
        <v>45733</v>
      </c>
      <c r="O7" s="199">
        <v>45296</v>
      </c>
      <c r="P7" s="166">
        <v>45794</v>
      </c>
      <c r="Q7" s="200">
        <v>46203</v>
      </c>
      <c r="R7" s="201">
        <v>45356</v>
      </c>
      <c r="S7" s="166">
        <v>45855</v>
      </c>
      <c r="T7" s="200">
        <f t="shared" ref="T7:T19" si="1">Q7+(S7-P7)</f>
        <v>46264</v>
      </c>
      <c r="U7" s="251" t="s">
        <v>292</v>
      </c>
      <c r="Y7" s="168"/>
      <c r="Z7" s="168"/>
      <c r="AA7" s="168"/>
      <c r="AB7" s="168"/>
      <c r="AC7" s="168"/>
    </row>
    <row r="8" spans="1:29" ht="21" customHeight="1">
      <c r="A8" s="149">
        <f t="shared" si="0"/>
        <v>5</v>
      </c>
      <c r="B8" s="194" t="s">
        <v>30</v>
      </c>
      <c r="C8" s="20" t="s">
        <v>293</v>
      </c>
      <c r="D8" s="195">
        <v>44542</v>
      </c>
      <c r="E8" s="196">
        <v>1</v>
      </c>
      <c r="F8" s="196">
        <v>0.99</v>
      </c>
      <c r="G8" s="149" t="s">
        <v>76</v>
      </c>
      <c r="H8" s="149" t="s">
        <v>283</v>
      </c>
      <c r="I8" s="149" t="s">
        <v>284</v>
      </c>
      <c r="J8" s="197"/>
      <c r="K8" s="198" t="s">
        <v>26</v>
      </c>
      <c r="L8" s="199">
        <v>45272</v>
      </c>
      <c r="M8" s="166">
        <v>46021</v>
      </c>
      <c r="N8" s="200">
        <v>46233</v>
      </c>
      <c r="O8" s="199">
        <v>45334</v>
      </c>
      <c r="P8" s="166">
        <v>46081</v>
      </c>
      <c r="Q8" s="200">
        <v>46295</v>
      </c>
      <c r="R8" s="201">
        <v>45424</v>
      </c>
      <c r="S8" s="166">
        <v>46172</v>
      </c>
      <c r="T8" s="200">
        <f t="shared" si="1"/>
        <v>46386</v>
      </c>
      <c r="U8" s="251" t="s">
        <v>294</v>
      </c>
      <c r="Y8" s="168"/>
      <c r="Z8" s="168"/>
      <c r="AA8" s="168"/>
      <c r="AB8" s="168"/>
      <c r="AC8" s="168"/>
    </row>
    <row r="9" spans="1:29" ht="21" customHeight="1">
      <c r="A9" s="149">
        <f t="shared" si="0"/>
        <v>6</v>
      </c>
      <c r="B9" s="194" t="s">
        <v>31</v>
      </c>
      <c r="C9" s="20" t="s">
        <v>295</v>
      </c>
      <c r="D9" s="195">
        <v>44788</v>
      </c>
      <c r="E9" s="196">
        <v>1</v>
      </c>
      <c r="F9" s="196">
        <v>0.96120000000000005</v>
      </c>
      <c r="G9" s="149" t="s">
        <v>76</v>
      </c>
      <c r="H9" s="149" t="s">
        <v>283</v>
      </c>
      <c r="I9" s="149" t="s">
        <v>284</v>
      </c>
      <c r="J9" s="203">
        <v>45476</v>
      </c>
      <c r="K9" s="198" t="s">
        <v>26</v>
      </c>
      <c r="L9" s="199">
        <v>45427</v>
      </c>
      <c r="M9" s="166">
        <v>45656</v>
      </c>
      <c r="N9" s="200">
        <v>46193</v>
      </c>
      <c r="O9" s="199">
        <v>45488</v>
      </c>
      <c r="P9" s="166">
        <v>45716</v>
      </c>
      <c r="Q9" s="200">
        <f>N9+60</f>
        <v>46253</v>
      </c>
      <c r="R9" s="201">
        <v>45580</v>
      </c>
      <c r="S9" s="166">
        <v>45804</v>
      </c>
      <c r="T9" s="200">
        <f t="shared" si="1"/>
        <v>46341</v>
      </c>
      <c r="U9" s="251" t="s">
        <v>296</v>
      </c>
      <c r="Y9" s="168"/>
      <c r="Z9" s="168"/>
      <c r="AA9" s="168"/>
      <c r="AB9" s="168"/>
      <c r="AC9" s="168"/>
    </row>
    <row r="10" spans="1:29" ht="21" customHeight="1">
      <c r="A10" s="149">
        <f t="shared" si="0"/>
        <v>7</v>
      </c>
      <c r="B10" s="194" t="s">
        <v>32</v>
      </c>
      <c r="C10" s="20" t="s">
        <v>297</v>
      </c>
      <c r="D10" s="195">
        <v>44833</v>
      </c>
      <c r="E10" s="196">
        <v>1</v>
      </c>
      <c r="F10" s="196">
        <v>0.99099999999999999</v>
      </c>
      <c r="G10" s="149" t="s">
        <v>298</v>
      </c>
      <c r="H10" s="149" t="s">
        <v>283</v>
      </c>
      <c r="I10" s="149" t="s">
        <v>284</v>
      </c>
      <c r="J10" s="197"/>
      <c r="K10" s="198" t="s">
        <v>33</v>
      </c>
      <c r="L10" s="199">
        <v>45538</v>
      </c>
      <c r="M10" s="166">
        <v>45538</v>
      </c>
      <c r="N10" s="44">
        <v>45920</v>
      </c>
      <c r="O10" s="199">
        <v>45568</v>
      </c>
      <c r="P10" s="166">
        <v>45568</v>
      </c>
      <c r="Q10" s="200">
        <v>46233</v>
      </c>
      <c r="R10" s="201">
        <v>45599</v>
      </c>
      <c r="S10" s="166">
        <v>45599</v>
      </c>
      <c r="T10" s="200">
        <f t="shared" si="1"/>
        <v>46264</v>
      </c>
      <c r="U10" s="251" t="s">
        <v>299</v>
      </c>
      <c r="Y10" s="168"/>
      <c r="Z10" s="168"/>
      <c r="AA10" s="168"/>
      <c r="AB10" s="168"/>
      <c r="AC10" s="168"/>
    </row>
    <row r="11" spans="1:29" ht="21" customHeight="1">
      <c r="A11" s="149">
        <f t="shared" si="0"/>
        <v>8</v>
      </c>
      <c r="B11" s="194" t="s">
        <v>34</v>
      </c>
      <c r="C11" s="20" t="s">
        <v>300</v>
      </c>
      <c r="D11" s="195">
        <v>44847</v>
      </c>
      <c r="E11" s="196">
        <v>1</v>
      </c>
      <c r="F11" s="196">
        <v>0.95760000000000001</v>
      </c>
      <c r="G11" s="149" t="s">
        <v>301</v>
      </c>
      <c r="H11" s="149" t="s">
        <v>283</v>
      </c>
      <c r="I11" s="149" t="s">
        <v>284</v>
      </c>
      <c r="J11" s="203">
        <v>45553</v>
      </c>
      <c r="K11" s="198" t="s">
        <v>26</v>
      </c>
      <c r="L11" s="199">
        <v>45517</v>
      </c>
      <c r="M11" s="166">
        <v>46018</v>
      </c>
      <c r="N11" s="200">
        <v>46263</v>
      </c>
      <c r="O11" s="199">
        <v>45609</v>
      </c>
      <c r="P11" s="166">
        <v>46112</v>
      </c>
      <c r="Q11" s="200">
        <v>46355</v>
      </c>
      <c r="R11" s="201">
        <v>45974</v>
      </c>
      <c r="S11" s="166">
        <v>46477</v>
      </c>
      <c r="T11" s="200">
        <f t="shared" si="1"/>
        <v>46720</v>
      </c>
      <c r="U11" s="251" t="s">
        <v>302</v>
      </c>
      <c r="Y11" s="168"/>
      <c r="Z11" s="168"/>
      <c r="AA11" s="168"/>
      <c r="AB11" s="168"/>
      <c r="AC11" s="168"/>
    </row>
    <row r="12" spans="1:29" ht="21" customHeight="1">
      <c r="A12" s="149">
        <f t="shared" si="0"/>
        <v>9</v>
      </c>
      <c r="B12" s="194" t="s">
        <v>35</v>
      </c>
      <c r="C12" s="20" t="s">
        <v>303</v>
      </c>
      <c r="D12" s="195">
        <v>44857</v>
      </c>
      <c r="E12" s="196">
        <v>0.89980000000000004</v>
      </c>
      <c r="F12" s="196">
        <v>0.75180000000000002</v>
      </c>
      <c r="G12" s="149" t="s">
        <v>76</v>
      </c>
      <c r="H12" s="149" t="s">
        <v>283</v>
      </c>
      <c r="I12" s="149" t="s">
        <v>284</v>
      </c>
      <c r="J12" s="203">
        <v>45449</v>
      </c>
      <c r="K12" s="198" t="s">
        <v>26</v>
      </c>
      <c r="L12" s="199">
        <v>45283</v>
      </c>
      <c r="M12" s="166">
        <v>45813</v>
      </c>
      <c r="N12" s="200">
        <v>46386</v>
      </c>
      <c r="O12" s="199">
        <v>45374</v>
      </c>
      <c r="P12" s="166">
        <v>45905</v>
      </c>
      <c r="Q12" s="200">
        <f>N12+(P12-M12)</f>
        <v>46478</v>
      </c>
      <c r="R12" s="201">
        <v>45466</v>
      </c>
      <c r="S12" s="166">
        <v>45996</v>
      </c>
      <c r="T12" s="200">
        <f t="shared" si="1"/>
        <v>46569</v>
      </c>
      <c r="U12" s="251" t="s">
        <v>304</v>
      </c>
      <c r="Y12" s="168"/>
      <c r="Z12" s="168"/>
      <c r="AA12" s="168"/>
      <c r="AB12" s="168"/>
      <c r="AC12" s="168"/>
    </row>
    <row r="13" spans="1:29" ht="21" customHeight="1">
      <c r="A13" s="149">
        <f t="shared" si="0"/>
        <v>10</v>
      </c>
      <c r="B13" s="194" t="s">
        <v>37</v>
      </c>
      <c r="C13" s="20" t="s">
        <v>305</v>
      </c>
      <c r="D13" s="195">
        <v>44867</v>
      </c>
      <c r="E13" s="196">
        <v>1</v>
      </c>
      <c r="F13" s="196">
        <v>0.78769999999999996</v>
      </c>
      <c r="G13" s="149" t="s">
        <v>76</v>
      </c>
      <c r="H13" s="149" t="s">
        <v>283</v>
      </c>
      <c r="I13" s="149" t="s">
        <v>284</v>
      </c>
      <c r="J13" s="197"/>
      <c r="K13" s="198" t="s">
        <v>33</v>
      </c>
      <c r="L13" s="199">
        <v>45537</v>
      </c>
      <c r="M13" s="166">
        <v>45537</v>
      </c>
      <c r="N13" s="200">
        <v>46325</v>
      </c>
      <c r="O13" s="199">
        <v>45598</v>
      </c>
      <c r="P13" s="166">
        <v>45598</v>
      </c>
      <c r="Q13" s="200">
        <f>N13+(P13-M13)</f>
        <v>46386</v>
      </c>
      <c r="R13" s="201">
        <v>45690</v>
      </c>
      <c r="S13" s="166">
        <v>45690</v>
      </c>
      <c r="T13" s="200">
        <f t="shared" si="1"/>
        <v>46478</v>
      </c>
      <c r="U13" s="251" t="s">
        <v>306</v>
      </c>
      <c r="Y13" s="168"/>
      <c r="Z13" s="168"/>
      <c r="AA13" s="168"/>
      <c r="AB13" s="168"/>
      <c r="AC13" s="168"/>
    </row>
    <row r="14" spans="1:29" ht="21" customHeight="1">
      <c r="A14" s="149">
        <f t="shared" si="0"/>
        <v>11</v>
      </c>
      <c r="B14" s="194" t="s">
        <v>38</v>
      </c>
      <c r="C14" s="20" t="s">
        <v>307</v>
      </c>
      <c r="D14" s="195">
        <v>44871</v>
      </c>
      <c r="E14" s="196">
        <v>1</v>
      </c>
      <c r="F14" s="196">
        <v>0.96930000000000005</v>
      </c>
      <c r="G14" s="149" t="s">
        <v>76</v>
      </c>
      <c r="H14" s="149" t="s">
        <v>283</v>
      </c>
      <c r="I14" s="149" t="s">
        <v>284</v>
      </c>
      <c r="J14" s="197"/>
      <c r="K14" s="198" t="s">
        <v>26</v>
      </c>
      <c r="L14" s="199">
        <v>45611</v>
      </c>
      <c r="M14" s="166">
        <v>45807</v>
      </c>
      <c r="N14" s="200">
        <v>46356</v>
      </c>
      <c r="O14" s="199">
        <v>45672</v>
      </c>
      <c r="P14" s="166">
        <v>45868</v>
      </c>
      <c r="Q14" s="200">
        <f>N14+(P14-M14)</f>
        <v>46417</v>
      </c>
      <c r="R14" s="201">
        <v>45762</v>
      </c>
      <c r="S14" s="166">
        <v>45960</v>
      </c>
      <c r="T14" s="200">
        <f t="shared" si="1"/>
        <v>46509</v>
      </c>
      <c r="U14" s="251" t="s">
        <v>308</v>
      </c>
      <c r="Y14" s="168"/>
      <c r="Z14" s="168"/>
      <c r="AA14" s="168"/>
      <c r="AB14" s="168"/>
      <c r="AC14" s="168"/>
    </row>
    <row r="15" spans="1:29" ht="21" customHeight="1">
      <c r="A15" s="149">
        <f t="shared" si="0"/>
        <v>12</v>
      </c>
      <c r="B15" s="194" t="s">
        <v>39</v>
      </c>
      <c r="C15" s="20" t="s">
        <v>309</v>
      </c>
      <c r="D15" s="195">
        <v>45063</v>
      </c>
      <c r="E15" s="196">
        <v>1</v>
      </c>
      <c r="F15" s="196">
        <v>0.99180000000000001</v>
      </c>
      <c r="G15" s="149" t="s">
        <v>76</v>
      </c>
      <c r="H15" s="149" t="s">
        <v>283</v>
      </c>
      <c r="I15" s="149" t="s">
        <v>284</v>
      </c>
      <c r="J15" s="197"/>
      <c r="K15" s="198" t="s">
        <v>26</v>
      </c>
      <c r="L15" s="199">
        <v>45732</v>
      </c>
      <c r="M15" s="166">
        <v>45838</v>
      </c>
      <c r="N15" s="200">
        <v>46202</v>
      </c>
      <c r="O15" s="199">
        <v>45793</v>
      </c>
      <c r="P15" s="166">
        <v>45899</v>
      </c>
      <c r="Q15" s="200">
        <f>N15+(P15-M15)</f>
        <v>46263</v>
      </c>
      <c r="R15" s="201">
        <v>45885</v>
      </c>
      <c r="S15" s="166">
        <v>45991</v>
      </c>
      <c r="T15" s="200">
        <f t="shared" si="1"/>
        <v>46355</v>
      </c>
      <c r="U15" s="251" t="s">
        <v>310</v>
      </c>
    </row>
    <row r="16" spans="1:29" ht="21" customHeight="1">
      <c r="A16" s="149">
        <f t="shared" si="0"/>
        <v>13</v>
      </c>
      <c r="B16" s="194" t="s">
        <v>40</v>
      </c>
      <c r="C16" s="20" t="s">
        <v>311</v>
      </c>
      <c r="D16" s="195">
        <v>45120</v>
      </c>
      <c r="E16" s="196">
        <v>1</v>
      </c>
      <c r="F16" s="196">
        <v>0.98499999999999999</v>
      </c>
      <c r="G16" s="149" t="s">
        <v>76</v>
      </c>
      <c r="H16" s="149" t="s">
        <v>283</v>
      </c>
      <c r="I16" s="149" t="s">
        <v>284</v>
      </c>
      <c r="J16" s="203">
        <v>46039</v>
      </c>
      <c r="K16" s="198" t="s">
        <v>26</v>
      </c>
      <c r="L16" s="199">
        <v>45608</v>
      </c>
      <c r="M16" s="166">
        <v>46081</v>
      </c>
      <c r="N16" s="44">
        <v>46098</v>
      </c>
      <c r="O16" s="199">
        <v>45669</v>
      </c>
      <c r="P16" s="166">
        <v>46140</v>
      </c>
      <c r="Q16" s="200">
        <v>46325</v>
      </c>
      <c r="R16" s="201">
        <v>45759</v>
      </c>
      <c r="S16" s="166">
        <v>46231</v>
      </c>
      <c r="T16" s="200">
        <f t="shared" si="1"/>
        <v>46416</v>
      </c>
      <c r="U16" s="251" t="s">
        <v>312</v>
      </c>
    </row>
    <row r="17" spans="1:21" ht="21" customHeight="1">
      <c r="A17" s="149">
        <f t="shared" si="0"/>
        <v>14</v>
      </c>
      <c r="B17" s="194" t="s">
        <v>41</v>
      </c>
      <c r="C17" s="20" t="s">
        <v>313</v>
      </c>
      <c r="D17" s="195">
        <v>45120</v>
      </c>
      <c r="E17" s="196">
        <v>1</v>
      </c>
      <c r="F17" s="196">
        <v>0.96130000000000004</v>
      </c>
      <c r="G17" s="149" t="s">
        <v>76</v>
      </c>
      <c r="H17" s="149" t="s">
        <v>283</v>
      </c>
      <c r="I17" s="149" t="s">
        <v>284</v>
      </c>
      <c r="J17" s="197"/>
      <c r="K17" s="198" t="s">
        <v>33</v>
      </c>
      <c r="L17" s="199">
        <v>45609</v>
      </c>
      <c r="M17" s="166">
        <v>45609</v>
      </c>
      <c r="N17" s="200">
        <v>46272</v>
      </c>
      <c r="O17" s="199">
        <v>45670</v>
      </c>
      <c r="P17" s="166">
        <v>45670</v>
      </c>
      <c r="Q17" s="200">
        <f>N17+(P17-M17)</f>
        <v>46333</v>
      </c>
      <c r="R17" s="201">
        <v>45760</v>
      </c>
      <c r="S17" s="166">
        <v>45760</v>
      </c>
      <c r="T17" s="200">
        <f t="shared" si="1"/>
        <v>46423</v>
      </c>
      <c r="U17" s="251" t="s">
        <v>314</v>
      </c>
    </row>
    <row r="18" spans="1:21" ht="21" customHeight="1">
      <c r="A18" s="149">
        <f t="shared" si="0"/>
        <v>15</v>
      </c>
      <c r="B18" s="194" t="s">
        <v>42</v>
      </c>
      <c r="C18" s="20" t="s">
        <v>315</v>
      </c>
      <c r="D18" s="195">
        <v>45119</v>
      </c>
      <c r="E18" s="196">
        <v>1</v>
      </c>
      <c r="F18" s="196">
        <v>0.98599999999999999</v>
      </c>
      <c r="G18" s="149" t="s">
        <v>76</v>
      </c>
      <c r="H18" s="149" t="s">
        <v>283</v>
      </c>
      <c r="I18" s="149" t="s">
        <v>284</v>
      </c>
      <c r="J18" s="197"/>
      <c r="K18" s="198" t="s">
        <v>26</v>
      </c>
      <c r="L18" s="199">
        <v>45608</v>
      </c>
      <c r="M18" s="166">
        <v>45991</v>
      </c>
      <c r="N18" s="44">
        <v>45991</v>
      </c>
      <c r="O18" s="199">
        <v>45669</v>
      </c>
      <c r="P18" s="166">
        <v>46052</v>
      </c>
      <c r="Q18" s="200">
        <v>46325</v>
      </c>
      <c r="R18" s="201">
        <v>45759</v>
      </c>
      <c r="S18" s="166">
        <v>46142</v>
      </c>
      <c r="T18" s="200">
        <f t="shared" si="1"/>
        <v>46415</v>
      </c>
      <c r="U18" s="251" t="s">
        <v>316</v>
      </c>
    </row>
    <row r="19" spans="1:21" ht="21" customHeight="1">
      <c r="A19" s="149">
        <f t="shared" si="0"/>
        <v>16</v>
      </c>
      <c r="B19" s="194" t="s">
        <v>43</v>
      </c>
      <c r="C19" s="20" t="s">
        <v>317</v>
      </c>
      <c r="D19" s="195">
        <v>45119</v>
      </c>
      <c r="E19" s="196">
        <v>1</v>
      </c>
      <c r="F19" s="196">
        <v>0.92700000000000005</v>
      </c>
      <c r="G19" s="149" t="s">
        <v>76</v>
      </c>
      <c r="H19" s="149" t="s">
        <v>283</v>
      </c>
      <c r="I19" s="149" t="s">
        <v>284</v>
      </c>
      <c r="J19" s="197"/>
      <c r="K19" s="198" t="s">
        <v>26</v>
      </c>
      <c r="L19" s="199">
        <v>45608</v>
      </c>
      <c r="M19" s="166">
        <v>46034</v>
      </c>
      <c r="N19" s="44">
        <v>46022</v>
      </c>
      <c r="O19" s="199">
        <v>45669</v>
      </c>
      <c r="P19" s="166">
        <v>46093</v>
      </c>
      <c r="Q19" s="200">
        <v>46203</v>
      </c>
      <c r="R19" s="201">
        <v>45759</v>
      </c>
      <c r="S19" s="166">
        <v>46185</v>
      </c>
      <c r="T19" s="200">
        <f t="shared" si="1"/>
        <v>46295</v>
      </c>
      <c r="U19" s="251" t="s">
        <v>318</v>
      </c>
    </row>
    <row r="20" spans="1:21" ht="21" customHeight="1">
      <c r="A20" s="149">
        <f t="shared" ref="A20:A43" si="2">A19+1</f>
        <v>17</v>
      </c>
      <c r="B20" s="194" t="s">
        <v>44</v>
      </c>
      <c r="C20" s="20" t="s">
        <v>319</v>
      </c>
      <c r="D20" s="195">
        <v>45246</v>
      </c>
      <c r="E20" s="196">
        <v>0.50839999999999996</v>
      </c>
      <c r="F20" s="196">
        <v>0.45119999999999999</v>
      </c>
      <c r="G20" s="149" t="s">
        <v>76</v>
      </c>
      <c r="H20" s="149" t="s">
        <v>283</v>
      </c>
      <c r="I20" s="149" t="s">
        <v>284</v>
      </c>
      <c r="J20" s="197"/>
      <c r="K20" s="198" t="s">
        <v>33</v>
      </c>
      <c r="L20" s="199">
        <v>45977</v>
      </c>
      <c r="M20" s="166">
        <v>46490</v>
      </c>
      <c r="N20" s="200">
        <v>46547</v>
      </c>
      <c r="O20" s="199">
        <v>46038</v>
      </c>
      <c r="P20" s="166">
        <v>46550</v>
      </c>
      <c r="Q20" s="200">
        <f t="shared" ref="Q20:Q29" si="3">N20+(P20-M20)</f>
        <v>46607</v>
      </c>
      <c r="R20" s="201">
        <v>46128</v>
      </c>
      <c r="S20" s="166">
        <v>46641</v>
      </c>
      <c r="T20" s="200">
        <f t="shared" ref="T20:T31" si="4">Q20+(S20-P20)</f>
        <v>46698</v>
      </c>
      <c r="U20" s="251" t="s">
        <v>320</v>
      </c>
    </row>
    <row r="21" spans="1:21" ht="21" customHeight="1">
      <c r="A21" s="149">
        <f t="shared" si="2"/>
        <v>18</v>
      </c>
      <c r="B21" s="194" t="s">
        <v>46</v>
      </c>
      <c r="C21" s="20" t="s">
        <v>321</v>
      </c>
      <c r="D21" s="195">
        <v>45139</v>
      </c>
      <c r="E21" s="196">
        <v>1</v>
      </c>
      <c r="F21" s="196">
        <v>0.93779999999999997</v>
      </c>
      <c r="G21" s="149" t="s">
        <v>76</v>
      </c>
      <c r="H21" s="149" t="s">
        <v>283</v>
      </c>
      <c r="I21" s="149" t="s">
        <v>284</v>
      </c>
      <c r="J21" s="197"/>
      <c r="K21" s="198" t="s">
        <v>33</v>
      </c>
      <c r="L21" s="199">
        <v>45689</v>
      </c>
      <c r="M21" s="166">
        <v>45689</v>
      </c>
      <c r="N21" s="44">
        <v>46183</v>
      </c>
      <c r="O21" s="199">
        <v>45748</v>
      </c>
      <c r="P21" s="166">
        <v>45748</v>
      </c>
      <c r="Q21" s="200">
        <f t="shared" si="3"/>
        <v>46242</v>
      </c>
      <c r="R21" s="201">
        <v>45839</v>
      </c>
      <c r="S21" s="166">
        <v>45839</v>
      </c>
      <c r="T21" s="200">
        <f t="shared" si="4"/>
        <v>46333</v>
      </c>
      <c r="U21" s="251" t="s">
        <v>322</v>
      </c>
    </row>
    <row r="22" spans="1:21" ht="21" customHeight="1">
      <c r="A22" s="149">
        <f t="shared" si="2"/>
        <v>19</v>
      </c>
      <c r="B22" s="194" t="s">
        <v>47</v>
      </c>
      <c r="C22" s="20" t="s">
        <v>323</v>
      </c>
      <c r="D22" s="195">
        <v>45131</v>
      </c>
      <c r="E22" s="196">
        <v>1</v>
      </c>
      <c r="F22" s="196">
        <v>0.90849999999999997</v>
      </c>
      <c r="G22" s="149" t="s">
        <v>301</v>
      </c>
      <c r="H22" s="149" t="s">
        <v>283</v>
      </c>
      <c r="I22" s="149" t="s">
        <v>284</v>
      </c>
      <c r="J22" s="197"/>
      <c r="K22" s="198" t="s">
        <v>26</v>
      </c>
      <c r="L22" s="199">
        <v>45619</v>
      </c>
      <c r="M22" s="166">
        <v>45831</v>
      </c>
      <c r="N22" s="200">
        <v>46387</v>
      </c>
      <c r="O22" s="199">
        <v>45680</v>
      </c>
      <c r="P22" s="166">
        <v>45892</v>
      </c>
      <c r="Q22" s="200">
        <f t="shared" si="3"/>
        <v>46448</v>
      </c>
      <c r="R22" s="201">
        <v>45770</v>
      </c>
      <c r="S22" s="166">
        <v>45984</v>
      </c>
      <c r="T22" s="200">
        <f t="shared" si="4"/>
        <v>46540</v>
      </c>
      <c r="U22" s="251" t="s">
        <v>324</v>
      </c>
    </row>
    <row r="23" spans="1:21" ht="21" customHeight="1">
      <c r="A23" s="149">
        <f t="shared" si="2"/>
        <v>20</v>
      </c>
      <c r="B23" s="194" t="s">
        <v>48</v>
      </c>
      <c r="C23" s="20" t="s">
        <v>325</v>
      </c>
      <c r="D23" s="195">
        <v>45238</v>
      </c>
      <c r="E23" s="196">
        <v>0.99919999999999998</v>
      </c>
      <c r="F23" s="196">
        <v>0.93579999999999997</v>
      </c>
      <c r="G23" s="149" t="s">
        <v>301</v>
      </c>
      <c r="H23" s="149" t="s">
        <v>283</v>
      </c>
      <c r="I23" s="149" t="s">
        <v>284</v>
      </c>
      <c r="J23" s="203">
        <v>45931</v>
      </c>
      <c r="K23" s="198" t="s">
        <v>26</v>
      </c>
      <c r="L23" s="199">
        <v>45784</v>
      </c>
      <c r="M23" s="166">
        <v>45981</v>
      </c>
      <c r="N23" s="200">
        <v>46326</v>
      </c>
      <c r="O23" s="199">
        <v>45876</v>
      </c>
      <c r="P23" s="166">
        <v>46073</v>
      </c>
      <c r="Q23" s="200">
        <f t="shared" si="3"/>
        <v>46418</v>
      </c>
      <c r="R23" s="201">
        <v>45937</v>
      </c>
      <c r="S23" s="166">
        <v>46132</v>
      </c>
      <c r="T23" s="200">
        <f t="shared" si="4"/>
        <v>46477</v>
      </c>
      <c r="U23" s="251" t="s">
        <v>326</v>
      </c>
    </row>
    <row r="24" spans="1:21" ht="21" customHeight="1">
      <c r="A24" s="149">
        <f t="shared" si="2"/>
        <v>21</v>
      </c>
      <c r="B24" s="194" t="s">
        <v>49</v>
      </c>
      <c r="C24" s="20" t="s">
        <v>327</v>
      </c>
      <c r="D24" s="195">
        <v>45357</v>
      </c>
      <c r="E24" s="196">
        <v>0.79279999999999995</v>
      </c>
      <c r="F24" s="196">
        <v>0.69159999999999999</v>
      </c>
      <c r="G24" s="149" t="s">
        <v>301</v>
      </c>
      <c r="H24" s="149" t="s">
        <v>283</v>
      </c>
      <c r="I24" s="149" t="s">
        <v>284</v>
      </c>
      <c r="J24" s="203">
        <v>46127</v>
      </c>
      <c r="K24" s="198" t="s">
        <v>33</v>
      </c>
      <c r="L24" s="199">
        <v>46087</v>
      </c>
      <c r="M24" s="166">
        <v>46271</v>
      </c>
      <c r="N24" s="200">
        <v>46315</v>
      </c>
      <c r="O24" s="199">
        <v>46148</v>
      </c>
      <c r="P24" s="166">
        <v>46332</v>
      </c>
      <c r="Q24" s="200">
        <f t="shared" si="3"/>
        <v>46376</v>
      </c>
      <c r="R24" s="201">
        <v>46240</v>
      </c>
      <c r="S24" s="166">
        <v>46059</v>
      </c>
      <c r="T24" s="200">
        <f t="shared" si="4"/>
        <v>46103</v>
      </c>
      <c r="U24" s="251" t="s">
        <v>328</v>
      </c>
    </row>
    <row r="25" spans="1:21" ht="21" customHeight="1">
      <c r="A25" s="149">
        <f t="shared" si="2"/>
        <v>22</v>
      </c>
      <c r="B25" s="194" t="s">
        <v>51</v>
      </c>
      <c r="C25" s="20" t="s">
        <v>329</v>
      </c>
      <c r="D25" s="195">
        <v>45218</v>
      </c>
      <c r="E25" s="196">
        <v>1</v>
      </c>
      <c r="F25" s="196">
        <v>0.94679999999999997</v>
      </c>
      <c r="G25" s="149" t="s">
        <v>301</v>
      </c>
      <c r="H25" s="149" t="s">
        <v>283</v>
      </c>
      <c r="I25" s="149" t="s">
        <v>284</v>
      </c>
      <c r="J25" s="203">
        <v>45963</v>
      </c>
      <c r="K25" s="198" t="s">
        <v>33</v>
      </c>
      <c r="L25" s="199">
        <v>45766</v>
      </c>
      <c r="M25" s="166">
        <v>45888</v>
      </c>
      <c r="N25" s="200">
        <v>46203</v>
      </c>
      <c r="O25" s="199">
        <v>45829</v>
      </c>
      <c r="P25" s="166">
        <v>45949</v>
      </c>
      <c r="Q25" s="200">
        <f t="shared" si="3"/>
        <v>46264</v>
      </c>
      <c r="R25" s="201">
        <v>45919</v>
      </c>
      <c r="S25" s="166">
        <v>46041</v>
      </c>
      <c r="T25" s="200">
        <f t="shared" si="4"/>
        <v>46356</v>
      </c>
      <c r="U25" s="251" t="s">
        <v>330</v>
      </c>
    </row>
    <row r="26" spans="1:21" ht="21" customHeight="1">
      <c r="A26" s="149">
        <f t="shared" si="2"/>
        <v>23</v>
      </c>
      <c r="B26" s="194" t="s">
        <v>52</v>
      </c>
      <c r="C26" s="20" t="s">
        <v>331</v>
      </c>
      <c r="D26" s="195">
        <v>46015</v>
      </c>
      <c r="E26" s="196">
        <v>0.45040000000000002</v>
      </c>
      <c r="F26" s="196">
        <v>0.21890000000000001</v>
      </c>
      <c r="G26" s="149" t="s">
        <v>76</v>
      </c>
      <c r="H26" s="149" t="s">
        <v>283</v>
      </c>
      <c r="I26" s="149" t="s">
        <v>284</v>
      </c>
      <c r="J26" s="197"/>
      <c r="K26" s="198" t="s">
        <v>53</v>
      </c>
      <c r="L26" s="199">
        <v>46349</v>
      </c>
      <c r="M26" s="166">
        <v>46349</v>
      </c>
      <c r="N26" s="200">
        <v>46498</v>
      </c>
      <c r="O26" s="199">
        <v>46410</v>
      </c>
      <c r="P26" s="166">
        <v>46410</v>
      </c>
      <c r="Q26" s="200">
        <f t="shared" si="3"/>
        <v>46559</v>
      </c>
      <c r="R26" s="201">
        <v>46500</v>
      </c>
      <c r="S26" s="166">
        <v>46500</v>
      </c>
      <c r="T26" s="200">
        <f t="shared" si="4"/>
        <v>46649</v>
      </c>
      <c r="U26" s="251" t="s">
        <v>332</v>
      </c>
    </row>
    <row r="27" spans="1:21" ht="21" customHeight="1">
      <c r="A27" s="149">
        <f t="shared" si="2"/>
        <v>24</v>
      </c>
      <c r="B27" s="194" t="s">
        <v>54</v>
      </c>
      <c r="C27" s="20" t="s">
        <v>333</v>
      </c>
      <c r="D27" s="195">
        <v>45313</v>
      </c>
      <c r="E27" s="196">
        <v>0.94599999999999995</v>
      </c>
      <c r="F27" s="196">
        <v>0.86919999999999997</v>
      </c>
      <c r="G27" s="149" t="s">
        <v>301</v>
      </c>
      <c r="H27" s="149" t="s">
        <v>283</v>
      </c>
      <c r="I27" s="149" t="s">
        <v>284</v>
      </c>
      <c r="J27" s="203">
        <v>46049</v>
      </c>
      <c r="K27" s="198" t="s">
        <v>26</v>
      </c>
      <c r="L27" s="199">
        <v>45983</v>
      </c>
      <c r="M27" s="166">
        <v>46194</v>
      </c>
      <c r="N27" s="200">
        <v>46251</v>
      </c>
      <c r="O27" s="199">
        <v>46043</v>
      </c>
      <c r="P27" s="166">
        <v>46255</v>
      </c>
      <c r="Q27" s="200">
        <f t="shared" si="3"/>
        <v>46312</v>
      </c>
      <c r="R27" s="201">
        <v>46133</v>
      </c>
      <c r="S27" s="166">
        <v>46347</v>
      </c>
      <c r="T27" s="200">
        <f t="shared" si="4"/>
        <v>46404</v>
      </c>
      <c r="U27" s="251" t="s">
        <v>334</v>
      </c>
    </row>
    <row r="28" spans="1:21" ht="21" customHeight="1">
      <c r="A28" s="149">
        <f t="shared" si="2"/>
        <v>25</v>
      </c>
      <c r="B28" s="194" t="s">
        <v>55</v>
      </c>
      <c r="C28" s="20" t="s">
        <v>335</v>
      </c>
      <c r="D28" s="195">
        <v>45589</v>
      </c>
      <c r="E28" s="196">
        <v>0.96750000000000003</v>
      </c>
      <c r="F28" s="196">
        <v>0.68769999999999998</v>
      </c>
      <c r="G28" s="149" t="s">
        <v>76</v>
      </c>
      <c r="H28" s="149" t="s">
        <v>283</v>
      </c>
      <c r="I28" s="149" t="s">
        <v>284</v>
      </c>
      <c r="J28" s="197"/>
      <c r="K28" s="198" t="s">
        <v>33</v>
      </c>
      <c r="L28" s="199">
        <v>46165</v>
      </c>
      <c r="M28" s="166">
        <v>46165</v>
      </c>
      <c r="N28" s="200">
        <v>46387</v>
      </c>
      <c r="O28" s="199">
        <v>46226</v>
      </c>
      <c r="P28" s="166">
        <v>46226</v>
      </c>
      <c r="Q28" s="200">
        <f t="shared" si="3"/>
        <v>46448</v>
      </c>
      <c r="R28" s="201">
        <v>46318</v>
      </c>
      <c r="S28" s="166">
        <v>46318</v>
      </c>
      <c r="T28" s="200">
        <f t="shared" si="4"/>
        <v>46540</v>
      </c>
      <c r="U28" s="251" t="s">
        <v>336</v>
      </c>
    </row>
    <row r="29" spans="1:21" ht="21" customHeight="1">
      <c r="A29" s="149">
        <f t="shared" si="2"/>
        <v>26</v>
      </c>
      <c r="B29" s="194" t="s">
        <v>56</v>
      </c>
      <c r="C29" s="20" t="s">
        <v>337</v>
      </c>
      <c r="D29" s="195">
        <v>45642</v>
      </c>
      <c r="E29" s="196">
        <v>1</v>
      </c>
      <c r="F29" s="196">
        <v>0.95630000000000004</v>
      </c>
      <c r="G29" s="149" t="s">
        <v>76</v>
      </c>
      <c r="H29" s="149" t="s">
        <v>283</v>
      </c>
      <c r="I29" s="149" t="s">
        <v>284</v>
      </c>
      <c r="J29" s="197"/>
      <c r="K29" s="198" t="s">
        <v>53</v>
      </c>
      <c r="L29" s="199">
        <v>46158</v>
      </c>
      <c r="M29" s="166">
        <v>46158</v>
      </c>
      <c r="N29" s="44">
        <v>46153</v>
      </c>
      <c r="O29" s="199">
        <v>46219</v>
      </c>
      <c r="P29" s="166">
        <v>46219</v>
      </c>
      <c r="Q29" s="200">
        <f t="shared" si="3"/>
        <v>46214</v>
      </c>
      <c r="R29" s="201">
        <v>46311</v>
      </c>
      <c r="S29" s="166">
        <v>46311</v>
      </c>
      <c r="T29" s="200">
        <f t="shared" si="4"/>
        <v>46306</v>
      </c>
      <c r="U29" s="251" t="s">
        <v>338</v>
      </c>
    </row>
    <row r="30" spans="1:21" ht="21" customHeight="1">
      <c r="A30" s="149">
        <f t="shared" si="2"/>
        <v>27</v>
      </c>
      <c r="B30" s="194" t="s">
        <v>57</v>
      </c>
      <c r="C30" s="20" t="s">
        <v>339</v>
      </c>
      <c r="D30" s="195">
        <v>45642</v>
      </c>
      <c r="E30" s="196">
        <v>1</v>
      </c>
      <c r="F30" s="196">
        <v>0.97660000000000002</v>
      </c>
      <c r="G30" s="149" t="s">
        <v>76</v>
      </c>
      <c r="H30" s="149" t="s">
        <v>283</v>
      </c>
      <c r="I30" s="149" t="s">
        <v>284</v>
      </c>
      <c r="J30" s="197"/>
      <c r="K30" s="198" t="s">
        <v>53</v>
      </c>
      <c r="L30" s="199">
        <v>46158</v>
      </c>
      <c r="M30" s="166">
        <v>46158</v>
      </c>
      <c r="N30" s="44">
        <v>46152</v>
      </c>
      <c r="O30" s="199">
        <v>46219</v>
      </c>
      <c r="P30" s="166">
        <v>46219</v>
      </c>
      <c r="Q30" s="200">
        <f t="shared" ref="Q30:Q43" si="5">N30+(P30-M30)</f>
        <v>46213</v>
      </c>
      <c r="R30" s="201">
        <v>46311</v>
      </c>
      <c r="S30" s="166">
        <v>46311</v>
      </c>
      <c r="T30" s="200">
        <f t="shared" si="4"/>
        <v>46305</v>
      </c>
      <c r="U30" s="251" t="s">
        <v>338</v>
      </c>
    </row>
    <row r="31" spans="1:21" ht="21" customHeight="1">
      <c r="A31" s="149">
        <f t="shared" si="2"/>
        <v>28</v>
      </c>
      <c r="B31" s="194" t="s">
        <v>58</v>
      </c>
      <c r="C31" s="20" t="s">
        <v>340</v>
      </c>
      <c r="D31" s="195">
        <v>45642</v>
      </c>
      <c r="E31" s="196">
        <v>1</v>
      </c>
      <c r="F31" s="196">
        <v>0.98829999999999996</v>
      </c>
      <c r="G31" s="149" t="s">
        <v>76</v>
      </c>
      <c r="H31" s="149" t="s">
        <v>283</v>
      </c>
      <c r="I31" s="149" t="s">
        <v>284</v>
      </c>
      <c r="J31" s="197"/>
      <c r="K31" s="198" t="s">
        <v>53</v>
      </c>
      <c r="L31" s="199">
        <v>46158</v>
      </c>
      <c r="M31" s="166">
        <v>46158</v>
      </c>
      <c r="N31" s="44">
        <v>46148</v>
      </c>
      <c r="O31" s="199">
        <v>46219</v>
      </c>
      <c r="P31" s="166">
        <v>46219</v>
      </c>
      <c r="Q31" s="200">
        <f t="shared" si="5"/>
        <v>46209</v>
      </c>
      <c r="R31" s="201">
        <v>46311</v>
      </c>
      <c r="S31" s="166">
        <v>46311</v>
      </c>
      <c r="T31" s="200">
        <f t="shared" si="4"/>
        <v>46301</v>
      </c>
      <c r="U31" s="251" t="s">
        <v>338</v>
      </c>
    </row>
    <row r="32" spans="1:21" ht="21" customHeight="1">
      <c r="A32" s="149">
        <f t="shared" si="2"/>
        <v>29</v>
      </c>
      <c r="B32" s="194" t="s">
        <v>59</v>
      </c>
      <c r="C32" s="20" t="s">
        <v>341</v>
      </c>
      <c r="D32" s="195">
        <v>45642</v>
      </c>
      <c r="E32" s="196">
        <v>1</v>
      </c>
      <c r="F32" s="196">
        <v>0.98619999999999997</v>
      </c>
      <c r="G32" s="149" t="s">
        <v>76</v>
      </c>
      <c r="H32" s="149" t="s">
        <v>283</v>
      </c>
      <c r="I32" s="149" t="s">
        <v>342</v>
      </c>
      <c r="J32" s="197"/>
      <c r="K32" s="198" t="s">
        <v>53</v>
      </c>
      <c r="L32" s="199">
        <v>46158</v>
      </c>
      <c r="M32" s="166">
        <v>46158</v>
      </c>
      <c r="N32" s="44">
        <v>46158</v>
      </c>
      <c r="O32" s="199">
        <v>46219</v>
      </c>
      <c r="P32" s="166">
        <v>46219</v>
      </c>
      <c r="Q32" s="200">
        <f t="shared" si="5"/>
        <v>46219</v>
      </c>
      <c r="R32" s="201">
        <v>46311</v>
      </c>
      <c r="S32" s="166">
        <v>46311</v>
      </c>
      <c r="T32" s="200">
        <f t="shared" ref="T32:T43" si="6">Q32+(S32-P32)</f>
        <v>46311</v>
      </c>
      <c r="U32" s="251" t="s">
        <v>338</v>
      </c>
    </row>
    <row r="33" spans="1:26" ht="21" customHeight="1">
      <c r="A33" s="149">
        <f t="shared" si="2"/>
        <v>30</v>
      </c>
      <c r="B33" s="194" t="s">
        <v>60</v>
      </c>
      <c r="C33" s="20" t="s">
        <v>343</v>
      </c>
      <c r="D33" s="195">
        <v>45841</v>
      </c>
      <c r="E33" s="196">
        <v>0.88729999999999998</v>
      </c>
      <c r="F33" s="196">
        <v>0.46610000000000001</v>
      </c>
      <c r="G33" s="149" t="s">
        <v>76</v>
      </c>
      <c r="H33" s="149" t="s">
        <v>283</v>
      </c>
      <c r="I33" s="149" t="s">
        <v>344</v>
      </c>
      <c r="J33" s="197"/>
      <c r="K33" s="198" t="s">
        <v>53</v>
      </c>
      <c r="L33" s="199">
        <v>46176</v>
      </c>
      <c r="M33" s="166">
        <v>46176</v>
      </c>
      <c r="N33" s="200">
        <v>46280</v>
      </c>
      <c r="O33" s="199">
        <v>46237</v>
      </c>
      <c r="P33" s="166">
        <v>46237</v>
      </c>
      <c r="Q33" s="200">
        <f t="shared" si="5"/>
        <v>46341</v>
      </c>
      <c r="R33" s="201">
        <v>46329</v>
      </c>
      <c r="S33" s="166">
        <v>46329</v>
      </c>
      <c r="T33" s="200">
        <f t="shared" si="6"/>
        <v>46433</v>
      </c>
      <c r="U33" s="251" t="s">
        <v>345</v>
      </c>
    </row>
    <row r="34" spans="1:26" ht="21" customHeight="1">
      <c r="A34" s="149">
        <f t="shared" si="2"/>
        <v>31</v>
      </c>
      <c r="B34" s="194" t="s">
        <v>61</v>
      </c>
      <c r="C34" s="20" t="s">
        <v>346</v>
      </c>
      <c r="D34" s="195">
        <v>45785</v>
      </c>
      <c r="E34" s="196">
        <v>0.40189999999999998</v>
      </c>
      <c r="F34" s="196">
        <v>0.16420000000000001</v>
      </c>
      <c r="G34" s="149" t="s">
        <v>76</v>
      </c>
      <c r="H34" s="149" t="s">
        <v>283</v>
      </c>
      <c r="I34" s="149" t="s">
        <v>284</v>
      </c>
      <c r="J34" s="197"/>
      <c r="K34" s="198" t="s">
        <v>53</v>
      </c>
      <c r="L34" s="199">
        <v>46515</v>
      </c>
      <c r="M34" s="166">
        <v>46515</v>
      </c>
      <c r="N34" s="200">
        <v>46765</v>
      </c>
      <c r="O34" s="199">
        <v>46546</v>
      </c>
      <c r="P34" s="166">
        <v>46546</v>
      </c>
      <c r="Q34" s="200">
        <f t="shared" si="5"/>
        <v>46796</v>
      </c>
      <c r="R34" s="201">
        <v>46912</v>
      </c>
      <c r="S34" s="166">
        <v>46912</v>
      </c>
      <c r="T34" s="200">
        <f t="shared" si="6"/>
        <v>47162</v>
      </c>
      <c r="U34" s="251" t="s">
        <v>347</v>
      </c>
    </row>
    <row r="35" spans="1:26" ht="21" customHeight="1">
      <c r="A35" s="149">
        <f t="shared" si="2"/>
        <v>32</v>
      </c>
      <c r="B35" s="385" t="s">
        <v>62</v>
      </c>
      <c r="C35" s="20" t="s">
        <v>348</v>
      </c>
      <c r="D35" s="195">
        <v>45897</v>
      </c>
      <c r="E35" s="196">
        <v>0.53310000000000002</v>
      </c>
      <c r="F35" s="196">
        <v>0.16059999999999999</v>
      </c>
      <c r="G35" s="149" t="s">
        <v>76</v>
      </c>
      <c r="H35" s="149" t="s">
        <v>283</v>
      </c>
      <c r="I35" s="149" t="s">
        <v>284</v>
      </c>
      <c r="J35" s="205"/>
      <c r="K35" s="198" t="s">
        <v>33</v>
      </c>
      <c r="L35" s="199">
        <v>46446</v>
      </c>
      <c r="M35" s="166">
        <v>46446</v>
      </c>
      <c r="N35" s="200">
        <v>46723</v>
      </c>
      <c r="O35" s="199">
        <v>46504</v>
      </c>
      <c r="P35" s="166">
        <v>46504</v>
      </c>
      <c r="Q35" s="200">
        <v>46783</v>
      </c>
      <c r="R35" s="201">
        <v>46595</v>
      </c>
      <c r="S35" s="166">
        <v>46595</v>
      </c>
      <c r="T35" s="200">
        <v>46873</v>
      </c>
      <c r="U35" s="251" t="s">
        <v>349</v>
      </c>
    </row>
    <row r="36" spans="1:26" ht="21" customHeight="1">
      <c r="A36" s="149">
        <f t="shared" si="2"/>
        <v>33</v>
      </c>
      <c r="B36" s="194" t="s">
        <v>63</v>
      </c>
      <c r="C36" s="20" t="s">
        <v>350</v>
      </c>
      <c r="D36" s="195">
        <v>45853</v>
      </c>
      <c r="E36" s="196">
        <v>0.83330000000000004</v>
      </c>
      <c r="F36" s="196">
        <v>0.83330000000000004</v>
      </c>
      <c r="G36" s="149" t="s">
        <v>76</v>
      </c>
      <c r="H36" s="149" t="s">
        <v>283</v>
      </c>
      <c r="I36" s="149" t="s">
        <v>284</v>
      </c>
      <c r="J36" s="205"/>
      <c r="K36" s="198" t="s">
        <v>53</v>
      </c>
      <c r="L36" s="199">
        <v>46217</v>
      </c>
      <c r="M36" s="166">
        <v>46309</v>
      </c>
      <c r="N36" s="200">
        <v>46309</v>
      </c>
      <c r="O36" s="199">
        <v>46217</v>
      </c>
      <c r="P36" s="166">
        <v>46309</v>
      </c>
      <c r="Q36" s="200">
        <f t="shared" si="5"/>
        <v>46309</v>
      </c>
      <c r="R36" s="201">
        <v>46217</v>
      </c>
      <c r="S36" s="166">
        <v>46309</v>
      </c>
      <c r="T36" s="200">
        <f t="shared" si="6"/>
        <v>46309</v>
      </c>
      <c r="U36" s="251" t="s">
        <v>351</v>
      </c>
    </row>
    <row r="37" spans="1:26" ht="21" customHeight="1">
      <c r="A37" s="149">
        <f t="shared" si="2"/>
        <v>34</v>
      </c>
      <c r="B37" s="194" t="s">
        <v>64</v>
      </c>
      <c r="C37" s="20" t="s">
        <v>352</v>
      </c>
      <c r="D37" s="195">
        <v>45882</v>
      </c>
      <c r="E37" s="196">
        <v>0.33239999999999997</v>
      </c>
      <c r="F37" s="196">
        <v>0.21940000000000001</v>
      </c>
      <c r="G37" s="149" t="s">
        <v>76</v>
      </c>
      <c r="H37" s="149" t="s">
        <v>283</v>
      </c>
      <c r="I37" s="149" t="s">
        <v>284</v>
      </c>
      <c r="J37" s="205"/>
      <c r="K37" s="198" t="s">
        <v>53</v>
      </c>
      <c r="L37" s="199">
        <v>46429</v>
      </c>
      <c r="M37" s="166">
        <v>46429</v>
      </c>
      <c r="N37" s="200">
        <v>46660</v>
      </c>
      <c r="O37" s="199">
        <v>46488</v>
      </c>
      <c r="P37" s="166">
        <v>46488</v>
      </c>
      <c r="Q37" s="200">
        <f t="shared" si="5"/>
        <v>46719</v>
      </c>
      <c r="R37" s="201">
        <v>46579</v>
      </c>
      <c r="S37" s="166">
        <v>46579</v>
      </c>
      <c r="T37" s="200">
        <f t="shared" si="6"/>
        <v>46810</v>
      </c>
      <c r="U37" s="251" t="s">
        <v>353</v>
      </c>
    </row>
    <row r="38" spans="1:26" ht="21" customHeight="1">
      <c r="A38" s="149">
        <f t="shared" si="2"/>
        <v>35</v>
      </c>
      <c r="B38" s="194" t="s">
        <v>65</v>
      </c>
      <c r="C38" s="20" t="s">
        <v>354</v>
      </c>
      <c r="D38" s="195">
        <v>45470</v>
      </c>
      <c r="E38" s="206">
        <v>0.79320000000000002</v>
      </c>
      <c r="F38" s="207">
        <v>0.69710000000000005</v>
      </c>
      <c r="G38" s="149" t="s">
        <v>301</v>
      </c>
      <c r="H38" s="149" t="s">
        <v>283</v>
      </c>
      <c r="I38" s="149" t="s">
        <v>284</v>
      </c>
      <c r="J38" s="197"/>
      <c r="K38" s="198" t="s">
        <v>53</v>
      </c>
      <c r="L38" s="199">
        <v>46387</v>
      </c>
      <c r="M38" s="166">
        <v>46387</v>
      </c>
      <c r="N38" s="200">
        <v>46418</v>
      </c>
      <c r="O38" s="199">
        <v>46446</v>
      </c>
      <c r="P38" s="199">
        <v>46446</v>
      </c>
      <c r="Q38" s="200">
        <f t="shared" si="5"/>
        <v>46477</v>
      </c>
      <c r="R38" s="201">
        <v>46538</v>
      </c>
      <c r="S38" s="201">
        <v>46538</v>
      </c>
      <c r="T38" s="200">
        <f t="shared" si="6"/>
        <v>46569</v>
      </c>
      <c r="U38" s="251" t="s">
        <v>154</v>
      </c>
      <c r="Z38" s="26"/>
    </row>
    <row r="39" spans="1:26" ht="21" customHeight="1">
      <c r="A39" s="149">
        <f t="shared" si="2"/>
        <v>36</v>
      </c>
      <c r="B39" s="194" t="s">
        <v>66</v>
      </c>
      <c r="C39" s="20" t="s">
        <v>355</v>
      </c>
      <c r="D39" s="195">
        <v>45470</v>
      </c>
      <c r="E39" s="208">
        <v>0.89480000000000004</v>
      </c>
      <c r="F39" s="209">
        <v>0.7873</v>
      </c>
      <c r="G39" s="149" t="s">
        <v>301</v>
      </c>
      <c r="H39" s="149" t="s">
        <v>283</v>
      </c>
      <c r="I39" s="149" t="s">
        <v>284</v>
      </c>
      <c r="J39" s="197"/>
      <c r="K39" s="198" t="s">
        <v>53</v>
      </c>
      <c r="L39" s="199">
        <v>46387</v>
      </c>
      <c r="M39" s="166">
        <v>46387</v>
      </c>
      <c r="N39" s="200">
        <v>46446</v>
      </c>
      <c r="O39" s="199">
        <v>46446</v>
      </c>
      <c r="P39" s="166">
        <v>46446</v>
      </c>
      <c r="Q39" s="200">
        <f t="shared" si="5"/>
        <v>46505</v>
      </c>
      <c r="R39" s="201">
        <v>46538</v>
      </c>
      <c r="S39" s="166">
        <v>46538</v>
      </c>
      <c r="T39" s="200">
        <f t="shared" si="6"/>
        <v>46597</v>
      </c>
      <c r="U39" s="251" t="s">
        <v>154</v>
      </c>
      <c r="Z39" s="26"/>
    </row>
    <row r="40" spans="1:26" ht="21" customHeight="1">
      <c r="A40" s="149">
        <f t="shared" si="2"/>
        <v>37</v>
      </c>
      <c r="B40" s="194" t="s">
        <v>67</v>
      </c>
      <c r="C40" s="20" t="s">
        <v>356</v>
      </c>
      <c r="D40" s="195">
        <v>46047</v>
      </c>
      <c r="E40" s="208">
        <v>5.0500000000000003E-2</v>
      </c>
      <c r="F40" s="209">
        <v>3.4200000000000001E-2</v>
      </c>
      <c r="G40" s="149" t="s">
        <v>76</v>
      </c>
      <c r="H40" s="149" t="s">
        <v>283</v>
      </c>
      <c r="I40" s="149" t="s">
        <v>357</v>
      </c>
      <c r="J40" s="205"/>
      <c r="K40" s="198" t="s">
        <v>53</v>
      </c>
      <c r="L40" s="199">
        <v>46593</v>
      </c>
      <c r="M40" s="166">
        <v>46593</v>
      </c>
      <c r="N40" s="200">
        <v>46673</v>
      </c>
      <c r="O40" s="199">
        <v>46655</v>
      </c>
      <c r="P40" s="166">
        <v>46655</v>
      </c>
      <c r="Q40" s="200">
        <f t="shared" si="5"/>
        <v>46735</v>
      </c>
      <c r="R40" s="201">
        <v>46746</v>
      </c>
      <c r="S40" s="166">
        <v>46746</v>
      </c>
      <c r="T40" s="200">
        <f t="shared" si="6"/>
        <v>46826</v>
      </c>
      <c r="U40" s="251" t="s">
        <v>358</v>
      </c>
      <c r="Z40" s="26"/>
    </row>
    <row r="41" spans="1:26" ht="21" customHeight="1">
      <c r="A41" s="149">
        <f t="shared" si="2"/>
        <v>38</v>
      </c>
      <c r="B41" s="194" t="s">
        <v>68</v>
      </c>
      <c r="C41" s="20" t="s">
        <v>359</v>
      </c>
      <c r="D41" s="195">
        <v>46036</v>
      </c>
      <c r="E41" s="208">
        <v>8.5800000000000001E-2</v>
      </c>
      <c r="F41" s="209">
        <v>5.79E-2</v>
      </c>
      <c r="G41" s="149" t="s">
        <v>76</v>
      </c>
      <c r="H41" s="149" t="s">
        <v>283</v>
      </c>
      <c r="I41" s="149" t="s">
        <v>284</v>
      </c>
      <c r="J41" s="205"/>
      <c r="K41" s="198" t="s">
        <v>53</v>
      </c>
      <c r="L41" s="199">
        <v>46580</v>
      </c>
      <c r="M41" s="166">
        <v>46580</v>
      </c>
      <c r="N41" s="200">
        <v>46660</v>
      </c>
      <c r="O41" s="199">
        <v>46642</v>
      </c>
      <c r="P41" s="166">
        <v>46642</v>
      </c>
      <c r="Q41" s="200">
        <f t="shared" si="5"/>
        <v>46722</v>
      </c>
      <c r="R41" s="201">
        <v>46733</v>
      </c>
      <c r="S41" s="166">
        <v>46733</v>
      </c>
      <c r="T41" s="200">
        <f t="shared" si="6"/>
        <v>46813</v>
      </c>
      <c r="U41" s="251" t="s">
        <v>360</v>
      </c>
      <c r="Z41" s="26"/>
    </row>
    <row r="42" spans="1:26" ht="21" customHeight="1">
      <c r="A42" s="149">
        <f t="shared" si="2"/>
        <v>39</v>
      </c>
      <c r="B42" s="194" t="s">
        <v>69</v>
      </c>
      <c r="C42" s="20" t="s">
        <v>361</v>
      </c>
      <c r="D42" s="195">
        <v>46043</v>
      </c>
      <c r="E42" s="208">
        <v>7.3899999999999993E-2</v>
      </c>
      <c r="F42" s="209">
        <v>5.6300000000000003E-2</v>
      </c>
      <c r="G42" s="149" t="s">
        <v>76</v>
      </c>
      <c r="H42" s="149" t="s">
        <v>283</v>
      </c>
      <c r="I42" s="149" t="s">
        <v>284</v>
      </c>
      <c r="J42" s="205"/>
      <c r="K42" s="198" t="s">
        <v>53</v>
      </c>
      <c r="L42" s="199">
        <v>46651</v>
      </c>
      <c r="M42" s="166">
        <v>46651</v>
      </c>
      <c r="N42" s="200">
        <v>46681</v>
      </c>
      <c r="O42" s="199">
        <v>46712</v>
      </c>
      <c r="P42" s="166">
        <v>46712</v>
      </c>
      <c r="Q42" s="200">
        <f t="shared" si="5"/>
        <v>46742</v>
      </c>
      <c r="R42" s="201">
        <v>46804</v>
      </c>
      <c r="S42" s="166">
        <v>46804</v>
      </c>
      <c r="T42" s="200">
        <f t="shared" si="6"/>
        <v>46834</v>
      </c>
      <c r="U42" s="251" t="s">
        <v>154</v>
      </c>
      <c r="Z42" s="26"/>
    </row>
    <row r="43" spans="1:26" ht="21.75" customHeight="1">
      <c r="A43" s="149">
        <f t="shared" si="2"/>
        <v>40</v>
      </c>
      <c r="B43" s="194" t="s">
        <v>70</v>
      </c>
      <c r="C43" s="20" t="s">
        <v>362</v>
      </c>
      <c r="D43" s="195">
        <v>46064</v>
      </c>
      <c r="E43" s="206">
        <v>2.3599999999999999E-2</v>
      </c>
      <c r="F43" s="207">
        <v>3.9E-2</v>
      </c>
      <c r="G43" s="149" t="s">
        <v>363</v>
      </c>
      <c r="H43" s="149" t="s">
        <v>283</v>
      </c>
      <c r="I43" s="149" t="s">
        <v>284</v>
      </c>
      <c r="J43" s="205"/>
      <c r="K43" s="198" t="s">
        <v>53</v>
      </c>
      <c r="L43" s="199">
        <v>46671</v>
      </c>
      <c r="M43" s="166">
        <v>46671</v>
      </c>
      <c r="N43" s="200">
        <v>46695</v>
      </c>
      <c r="O43" s="199">
        <v>46732</v>
      </c>
      <c r="P43" s="166">
        <v>46732</v>
      </c>
      <c r="Q43" s="200">
        <f t="shared" si="5"/>
        <v>46756</v>
      </c>
      <c r="R43" s="201">
        <v>46823</v>
      </c>
      <c r="S43" s="166">
        <v>46823</v>
      </c>
      <c r="T43" s="200">
        <f t="shared" si="6"/>
        <v>46847</v>
      </c>
      <c r="U43" s="251" t="s">
        <v>364</v>
      </c>
      <c r="Z43" s="26"/>
    </row>
    <row r="44" spans="1:26" ht="30.75" customHeight="1">
      <c r="A44" s="431"/>
      <c r="B44" s="432" t="s">
        <v>365</v>
      </c>
      <c r="C44" s="20" t="s">
        <v>366</v>
      </c>
      <c r="D44" s="195">
        <v>46142</v>
      </c>
      <c r="E44" s="206">
        <v>3.3500000000000002E-2</v>
      </c>
      <c r="F44" s="207">
        <v>1.4500000000000001E-2</v>
      </c>
      <c r="G44" s="149" t="s">
        <v>367</v>
      </c>
      <c r="H44" s="149" t="s">
        <v>283</v>
      </c>
      <c r="I44" s="149" t="s">
        <v>284</v>
      </c>
      <c r="J44" s="205"/>
      <c r="K44" s="198" t="s">
        <v>53</v>
      </c>
      <c r="L44" s="199">
        <v>46751</v>
      </c>
      <c r="M44" s="199">
        <v>46751</v>
      </c>
      <c r="N44" s="200">
        <v>46802</v>
      </c>
      <c r="O44" s="199">
        <v>46446</v>
      </c>
      <c r="P44" s="199">
        <v>46812</v>
      </c>
      <c r="Q44" s="200">
        <f>N44+(P44-M44)</f>
        <v>46863</v>
      </c>
      <c r="R44" s="201">
        <v>46903</v>
      </c>
      <c r="S44" s="201">
        <v>46903</v>
      </c>
      <c r="T44" s="200">
        <f>Q44+(S44-P44)</f>
        <v>46954</v>
      </c>
      <c r="U44" s="251" t="s">
        <v>368</v>
      </c>
      <c r="Z44" s="26"/>
    </row>
    <row r="45" spans="1:26" ht="30.75" customHeight="1">
      <c r="A45" s="431"/>
      <c r="B45" s="432" t="s">
        <v>369</v>
      </c>
      <c r="C45" s="20" t="s">
        <v>370</v>
      </c>
      <c r="D45" s="195"/>
      <c r="E45" s="206"/>
      <c r="F45" s="207"/>
      <c r="G45" s="149"/>
      <c r="H45" s="149"/>
      <c r="I45" s="149"/>
      <c r="J45" s="205"/>
      <c r="K45" s="198"/>
      <c r="L45" s="199"/>
      <c r="M45" s="166"/>
      <c r="N45" s="200"/>
      <c r="O45" s="199"/>
      <c r="P45" s="166"/>
      <c r="Q45" s="200"/>
      <c r="R45" s="201"/>
      <c r="S45" s="166"/>
      <c r="T45" s="200"/>
      <c r="U45" s="251"/>
      <c r="Z45" s="26"/>
    </row>
    <row r="46" spans="1:26" ht="30.75" customHeight="1">
      <c r="A46" s="431"/>
      <c r="B46" s="432" t="s">
        <v>371</v>
      </c>
      <c r="C46" s="20" t="s">
        <v>372</v>
      </c>
      <c r="D46" s="195">
        <v>46097</v>
      </c>
      <c r="E46" s="206">
        <v>0.12809999999999999</v>
      </c>
      <c r="F46" s="207">
        <v>5.1700000000000003E-2</v>
      </c>
      <c r="G46" s="149" t="s">
        <v>367</v>
      </c>
      <c r="H46" s="149" t="s">
        <v>283</v>
      </c>
      <c r="I46" s="149" t="s">
        <v>344</v>
      </c>
      <c r="J46" s="205"/>
      <c r="K46" s="198" t="s">
        <v>53</v>
      </c>
      <c r="L46" s="199">
        <v>46584</v>
      </c>
      <c r="M46" s="166">
        <v>46584</v>
      </c>
      <c r="N46" s="200">
        <v>46669</v>
      </c>
      <c r="O46" s="199">
        <v>46646</v>
      </c>
      <c r="P46" s="199">
        <v>46646</v>
      </c>
      <c r="Q46" s="200">
        <v>46732</v>
      </c>
      <c r="R46" s="201">
        <v>46733</v>
      </c>
      <c r="S46" s="166">
        <v>46733</v>
      </c>
      <c r="T46" s="200">
        <v>46823</v>
      </c>
      <c r="U46" s="251" t="s">
        <v>373</v>
      </c>
      <c r="Z46" s="26"/>
    </row>
    <row r="47" spans="1:26" ht="30.75" customHeight="1">
      <c r="A47" s="431"/>
      <c r="B47" s="432" t="s">
        <v>374</v>
      </c>
      <c r="C47" s="20" t="s">
        <v>375</v>
      </c>
      <c r="D47" s="195"/>
      <c r="E47" s="206"/>
      <c r="F47" s="207"/>
      <c r="G47" s="149"/>
      <c r="H47" s="149"/>
      <c r="I47" s="149"/>
      <c r="J47" s="205"/>
      <c r="K47" s="198"/>
      <c r="L47" s="199"/>
      <c r="M47" s="166"/>
      <c r="N47" s="200"/>
      <c r="O47" s="199"/>
      <c r="P47" s="166"/>
      <c r="Q47" s="200"/>
      <c r="R47" s="201"/>
      <c r="S47" s="166"/>
      <c r="T47" s="200"/>
      <c r="U47" s="251"/>
      <c r="Z47" s="26"/>
    </row>
    <row r="48" spans="1:26" ht="30.75" customHeight="1">
      <c r="A48" s="431"/>
      <c r="B48" s="432" t="s">
        <v>376</v>
      </c>
      <c r="C48" s="20" t="s">
        <v>377</v>
      </c>
      <c r="D48" s="195">
        <v>46191</v>
      </c>
      <c r="E48" s="206">
        <v>2.1899999999999999E-2</v>
      </c>
      <c r="F48" s="207">
        <v>1.4200000000000001E-2</v>
      </c>
      <c r="G48" s="149" t="s">
        <v>367</v>
      </c>
      <c r="H48" s="149" t="s">
        <v>283</v>
      </c>
      <c r="I48" s="149" t="s">
        <v>284</v>
      </c>
      <c r="J48" s="205"/>
      <c r="K48" s="198" t="s">
        <v>53</v>
      </c>
      <c r="L48" s="199">
        <v>46801</v>
      </c>
      <c r="M48" s="199">
        <v>46801</v>
      </c>
      <c r="N48" s="199">
        <v>46801</v>
      </c>
      <c r="O48" s="199">
        <v>46861</v>
      </c>
      <c r="P48" s="199">
        <v>46861</v>
      </c>
      <c r="Q48" s="199">
        <v>46861</v>
      </c>
      <c r="R48" s="199">
        <v>46952</v>
      </c>
      <c r="S48" s="199">
        <v>46952</v>
      </c>
      <c r="T48" s="199">
        <v>46952</v>
      </c>
      <c r="U48" s="251" t="s">
        <v>378</v>
      </c>
      <c r="Z48" s="26"/>
    </row>
    <row r="49" spans="1:27" ht="21" customHeight="1">
      <c r="A49" s="431"/>
      <c r="B49" s="432"/>
      <c r="C49" s="20"/>
      <c r="D49" s="195"/>
      <c r="E49" s="206"/>
      <c r="F49" s="207"/>
      <c r="G49" s="149"/>
      <c r="H49" s="149"/>
      <c r="I49" s="149"/>
      <c r="J49" s="205"/>
      <c r="K49" s="198"/>
      <c r="L49" s="199"/>
      <c r="M49" s="166"/>
      <c r="N49" s="200"/>
      <c r="O49" s="199"/>
      <c r="P49" s="166"/>
      <c r="Q49" s="200"/>
      <c r="R49" s="201"/>
      <c r="S49" s="166"/>
      <c r="T49" s="200"/>
      <c r="U49" s="251"/>
      <c r="Z49" s="26"/>
    </row>
    <row r="50" spans="1:27" s="322" customFormat="1" ht="21" customHeight="1" thickBot="1">
      <c r="A50" s="323"/>
      <c r="B50" s="324"/>
      <c r="C50" s="152" t="s">
        <v>379</v>
      </c>
      <c r="D50" s="325"/>
      <c r="E50" s="326"/>
      <c r="F50" s="326"/>
      <c r="G50" s="323"/>
      <c r="H50" s="323"/>
      <c r="I50" s="323"/>
      <c r="J50" s="327"/>
      <c r="K50" s="328"/>
      <c r="L50" s="329"/>
      <c r="M50" s="330"/>
      <c r="N50" s="331"/>
      <c r="O50" s="329"/>
      <c r="P50" s="330"/>
      <c r="Q50" s="332"/>
      <c r="R50" s="333"/>
      <c r="S50" s="330"/>
      <c r="T50" s="331"/>
      <c r="U50" s="321" t="s">
        <v>154</v>
      </c>
      <c r="W50" s="403" t="s">
        <v>11</v>
      </c>
      <c r="X50" s="403" t="s">
        <v>380</v>
      </c>
      <c r="Y50" s="404" t="s">
        <v>17</v>
      </c>
      <c r="Z50" s="404" t="s">
        <v>279</v>
      </c>
      <c r="AA50" s="404" t="s">
        <v>18</v>
      </c>
    </row>
    <row r="51" spans="1:27" ht="21" customHeight="1">
      <c r="A51" s="210">
        <f>A43+1</f>
        <v>41</v>
      </c>
      <c r="B51" s="211" t="s">
        <v>122</v>
      </c>
      <c r="C51" s="212" t="s">
        <v>381</v>
      </c>
      <c r="D51" s="213">
        <v>43884</v>
      </c>
      <c r="E51" s="214">
        <v>1</v>
      </c>
      <c r="F51" s="214">
        <v>1</v>
      </c>
      <c r="G51" s="210" t="s">
        <v>382</v>
      </c>
      <c r="H51" s="210" t="s">
        <v>75</v>
      </c>
      <c r="I51" s="210" t="s">
        <v>123</v>
      </c>
      <c r="J51" s="210"/>
      <c r="K51" s="210" t="s">
        <v>26</v>
      </c>
      <c r="L51" s="215">
        <v>44560</v>
      </c>
      <c r="M51" s="216">
        <v>44560</v>
      </c>
      <c r="N51" s="375">
        <v>44552</v>
      </c>
      <c r="O51" s="137" t="s">
        <v>383</v>
      </c>
      <c r="P51" s="137" t="s">
        <v>383</v>
      </c>
      <c r="Q51" s="257">
        <v>45589</v>
      </c>
      <c r="R51" s="137">
        <v>44560</v>
      </c>
      <c r="S51" s="137">
        <v>44560</v>
      </c>
      <c r="T51" s="258">
        <v>46022</v>
      </c>
      <c r="U51" s="9" t="s">
        <v>384</v>
      </c>
      <c r="W51" s="406">
        <f>_xlfn.XLOOKUP($B51,'[1]03-Project Information'!$E:$E,'[1]03-Project Information'!AZ:AZ)</f>
        <v>1</v>
      </c>
      <c r="X51" s="406">
        <f>_xlfn.XLOOKUP($B51,'[1]03-Project Information'!$E:$E,'[1]03-Project Information'!BA:BA)</f>
        <v>1</v>
      </c>
      <c r="Y51" s="405">
        <f>_xlfn.XLOOKUP($B51,'[1]03-Project Information'!$E:$E,'[1]03-Project Information'!AE:AE)</f>
        <v>44560</v>
      </c>
      <c r="Z51" s="405">
        <f>_xlfn.XLOOKUP($B51,'[1]03-Project Information'!$E:$E,'[1]03-Project Information'!AF:AF)</f>
        <v>45589</v>
      </c>
      <c r="AA51" s="405">
        <f>_xlfn.XLOOKUP($B51,'[1]03-Project Information'!$E:$E,'[1]03-Project Information'!AG:AG)</f>
        <v>46022</v>
      </c>
    </row>
    <row r="52" spans="1:27" ht="21" customHeight="1">
      <c r="A52" s="210">
        <f t="shared" ref="A52:A68" si="7">A51+1</f>
        <v>42</v>
      </c>
      <c r="B52" s="211" t="s">
        <v>124</v>
      </c>
      <c r="C52" s="212" t="s">
        <v>385</v>
      </c>
      <c r="D52" s="213">
        <v>43435</v>
      </c>
      <c r="E52" s="214">
        <v>1</v>
      </c>
      <c r="F52" s="214">
        <v>1</v>
      </c>
      <c r="G52" s="210" t="s">
        <v>301</v>
      </c>
      <c r="H52" s="210" t="s">
        <v>75</v>
      </c>
      <c r="I52" s="210" t="s">
        <v>126</v>
      </c>
      <c r="J52" s="210"/>
      <c r="K52" s="210" t="s">
        <v>26</v>
      </c>
      <c r="L52" s="218">
        <v>44104</v>
      </c>
      <c r="M52" s="137">
        <v>44104</v>
      </c>
      <c r="N52" s="376">
        <v>44316</v>
      </c>
      <c r="O52" s="137">
        <v>44165</v>
      </c>
      <c r="P52" s="137">
        <v>44165</v>
      </c>
      <c r="Q52" s="257">
        <v>44377</v>
      </c>
      <c r="R52" s="137">
        <v>45838</v>
      </c>
      <c r="S52" s="137">
        <v>45838</v>
      </c>
      <c r="T52" s="258">
        <v>45808</v>
      </c>
      <c r="U52" s="9" t="s">
        <v>384</v>
      </c>
      <c r="W52" s="406">
        <f>_xlfn.XLOOKUP($B52,'[1]03-Project Information'!$E:$E,'[1]03-Project Information'!AZ:AZ)</f>
        <v>1</v>
      </c>
      <c r="X52" s="406">
        <f>_xlfn.XLOOKUP($B52,'[1]03-Project Information'!$E:$E,'[1]03-Project Information'!BA:BA)</f>
        <v>1</v>
      </c>
      <c r="Y52" s="405">
        <f>_xlfn.XLOOKUP($B52,'[1]03-Project Information'!$E:$E,'[1]03-Project Information'!AE:AE)</f>
        <v>44316</v>
      </c>
      <c r="Z52" s="405">
        <f>_xlfn.XLOOKUP($B52,'[1]03-Project Information'!$E:$E,'[1]03-Project Information'!AF:AF)</f>
        <v>44377</v>
      </c>
      <c r="AA52" s="405">
        <f>_xlfn.XLOOKUP($B52,'[1]03-Project Information'!$E:$E,'[1]03-Project Information'!AG:AG)</f>
        <v>45808</v>
      </c>
    </row>
    <row r="53" spans="1:27" ht="54">
      <c r="A53" s="210">
        <f t="shared" si="7"/>
        <v>43</v>
      </c>
      <c r="B53" s="211" t="s">
        <v>130</v>
      </c>
      <c r="C53" s="212" t="s">
        <v>386</v>
      </c>
      <c r="D53" s="213">
        <v>43853</v>
      </c>
      <c r="E53" s="214">
        <v>1</v>
      </c>
      <c r="F53" s="214">
        <v>1</v>
      </c>
      <c r="G53" s="210" t="s">
        <v>301</v>
      </c>
      <c r="H53" s="210" t="s">
        <v>75</v>
      </c>
      <c r="I53" s="210" t="s">
        <v>132</v>
      </c>
      <c r="J53" s="210"/>
      <c r="K53" s="210" t="s">
        <v>53</v>
      </c>
      <c r="L53" s="220" t="s">
        <v>387</v>
      </c>
      <c r="M53" s="221" t="s">
        <v>387</v>
      </c>
      <c r="N53" s="374" t="s">
        <v>388</v>
      </c>
      <c r="O53" s="137" t="s">
        <v>389</v>
      </c>
      <c r="P53" s="137" t="s">
        <v>389</v>
      </c>
      <c r="Q53" s="137" t="s">
        <v>390</v>
      </c>
      <c r="R53" s="221" t="s">
        <v>391</v>
      </c>
      <c r="S53" s="221" t="s">
        <v>391</v>
      </c>
      <c r="T53" s="163" t="s">
        <v>392</v>
      </c>
      <c r="U53" s="9" t="s">
        <v>393</v>
      </c>
      <c r="W53" s="406">
        <f>_xlfn.XLOOKUP($B53,'[1]03-Project Information'!$E:$E,'[1]03-Project Information'!AZ:AZ)</f>
        <v>1</v>
      </c>
      <c r="X53" s="406">
        <f>_xlfn.XLOOKUP($B53,'[1]03-Project Information'!$E:$E,'[1]03-Project Information'!BA:BA)</f>
        <v>1</v>
      </c>
      <c r="Y53" s="405">
        <f>_xlfn.XLOOKUP($B53,'[1]03-Project Information'!$E:$E,'[1]03-Project Information'!AE:AE)</f>
        <v>45565</v>
      </c>
      <c r="Z53" s="405">
        <f>_xlfn.XLOOKUP($B53,'[1]03-Project Information'!$E:$E,'[1]03-Project Information'!AF:AF)</f>
        <v>45626</v>
      </c>
      <c r="AA53" s="405">
        <f>_xlfn.XLOOKUP($B53,'[1]03-Project Information'!$E:$E,'[1]03-Project Information'!AG:AG)</f>
        <v>45716</v>
      </c>
    </row>
    <row r="54" spans="1:27" ht="36">
      <c r="A54" s="210">
        <f t="shared" si="7"/>
        <v>44</v>
      </c>
      <c r="B54" s="211" t="s">
        <v>136</v>
      </c>
      <c r="C54" s="212" t="s">
        <v>137</v>
      </c>
      <c r="D54" s="213"/>
      <c r="E54" s="214">
        <v>1</v>
      </c>
      <c r="F54" s="214">
        <v>1</v>
      </c>
      <c r="G54" s="210" t="s">
        <v>382</v>
      </c>
      <c r="H54" s="210" t="s">
        <v>75</v>
      </c>
      <c r="I54" s="210" t="s">
        <v>123</v>
      </c>
      <c r="J54" s="210"/>
      <c r="K54" s="210" t="s">
        <v>26</v>
      </c>
      <c r="L54" s="218" t="s">
        <v>383</v>
      </c>
      <c r="M54" s="137" t="s">
        <v>383</v>
      </c>
      <c r="N54" s="219" t="s">
        <v>383</v>
      </c>
      <c r="O54" s="137" t="s">
        <v>383</v>
      </c>
      <c r="P54" s="137" t="s">
        <v>383</v>
      </c>
      <c r="Q54" s="137" t="s">
        <v>383</v>
      </c>
      <c r="R54" s="137">
        <v>45605</v>
      </c>
      <c r="S54" s="137">
        <v>45605</v>
      </c>
      <c r="T54" s="258">
        <v>46022</v>
      </c>
      <c r="U54" s="9" t="s">
        <v>384</v>
      </c>
      <c r="W54" s="406">
        <f>_xlfn.XLOOKUP($B54,'[1]03-Project Information'!$E:$E,'[1]03-Project Information'!AZ:AZ)</f>
        <v>1</v>
      </c>
      <c r="X54" s="406">
        <f>_xlfn.XLOOKUP($B54,'[1]03-Project Information'!$E:$E,'[1]03-Project Information'!BA:BA)</f>
        <v>1</v>
      </c>
      <c r="Y54" s="405">
        <f>_xlfn.XLOOKUP($B54,'[1]03-Project Information'!$E:$E,'[1]03-Project Information'!AE:AE)</f>
        <v>46022</v>
      </c>
      <c r="Z54" s="405">
        <f>_xlfn.XLOOKUP($B54,'[1]03-Project Information'!$E:$E,'[1]03-Project Information'!AF:AF)</f>
        <v>46022</v>
      </c>
      <c r="AA54" s="405">
        <f>_xlfn.XLOOKUP($B54,'[1]03-Project Information'!$E:$E,'[1]03-Project Information'!AG:AG)</f>
        <v>46022</v>
      </c>
    </row>
    <row r="55" spans="1:27" ht="54">
      <c r="A55" s="210">
        <f t="shared" si="7"/>
        <v>45</v>
      </c>
      <c r="B55" s="211" t="s">
        <v>138</v>
      </c>
      <c r="C55" s="212" t="s">
        <v>394</v>
      </c>
      <c r="D55" s="213">
        <v>44704</v>
      </c>
      <c r="E55" s="214">
        <v>1</v>
      </c>
      <c r="F55" s="214">
        <v>1</v>
      </c>
      <c r="G55" s="210" t="s">
        <v>140</v>
      </c>
      <c r="H55" s="210" t="s">
        <v>75</v>
      </c>
      <c r="I55" s="210" t="s">
        <v>121</v>
      </c>
      <c r="J55" s="210"/>
      <c r="K55" s="210" t="s">
        <v>33</v>
      </c>
      <c r="L55" s="218">
        <v>45345</v>
      </c>
      <c r="M55" s="137">
        <v>45345</v>
      </c>
      <c r="N55" s="376">
        <v>46053</v>
      </c>
      <c r="O55" s="137">
        <v>45345</v>
      </c>
      <c r="P55" s="137">
        <v>45345</v>
      </c>
      <c r="Q55" s="257">
        <v>46053</v>
      </c>
      <c r="R55" s="137">
        <v>45345</v>
      </c>
      <c r="S55" s="137">
        <v>45345</v>
      </c>
      <c r="T55" s="258">
        <v>46053</v>
      </c>
      <c r="U55" s="9" t="s">
        <v>395</v>
      </c>
      <c r="W55" s="406">
        <f>_xlfn.XLOOKUP($B55,'[1]03-Project Information'!$E:$E,'[1]03-Project Information'!AZ:AZ)</f>
        <v>1</v>
      </c>
      <c r="X55" s="406">
        <f>_xlfn.XLOOKUP($B55,'[1]03-Project Information'!$E:$E,'[1]03-Project Information'!BA:BA)</f>
        <v>1</v>
      </c>
      <c r="Y55" s="405">
        <f>_xlfn.XLOOKUP($B55,'[1]03-Project Information'!$E:$E,'[1]03-Project Information'!AE:AE)</f>
        <v>46053</v>
      </c>
      <c r="Z55" s="405">
        <f>_xlfn.XLOOKUP($B55,'[1]03-Project Information'!$E:$E,'[1]03-Project Information'!AF:AF)</f>
        <v>46053</v>
      </c>
      <c r="AA55" s="405">
        <f>_xlfn.XLOOKUP($B55,'[1]03-Project Information'!$E:$E,'[1]03-Project Information'!AG:AG)</f>
        <v>46053</v>
      </c>
    </row>
    <row r="56" spans="1:27" ht="36">
      <c r="A56" s="210">
        <f t="shared" si="7"/>
        <v>46</v>
      </c>
      <c r="B56" s="211" t="s">
        <v>141</v>
      </c>
      <c r="C56" s="212" t="s">
        <v>396</v>
      </c>
      <c r="D56" s="213">
        <v>43884</v>
      </c>
      <c r="E56" s="214">
        <v>1</v>
      </c>
      <c r="F56" s="214">
        <v>0.99977499999999997</v>
      </c>
      <c r="G56" s="210" t="s">
        <v>397</v>
      </c>
      <c r="H56" s="210" t="s">
        <v>75</v>
      </c>
      <c r="I56" s="210" t="s">
        <v>77</v>
      </c>
      <c r="J56" s="210"/>
      <c r="K56" s="210" t="s">
        <v>26</v>
      </c>
      <c r="L56" s="218">
        <v>45134</v>
      </c>
      <c r="M56" s="137">
        <v>45626</v>
      </c>
      <c r="N56" s="376">
        <v>45550</v>
      </c>
      <c r="O56" s="137">
        <v>45234</v>
      </c>
      <c r="P56" s="137">
        <v>45626</v>
      </c>
      <c r="Q56" s="257">
        <v>45589</v>
      </c>
      <c r="R56" s="137">
        <v>45234</v>
      </c>
      <c r="S56" s="137">
        <v>45626</v>
      </c>
      <c r="T56" s="258">
        <v>46142</v>
      </c>
      <c r="U56" s="9" t="s">
        <v>398</v>
      </c>
      <c r="W56" s="406">
        <f>_xlfn.XLOOKUP($B56,'[1]03-Project Information'!$E:$E,'[1]03-Project Information'!AZ:AZ)</f>
        <v>1</v>
      </c>
      <c r="X56" s="406">
        <f>_xlfn.XLOOKUP($B56,'[1]03-Project Information'!$E:$E,'[1]03-Project Information'!BA:BA)</f>
        <v>0.99977499999999997</v>
      </c>
      <c r="Y56" s="405">
        <f>_xlfn.XLOOKUP($B56,'[1]03-Project Information'!$E:$E,'[1]03-Project Information'!AE:AE)</f>
        <v>45550</v>
      </c>
      <c r="Z56" s="405">
        <f>_xlfn.XLOOKUP($B56,'[1]03-Project Information'!$E:$E,'[1]03-Project Information'!AF:AF)</f>
        <v>45589</v>
      </c>
      <c r="AA56" s="405">
        <f>_xlfn.XLOOKUP($B56,'[1]03-Project Information'!$E:$E,'[1]03-Project Information'!AG:AG)</f>
        <v>46142</v>
      </c>
    </row>
    <row r="57" spans="1:27" ht="21" customHeight="1">
      <c r="A57" s="210">
        <f t="shared" si="7"/>
        <v>47</v>
      </c>
      <c r="B57" s="211" t="s">
        <v>142</v>
      </c>
      <c r="C57" s="212" t="s">
        <v>399</v>
      </c>
      <c r="D57" s="213">
        <v>44357</v>
      </c>
      <c r="E57" s="214">
        <v>1</v>
      </c>
      <c r="F57" s="214">
        <v>0.88294000000000006</v>
      </c>
      <c r="G57" s="210" t="s">
        <v>76</v>
      </c>
      <c r="H57" s="210" t="s">
        <v>75</v>
      </c>
      <c r="I57" s="210" t="s">
        <v>77</v>
      </c>
      <c r="J57" s="210"/>
      <c r="K57" s="210" t="s">
        <v>26</v>
      </c>
      <c r="L57" s="218">
        <v>44814</v>
      </c>
      <c r="M57" s="137">
        <v>45412</v>
      </c>
      <c r="N57" s="219">
        <v>46331</v>
      </c>
      <c r="O57" s="137">
        <v>44844</v>
      </c>
      <c r="P57" s="137">
        <v>45442</v>
      </c>
      <c r="Q57" s="137">
        <v>46361</v>
      </c>
      <c r="R57" s="137">
        <v>44875</v>
      </c>
      <c r="S57" s="137">
        <v>45473</v>
      </c>
      <c r="T57" s="163">
        <v>46392</v>
      </c>
      <c r="U57" s="9" t="s">
        <v>154</v>
      </c>
      <c r="W57" s="406">
        <f>_xlfn.XLOOKUP($B57,'[1]03-Project Information'!$E:$E,'[1]03-Project Information'!AZ:AZ)</f>
        <v>1</v>
      </c>
      <c r="X57" s="406">
        <f>_xlfn.XLOOKUP($B57,'[1]03-Project Information'!$E:$E,'[1]03-Project Information'!BA:BA)</f>
        <v>0.88293999999999995</v>
      </c>
      <c r="Y57" s="405">
        <f>_xlfn.XLOOKUP($B57,'[1]03-Project Information'!$E:$E,'[1]03-Project Information'!AE:AE)</f>
        <v>46331</v>
      </c>
      <c r="Z57" s="405">
        <f>_xlfn.XLOOKUP($B57,'[1]03-Project Information'!$E:$E,'[1]03-Project Information'!AF:AF)</f>
        <v>46361</v>
      </c>
      <c r="AA57" s="405">
        <f>_xlfn.XLOOKUP($B57,'[1]03-Project Information'!$E:$E,'[1]03-Project Information'!AG:AG)</f>
        <v>46392</v>
      </c>
    </row>
    <row r="58" spans="1:27" ht="36">
      <c r="A58" s="210">
        <f t="shared" si="7"/>
        <v>48</v>
      </c>
      <c r="B58" s="211" t="s">
        <v>143</v>
      </c>
      <c r="C58" s="212" t="s">
        <v>400</v>
      </c>
      <c r="D58" s="213">
        <v>44704</v>
      </c>
      <c r="E58" s="214">
        <v>1.0000000000000002</v>
      </c>
      <c r="F58" s="214">
        <v>0.98172199999999998</v>
      </c>
      <c r="G58" s="210" t="s">
        <v>140</v>
      </c>
      <c r="H58" s="210" t="s">
        <v>75</v>
      </c>
      <c r="I58" s="210" t="s">
        <v>121</v>
      </c>
      <c r="J58" s="210"/>
      <c r="K58" s="210" t="s">
        <v>33</v>
      </c>
      <c r="L58" s="218">
        <v>45345</v>
      </c>
      <c r="M58" s="137">
        <v>45345</v>
      </c>
      <c r="N58" s="376">
        <v>46053</v>
      </c>
      <c r="O58" s="137">
        <v>45345</v>
      </c>
      <c r="P58" s="137">
        <v>45345</v>
      </c>
      <c r="Q58" s="257">
        <v>46053</v>
      </c>
      <c r="R58" s="137">
        <v>45345</v>
      </c>
      <c r="S58" s="137">
        <v>45345</v>
      </c>
      <c r="T58" s="433">
        <v>46203</v>
      </c>
      <c r="U58" s="9" t="s">
        <v>401</v>
      </c>
      <c r="W58" s="406">
        <f>_xlfn.XLOOKUP($B58,'[1]03-Project Information'!$E:$E,'[1]03-Project Information'!AZ:AZ)</f>
        <v>1</v>
      </c>
      <c r="X58" s="406">
        <f>_xlfn.XLOOKUP($B58,'[1]03-Project Information'!$E:$E,'[1]03-Project Information'!BA:BA)</f>
        <v>0.98172199999999998</v>
      </c>
      <c r="Y58" s="405">
        <f>_xlfn.XLOOKUP($B58,'[1]03-Project Information'!$E:$E,'[1]03-Project Information'!AE:AE)</f>
        <v>46053</v>
      </c>
      <c r="Z58" s="405">
        <f>_xlfn.XLOOKUP($B58,'[1]03-Project Information'!$E:$E,'[1]03-Project Information'!AF:AF)</f>
        <v>46053</v>
      </c>
      <c r="AA58" s="405">
        <f>_xlfn.XLOOKUP($B58,'[1]03-Project Information'!$E:$E,'[1]03-Project Information'!AG:AG)</f>
        <v>46203</v>
      </c>
    </row>
    <row r="59" spans="1:27" ht="21" customHeight="1">
      <c r="A59" s="210">
        <f t="shared" si="7"/>
        <v>49</v>
      </c>
      <c r="B59" s="211" t="s">
        <v>144</v>
      </c>
      <c r="C59" s="212" t="s">
        <v>402</v>
      </c>
      <c r="D59" s="213">
        <v>45336</v>
      </c>
      <c r="E59" s="214">
        <v>1.0000000000000002</v>
      </c>
      <c r="F59" s="214">
        <v>0.90700000000000003</v>
      </c>
      <c r="G59" s="210" t="s">
        <v>140</v>
      </c>
      <c r="H59" s="210" t="s">
        <v>75</v>
      </c>
      <c r="I59" s="210" t="s">
        <v>121</v>
      </c>
      <c r="J59" s="210"/>
      <c r="K59" s="210" t="s">
        <v>33</v>
      </c>
      <c r="L59" s="218">
        <v>45702</v>
      </c>
      <c r="M59" s="137">
        <v>45702</v>
      </c>
      <c r="N59" s="376">
        <v>46203</v>
      </c>
      <c r="O59" s="137">
        <v>45702</v>
      </c>
      <c r="P59" s="137">
        <v>45702</v>
      </c>
      <c r="Q59" s="376">
        <v>46203</v>
      </c>
      <c r="R59" s="137">
        <v>45702</v>
      </c>
      <c r="S59" s="137">
        <v>45702</v>
      </c>
      <c r="T59" s="376">
        <v>46203</v>
      </c>
      <c r="U59" s="9" t="s">
        <v>154</v>
      </c>
      <c r="W59" s="406">
        <f>_xlfn.XLOOKUP($B59,'[1]03-Project Information'!$E:$E,'[1]03-Project Information'!AZ:AZ)</f>
        <v>1</v>
      </c>
      <c r="X59" s="406">
        <f>_xlfn.XLOOKUP($B59,'[1]03-Project Information'!$E:$E,'[1]03-Project Information'!BA:BA)</f>
        <v>0.90700000000000003</v>
      </c>
      <c r="Y59" s="405">
        <f>_xlfn.XLOOKUP($B59,'[1]03-Project Information'!$E:$E,'[1]03-Project Information'!AE:AE)</f>
        <v>46234</v>
      </c>
      <c r="Z59" s="405">
        <f>_xlfn.XLOOKUP($B59,'[1]03-Project Information'!$E:$E,'[1]03-Project Information'!AF:AF)</f>
        <v>46234</v>
      </c>
      <c r="AA59" s="405">
        <f>_xlfn.XLOOKUP($B59,'[1]03-Project Information'!$E:$E,'[1]03-Project Information'!AG:AG)</f>
        <v>46234</v>
      </c>
    </row>
    <row r="60" spans="1:27" ht="21" customHeight="1">
      <c r="A60" s="210">
        <f t="shared" si="7"/>
        <v>50</v>
      </c>
      <c r="B60" s="211" t="s">
        <v>145</v>
      </c>
      <c r="C60" s="212" t="s">
        <v>403</v>
      </c>
      <c r="D60" s="213">
        <v>45218</v>
      </c>
      <c r="E60" s="214">
        <v>0.98825000000000007</v>
      </c>
      <c r="F60" s="214">
        <v>0.96606399999999992</v>
      </c>
      <c r="G60" s="210" t="s">
        <v>76</v>
      </c>
      <c r="H60" s="210" t="s">
        <v>75</v>
      </c>
      <c r="I60" s="210" t="s">
        <v>404</v>
      </c>
      <c r="J60" s="210"/>
      <c r="K60" s="210" t="s">
        <v>26</v>
      </c>
      <c r="L60" s="218">
        <v>45766</v>
      </c>
      <c r="M60" s="137">
        <v>46173</v>
      </c>
      <c r="N60" s="376">
        <v>46173</v>
      </c>
      <c r="O60" s="137">
        <v>45827</v>
      </c>
      <c r="P60" s="137">
        <f t="shared" ref="P60:P66" si="8">EDATE(M60,2)</f>
        <v>46234</v>
      </c>
      <c r="Q60" s="137">
        <v>46306</v>
      </c>
      <c r="R60" s="137">
        <v>45919</v>
      </c>
      <c r="S60" s="137">
        <f>EDATE(P60,3)</f>
        <v>46326</v>
      </c>
      <c r="T60" s="163">
        <v>46418</v>
      </c>
      <c r="U60" s="9" t="s">
        <v>154</v>
      </c>
      <c r="W60" s="406">
        <f>_xlfn.XLOOKUP($B60,'[1]03-Project Information'!$E:$E,'[1]03-Project Information'!AZ:AZ)</f>
        <v>0.98824999999999996</v>
      </c>
      <c r="X60" s="406">
        <f>_xlfn.XLOOKUP($B60,'[1]03-Project Information'!$E:$E,'[1]03-Project Information'!BA:BA)</f>
        <v>0.96606400000000003</v>
      </c>
      <c r="Y60" s="405">
        <f>_xlfn.XLOOKUP($B60,'[1]03-Project Information'!$E:$E,'[1]03-Project Information'!AE:AE)</f>
        <v>46173</v>
      </c>
      <c r="Z60" s="405">
        <f>_xlfn.XLOOKUP($B60,'[1]03-Project Information'!$E:$E,'[1]03-Project Information'!AF:AF)</f>
        <v>46306</v>
      </c>
      <c r="AA60" s="405">
        <f>_xlfn.XLOOKUP($B60,'[1]03-Project Information'!$E:$E,'[1]03-Project Information'!AG:AG)</f>
        <v>46418</v>
      </c>
    </row>
    <row r="61" spans="1:27" ht="21" customHeight="1">
      <c r="A61" s="210">
        <f t="shared" si="7"/>
        <v>51</v>
      </c>
      <c r="B61" s="211" t="s">
        <v>146</v>
      </c>
      <c r="C61" s="212" t="s">
        <v>405</v>
      </c>
      <c r="D61" s="213">
        <v>45431</v>
      </c>
      <c r="E61" s="214">
        <v>0.92007822997613209</v>
      </c>
      <c r="F61" s="214">
        <v>0.85511484299051621</v>
      </c>
      <c r="G61" s="210" t="s">
        <v>76</v>
      </c>
      <c r="H61" s="210" t="s">
        <v>75</v>
      </c>
      <c r="I61" s="210" t="s">
        <v>121</v>
      </c>
      <c r="J61" s="210" t="s">
        <v>406</v>
      </c>
      <c r="K61" s="210" t="s">
        <v>33</v>
      </c>
      <c r="L61" s="218">
        <v>46041</v>
      </c>
      <c r="M61" s="137">
        <v>46041</v>
      </c>
      <c r="N61" s="219">
        <v>46305</v>
      </c>
      <c r="O61" s="137">
        <v>46437</v>
      </c>
      <c r="P61" s="137">
        <v>46437</v>
      </c>
      <c r="Q61" s="137">
        <v>46670</v>
      </c>
      <c r="R61" s="137">
        <v>46526</v>
      </c>
      <c r="S61" s="137">
        <v>46526</v>
      </c>
      <c r="T61" s="163">
        <v>46701</v>
      </c>
      <c r="U61" s="9" t="s">
        <v>407</v>
      </c>
      <c r="V61" s="164"/>
      <c r="W61" s="406">
        <f>_xlfn.XLOOKUP($B61,'[1]03-Project Information'!$E:$E,'[1]03-Project Information'!AZ:AZ)</f>
        <v>0.92007822997613198</v>
      </c>
      <c r="X61" s="406">
        <f>_xlfn.XLOOKUP($B61,'[1]03-Project Information'!$E:$E,'[1]03-Project Information'!BA:BA)</f>
        <v>0.85511484299051599</v>
      </c>
      <c r="Y61" s="405">
        <f>_xlfn.XLOOKUP($B61,'[1]03-Project Information'!$E:$E,'[1]03-Project Information'!AE:AE)</f>
        <v>46305</v>
      </c>
      <c r="Z61" s="405">
        <f>_xlfn.XLOOKUP($B61,'[1]03-Project Information'!$E:$E,'[1]03-Project Information'!AF:AF)</f>
        <v>46670</v>
      </c>
      <c r="AA61" s="405">
        <f>_xlfn.XLOOKUP($B61,'[1]03-Project Information'!$E:$E,'[1]03-Project Information'!AG:AG)</f>
        <v>46701</v>
      </c>
    </row>
    <row r="62" spans="1:27" ht="21" customHeight="1">
      <c r="A62" s="210">
        <f t="shared" si="7"/>
        <v>52</v>
      </c>
      <c r="B62" s="211" t="s">
        <v>147</v>
      </c>
      <c r="C62" s="212" t="s">
        <v>408</v>
      </c>
      <c r="D62" s="213">
        <v>45218</v>
      </c>
      <c r="E62" s="214">
        <v>0.99474530716400256</v>
      </c>
      <c r="F62" s="214">
        <v>0.99269133105131191</v>
      </c>
      <c r="G62" s="222" t="s">
        <v>301</v>
      </c>
      <c r="H62" s="222" t="s">
        <v>75</v>
      </c>
      <c r="I62" s="222" t="s">
        <v>77</v>
      </c>
      <c r="J62" s="222"/>
      <c r="K62" s="222" t="s">
        <v>26</v>
      </c>
      <c r="L62" s="218">
        <v>45766</v>
      </c>
      <c r="M62" s="137">
        <v>46356</v>
      </c>
      <c r="N62" s="376">
        <v>46173</v>
      </c>
      <c r="O62" s="137">
        <v>45827</v>
      </c>
      <c r="P62" s="137">
        <f t="shared" si="8"/>
        <v>46417</v>
      </c>
      <c r="Q62" s="137">
        <v>46457</v>
      </c>
      <c r="R62" s="137">
        <v>45918</v>
      </c>
      <c r="S62" s="137">
        <f>EDATE(P62,3)</f>
        <v>46507</v>
      </c>
      <c r="T62" s="163">
        <v>46568</v>
      </c>
      <c r="U62" s="9" t="s">
        <v>409</v>
      </c>
      <c r="V62" s="164"/>
      <c r="W62" s="406">
        <f>_xlfn.XLOOKUP($B62,'[1]03-Project Information'!$E:$E,'[1]03-Project Information'!AZ:AZ)</f>
        <v>0.994745307164003</v>
      </c>
      <c r="X62" s="406">
        <f>_xlfn.XLOOKUP($B62,'[1]03-Project Information'!$E:$E,'[1]03-Project Information'!BA:BA)</f>
        <v>0.99269133105131202</v>
      </c>
      <c r="Y62" s="405">
        <f>_xlfn.XLOOKUP($B62,'[1]03-Project Information'!$E:$E,'[1]03-Project Information'!AE:AE)</f>
        <v>46173</v>
      </c>
      <c r="Z62" s="405">
        <f>_xlfn.XLOOKUP($B62,'[1]03-Project Information'!$E:$E,'[1]03-Project Information'!AF:AF)</f>
        <v>46457</v>
      </c>
      <c r="AA62" s="405">
        <f>_xlfn.XLOOKUP($B62,'[1]03-Project Information'!$E:$E,'[1]03-Project Information'!AG:AG)</f>
        <v>46568</v>
      </c>
    </row>
    <row r="63" spans="1:27" ht="21" customHeight="1">
      <c r="A63" s="210">
        <f t="shared" si="7"/>
        <v>53</v>
      </c>
      <c r="B63" s="223" t="s">
        <v>148</v>
      </c>
      <c r="C63" s="212" t="s">
        <v>410</v>
      </c>
      <c r="D63" s="213">
        <v>45697</v>
      </c>
      <c r="E63" s="214">
        <v>0.72111000000000014</v>
      </c>
      <c r="F63" s="214">
        <v>0.46529399999999999</v>
      </c>
      <c r="G63" s="222" t="s">
        <v>301</v>
      </c>
      <c r="H63" s="222" t="s">
        <v>75</v>
      </c>
      <c r="I63" s="222" t="s">
        <v>411</v>
      </c>
      <c r="J63" s="210" t="s">
        <v>406</v>
      </c>
      <c r="K63" s="222" t="s">
        <v>33</v>
      </c>
      <c r="L63" s="218">
        <v>46212</v>
      </c>
      <c r="M63" s="137">
        <f>L63</f>
        <v>46212</v>
      </c>
      <c r="N63" s="219">
        <v>46500</v>
      </c>
      <c r="O63" s="137">
        <v>46274</v>
      </c>
      <c r="P63" s="137">
        <f t="shared" si="8"/>
        <v>46274</v>
      </c>
      <c r="Q63" s="137">
        <v>46568</v>
      </c>
      <c r="R63" s="137">
        <v>46365</v>
      </c>
      <c r="S63" s="137">
        <f>EDATE(P63,3)</f>
        <v>46365</v>
      </c>
      <c r="T63" s="137">
        <v>46660</v>
      </c>
      <c r="U63" s="9" t="s">
        <v>412</v>
      </c>
      <c r="W63" s="406">
        <f>_xlfn.XLOOKUP($B63,'[1]03-Project Information'!$E:$E,'[1]03-Project Information'!AZ:AZ)</f>
        <v>0.72111000000000003</v>
      </c>
      <c r="X63" s="406">
        <f>_xlfn.XLOOKUP($B63,'[1]03-Project Information'!$E:$E,'[1]03-Project Information'!BA:BA)</f>
        <v>0.46529399999999999</v>
      </c>
      <c r="Y63" s="405">
        <f>_xlfn.XLOOKUP($B63,'[1]03-Project Information'!$E:$E,'[1]03-Project Information'!AE:AE)</f>
        <v>46500</v>
      </c>
      <c r="Z63" s="405">
        <f>_xlfn.XLOOKUP($B63,'[1]03-Project Information'!$E:$E,'[1]03-Project Information'!AF:AF)</f>
        <v>46568</v>
      </c>
      <c r="AA63" s="405">
        <f>_xlfn.XLOOKUP($B63,'[1]03-Project Information'!$E:$E,'[1]03-Project Information'!AG:AG)</f>
        <v>46660</v>
      </c>
    </row>
    <row r="64" spans="1:27" ht="54">
      <c r="A64" s="210">
        <f t="shared" si="7"/>
        <v>54</v>
      </c>
      <c r="B64" s="223" t="s">
        <v>149</v>
      </c>
      <c r="C64" s="212" t="s">
        <v>413</v>
      </c>
      <c r="D64" s="213">
        <v>45715</v>
      </c>
      <c r="E64" s="214">
        <v>0.95485600000000004</v>
      </c>
      <c r="F64" s="214">
        <v>0.56828000000000001</v>
      </c>
      <c r="G64" s="222" t="s">
        <v>301</v>
      </c>
      <c r="H64" s="222" t="s">
        <v>75</v>
      </c>
      <c r="I64" s="222" t="s">
        <v>102</v>
      </c>
      <c r="J64" s="222"/>
      <c r="K64" s="222" t="s">
        <v>53</v>
      </c>
      <c r="L64" s="218">
        <v>46291</v>
      </c>
      <c r="M64" s="137">
        <v>46291</v>
      </c>
      <c r="N64" s="219">
        <v>46544</v>
      </c>
      <c r="O64" s="137">
        <v>46352</v>
      </c>
      <c r="P64" s="137">
        <f t="shared" si="8"/>
        <v>46352</v>
      </c>
      <c r="Q64" s="137">
        <v>46607</v>
      </c>
      <c r="R64" s="137">
        <v>46444</v>
      </c>
      <c r="S64" s="137">
        <f>EDATE(P64,3)</f>
        <v>46444</v>
      </c>
      <c r="T64" s="163">
        <v>46699</v>
      </c>
      <c r="U64" s="9" t="s">
        <v>414</v>
      </c>
      <c r="W64" s="406">
        <f>_xlfn.XLOOKUP($B64,'[1]03-Project Information'!$E:$E,'[1]03-Project Information'!AZ:AZ)</f>
        <v>0.95485600000000004</v>
      </c>
      <c r="X64" s="406">
        <f>_xlfn.XLOOKUP($B64,'[1]03-Project Information'!$E:$E,'[1]03-Project Information'!BA:BA)</f>
        <v>0.56828000000000001</v>
      </c>
      <c r="Y64" s="405">
        <f>_xlfn.XLOOKUP($B64,'[1]03-Project Information'!$E:$E,'[1]03-Project Information'!AE:AE)</f>
        <v>46544</v>
      </c>
      <c r="Z64" s="405">
        <f>_xlfn.XLOOKUP($B64,'[1]03-Project Information'!$E:$E,'[1]03-Project Information'!AF:AF)</f>
        <v>46607</v>
      </c>
      <c r="AA64" s="405">
        <f>_xlfn.XLOOKUP($B64,'[1]03-Project Information'!$E:$E,'[1]03-Project Information'!AG:AG)</f>
        <v>46699</v>
      </c>
    </row>
    <row r="65" spans="1:27" ht="21" customHeight="1">
      <c r="A65" s="407">
        <f t="shared" si="7"/>
        <v>55</v>
      </c>
      <c r="B65" s="408" t="s">
        <v>150</v>
      </c>
      <c r="C65" s="409" t="s">
        <v>415</v>
      </c>
      <c r="D65" s="410">
        <v>45879</v>
      </c>
      <c r="E65" s="411">
        <v>0.1757</v>
      </c>
      <c r="F65" s="411">
        <v>0.12</v>
      </c>
      <c r="G65" s="407" t="s">
        <v>416</v>
      </c>
      <c r="H65" s="407" t="s">
        <v>75</v>
      </c>
      <c r="I65" s="407" t="s">
        <v>118</v>
      </c>
      <c r="J65" s="407"/>
      <c r="K65" s="407" t="s">
        <v>53</v>
      </c>
      <c r="L65" s="412">
        <v>46609</v>
      </c>
      <c r="M65" s="413">
        <v>46609</v>
      </c>
      <c r="N65" s="414">
        <v>46657</v>
      </c>
      <c r="O65" s="413">
        <v>46670</v>
      </c>
      <c r="P65" s="413">
        <v>46670</v>
      </c>
      <c r="Q65" s="413">
        <f>EOMONTH(N65,2)</f>
        <v>46721</v>
      </c>
      <c r="R65" s="413">
        <v>47097</v>
      </c>
      <c r="S65" s="413">
        <v>47097</v>
      </c>
      <c r="T65" s="413">
        <v>47097</v>
      </c>
      <c r="U65" s="415" t="s">
        <v>417</v>
      </c>
      <c r="V65" s="165"/>
      <c r="W65" s="406" t="e">
        <f>_xlfn.XLOOKUP($B65,'[1]03-Project Information'!$E:$E,'[1]03-Project Information'!AZ:AZ)</f>
        <v>#N/A</v>
      </c>
      <c r="X65" s="406" t="e">
        <f>_xlfn.XLOOKUP($B65,'[1]03-Project Information'!$E:$E,'[1]03-Project Information'!BA:BA)</f>
        <v>#N/A</v>
      </c>
      <c r="Y65" s="405" t="e">
        <f>_xlfn.XLOOKUP($B65,'[1]03-Project Information'!$E:$E,'[1]03-Project Information'!AE:AE)</f>
        <v>#N/A</v>
      </c>
      <c r="Z65" s="405" t="e">
        <f>_xlfn.XLOOKUP($B65,'[1]03-Project Information'!$E:$E,'[1]03-Project Information'!AF:AF)</f>
        <v>#N/A</v>
      </c>
      <c r="AA65" s="405" t="e">
        <f>_xlfn.XLOOKUP($B65,'[1]03-Project Information'!$E:$E,'[1]03-Project Information'!AG:AG)</f>
        <v>#N/A</v>
      </c>
    </row>
    <row r="66" spans="1:27" ht="21" customHeight="1">
      <c r="A66" s="210">
        <f t="shared" si="7"/>
        <v>56</v>
      </c>
      <c r="B66" s="211" t="s">
        <v>151</v>
      </c>
      <c r="C66" s="212" t="s">
        <v>418</v>
      </c>
      <c r="D66" s="213">
        <v>45900</v>
      </c>
      <c r="E66" s="214">
        <v>0.19689999999999999</v>
      </c>
      <c r="F66" s="214">
        <v>0.126</v>
      </c>
      <c r="G66" s="222" t="s">
        <v>301</v>
      </c>
      <c r="H66" s="222" t="s">
        <v>75</v>
      </c>
      <c r="I66" s="222" t="s">
        <v>121</v>
      </c>
      <c r="J66" s="222"/>
      <c r="K66" s="222" t="s">
        <v>53</v>
      </c>
      <c r="L66" s="218">
        <v>46630</v>
      </c>
      <c r="M66" s="137">
        <v>46630</v>
      </c>
      <c r="N66" s="219">
        <v>46870</v>
      </c>
      <c r="O66" s="137">
        <v>46691</v>
      </c>
      <c r="P66" s="137">
        <f t="shared" si="8"/>
        <v>46691</v>
      </c>
      <c r="Q66" s="137">
        <v>46930</v>
      </c>
      <c r="R66" s="137">
        <v>46783</v>
      </c>
      <c r="S66" s="137">
        <f>EDATE(P66,3)</f>
        <v>46783</v>
      </c>
      <c r="T66" s="163">
        <v>47023</v>
      </c>
      <c r="U66" s="9" t="s">
        <v>419</v>
      </c>
      <c r="W66" s="406">
        <f>_xlfn.XLOOKUP($B66,'[1]03-Project Information'!$E:$E,'[1]03-Project Information'!AZ:AZ)</f>
        <v>0.19689999999999999</v>
      </c>
      <c r="X66" s="406">
        <f>_xlfn.XLOOKUP($B66,'[1]03-Project Information'!$E:$E,'[1]03-Project Information'!BA:BA)</f>
        <v>0.126</v>
      </c>
      <c r="Y66" s="405">
        <f>_xlfn.XLOOKUP($B66,'[1]03-Project Information'!$E:$E,'[1]03-Project Information'!AE:AE)</f>
        <v>46870</v>
      </c>
      <c r="Z66" s="405">
        <f>_xlfn.XLOOKUP($B66,'[1]03-Project Information'!$E:$E,'[1]03-Project Information'!AF:AF)</f>
        <v>46930</v>
      </c>
      <c r="AA66" s="405">
        <f>_xlfn.XLOOKUP($B66,'[1]03-Project Information'!$E:$E,'[1]03-Project Information'!AG:AG)</f>
        <v>47023</v>
      </c>
    </row>
    <row r="67" spans="1:27" ht="54">
      <c r="A67" s="210">
        <f t="shared" si="7"/>
        <v>57</v>
      </c>
      <c r="B67" s="211" t="s">
        <v>152</v>
      </c>
      <c r="C67" s="212" t="s">
        <v>420</v>
      </c>
      <c r="D67" s="213">
        <v>46113</v>
      </c>
      <c r="E67" s="214">
        <v>6.7430000000000004E-2</v>
      </c>
      <c r="F67" s="214">
        <v>3.9980000000000002E-2</v>
      </c>
      <c r="G67" s="222" t="s">
        <v>421</v>
      </c>
      <c r="H67" s="222" t="s">
        <v>75</v>
      </c>
      <c r="I67" s="222" t="s">
        <v>422</v>
      </c>
      <c r="J67" s="222"/>
      <c r="K67" s="222" t="s">
        <v>53</v>
      </c>
      <c r="L67" s="218">
        <v>46905</v>
      </c>
      <c r="M67" s="137">
        <v>46905</v>
      </c>
      <c r="N67" s="219">
        <v>46943</v>
      </c>
      <c r="O67" s="137">
        <v>46905</v>
      </c>
      <c r="P67" s="137">
        <v>46905</v>
      </c>
      <c r="Q67" s="137">
        <v>46943</v>
      </c>
      <c r="R67" s="137">
        <v>47270</v>
      </c>
      <c r="S67" s="137">
        <v>47270</v>
      </c>
      <c r="T67" s="163">
        <v>47308</v>
      </c>
      <c r="U67" s="9" t="s">
        <v>154</v>
      </c>
      <c r="W67" s="406">
        <f>_xlfn.XLOOKUP($B67,'[1]03-Project Information'!$E:$E,'[1]03-Project Information'!AZ:AZ)</f>
        <v>6.7430000000000004E-2</v>
      </c>
      <c r="X67" s="406">
        <f>_xlfn.XLOOKUP($B67,'[1]03-Project Information'!$E:$E,'[1]03-Project Information'!BA:BA)</f>
        <v>3.9980000000000002E-2</v>
      </c>
      <c r="Y67" s="405">
        <f>_xlfn.XLOOKUP($B67,'[1]03-Project Information'!$E:$E,'[1]03-Project Information'!AE:AE)</f>
        <v>46943</v>
      </c>
      <c r="Z67" s="405">
        <f>_xlfn.XLOOKUP($B67,'[1]03-Project Information'!$E:$E,'[1]03-Project Information'!AF:AF)</f>
        <v>46943</v>
      </c>
      <c r="AA67" s="405">
        <f>_xlfn.XLOOKUP($B67,'[1]03-Project Information'!$E:$E,'[1]03-Project Information'!AG:AG)</f>
        <v>47308</v>
      </c>
    </row>
    <row r="68" spans="1:27" ht="36">
      <c r="A68" s="210">
        <f t="shared" si="7"/>
        <v>58</v>
      </c>
      <c r="B68" s="211" t="s">
        <v>153</v>
      </c>
      <c r="C68" s="212" t="s">
        <v>423</v>
      </c>
      <c r="D68" s="213">
        <v>46146</v>
      </c>
      <c r="E68" s="214">
        <v>2.9387000000000003E-2</v>
      </c>
      <c r="F68" s="214">
        <v>1.8270000000000002E-2</v>
      </c>
      <c r="G68" s="222" t="s">
        <v>76</v>
      </c>
      <c r="H68" s="222" t="s">
        <v>75</v>
      </c>
      <c r="I68" s="222" t="s">
        <v>102</v>
      </c>
      <c r="J68" s="222"/>
      <c r="K68" s="222" t="s">
        <v>53</v>
      </c>
      <c r="L68" s="218">
        <v>47061</v>
      </c>
      <c r="M68" s="137">
        <v>47061</v>
      </c>
      <c r="N68" s="219">
        <v>47079</v>
      </c>
      <c r="O68" s="137">
        <v>47122</v>
      </c>
      <c r="P68" s="137">
        <v>47122</v>
      </c>
      <c r="Q68" s="137">
        <v>47141</v>
      </c>
      <c r="R68" s="137">
        <v>47212</v>
      </c>
      <c r="S68" s="137">
        <v>47212</v>
      </c>
      <c r="T68" s="163">
        <v>47236</v>
      </c>
      <c r="U68" s="9"/>
      <c r="W68" s="406">
        <f>_xlfn.XLOOKUP($B68,'[1]03-Project Information'!$E:$E,'[1]03-Project Information'!AZ:AZ)</f>
        <v>2.9387E-2</v>
      </c>
      <c r="X68" s="406">
        <f>_xlfn.XLOOKUP($B68,'[1]03-Project Information'!$E:$E,'[1]03-Project Information'!BA:BA)</f>
        <v>1.8270000000000002E-2</v>
      </c>
      <c r="Y68" s="405">
        <f>_xlfn.XLOOKUP($B68,'[1]03-Project Information'!$E:$E,'[1]03-Project Information'!AE:AE)</f>
        <v>47079</v>
      </c>
      <c r="Z68" s="405">
        <f>_xlfn.XLOOKUP($B68,'[1]03-Project Information'!$E:$E,'[1]03-Project Information'!AF:AF)</f>
        <v>47141</v>
      </c>
      <c r="AA68" s="405">
        <f>_xlfn.XLOOKUP($B68,'[1]03-Project Information'!$E:$E,'[1]03-Project Information'!AG:AG)</f>
        <v>47236</v>
      </c>
    </row>
    <row r="69" spans="1:27" s="322" customFormat="1" ht="21" customHeight="1">
      <c r="A69" s="308"/>
      <c r="B69" s="309"/>
      <c r="C69" s="153" t="s">
        <v>424</v>
      </c>
      <c r="D69" s="310"/>
      <c r="E69" s="311"/>
      <c r="F69" s="311"/>
      <c r="G69" s="308"/>
      <c r="H69" s="308"/>
      <c r="I69" s="308"/>
      <c r="J69" s="312"/>
      <c r="K69" s="313"/>
      <c r="L69" s="314"/>
      <c r="M69" s="315"/>
      <c r="N69" s="316"/>
      <c r="O69" s="317"/>
      <c r="P69" s="315"/>
      <c r="Q69" s="318"/>
      <c r="R69" s="319"/>
      <c r="S69" s="315"/>
      <c r="T69" s="320"/>
      <c r="U69" s="321" t="s">
        <v>154</v>
      </c>
    </row>
    <row r="70" spans="1:27" ht="21" customHeight="1">
      <c r="A70" s="149">
        <f>A68+1</f>
        <v>59</v>
      </c>
      <c r="B70" s="385" t="s">
        <v>156</v>
      </c>
      <c r="C70" s="226" t="s">
        <v>425</v>
      </c>
      <c r="D70" s="195">
        <v>44700</v>
      </c>
      <c r="E70" s="208">
        <v>1</v>
      </c>
      <c r="F70" s="209">
        <v>1</v>
      </c>
      <c r="G70" s="227" t="s">
        <v>301</v>
      </c>
      <c r="H70" s="149" t="s">
        <v>426</v>
      </c>
      <c r="I70" s="149" t="s">
        <v>427</v>
      </c>
      <c r="J70" s="203">
        <v>45902</v>
      </c>
      <c r="K70" s="198" t="s">
        <v>26</v>
      </c>
      <c r="L70" s="279">
        <v>45492</v>
      </c>
      <c r="M70" s="166">
        <v>45777</v>
      </c>
      <c r="N70" s="377">
        <v>45777</v>
      </c>
      <c r="O70" s="199">
        <v>45554</v>
      </c>
      <c r="P70" s="166">
        <v>45991</v>
      </c>
      <c r="Q70" s="200">
        <v>46386</v>
      </c>
      <c r="R70" s="201">
        <v>45615</v>
      </c>
      <c r="S70" s="166">
        <v>46052</v>
      </c>
      <c r="T70" s="202">
        <v>46446</v>
      </c>
      <c r="U70" s="166" t="s">
        <v>428</v>
      </c>
    </row>
    <row r="71" spans="1:27" ht="36">
      <c r="A71" s="149">
        <f>A70+1</f>
        <v>60</v>
      </c>
      <c r="B71" s="385" t="s">
        <v>157</v>
      </c>
      <c r="C71" s="228" t="s">
        <v>429</v>
      </c>
      <c r="D71" s="195">
        <v>44598</v>
      </c>
      <c r="E71" s="208">
        <v>1</v>
      </c>
      <c r="F71" s="209">
        <v>0.98899999999999999</v>
      </c>
      <c r="G71" s="227" t="s">
        <v>301</v>
      </c>
      <c r="H71" s="149" t="s">
        <v>426</v>
      </c>
      <c r="I71" s="149" t="s">
        <v>430</v>
      </c>
      <c r="J71" s="197"/>
      <c r="K71" s="198" t="s">
        <v>53</v>
      </c>
      <c r="L71" s="279">
        <v>45297</v>
      </c>
      <c r="M71" s="166">
        <v>45565</v>
      </c>
      <c r="N71" s="377">
        <v>45565</v>
      </c>
      <c r="O71" s="199">
        <v>45357</v>
      </c>
      <c r="P71" s="166">
        <v>45626</v>
      </c>
      <c r="Q71" s="44">
        <v>46132</v>
      </c>
      <c r="R71" s="201">
        <v>45449</v>
      </c>
      <c r="S71" s="166">
        <v>45716</v>
      </c>
      <c r="T71" s="202">
        <v>46285</v>
      </c>
      <c r="U71" s="166" t="s">
        <v>431</v>
      </c>
    </row>
    <row r="72" spans="1:27" s="168" customFormat="1" ht="21" customHeight="1">
      <c r="A72" s="149">
        <f t="shared" ref="A72:A116" si="9">A71+1</f>
        <v>61</v>
      </c>
      <c r="B72" s="194" t="s">
        <v>158</v>
      </c>
      <c r="C72" s="229" t="s">
        <v>432</v>
      </c>
      <c r="D72" s="230">
        <v>44868</v>
      </c>
      <c r="E72" s="206">
        <v>1</v>
      </c>
      <c r="F72" s="207">
        <v>0.99890000000000001</v>
      </c>
      <c r="G72" s="227" t="s">
        <v>301</v>
      </c>
      <c r="H72" s="149" t="s">
        <v>426</v>
      </c>
      <c r="I72" s="149" t="s">
        <v>433</v>
      </c>
      <c r="J72" s="197"/>
      <c r="K72" s="198" t="s">
        <v>53</v>
      </c>
      <c r="L72" s="279">
        <v>45415</v>
      </c>
      <c r="M72" s="166">
        <v>45960</v>
      </c>
      <c r="N72" s="377">
        <v>46021</v>
      </c>
      <c r="O72" s="199">
        <v>45476</v>
      </c>
      <c r="P72" s="166">
        <v>46021</v>
      </c>
      <c r="Q72" s="44">
        <v>46082</v>
      </c>
      <c r="R72" s="201">
        <v>45567</v>
      </c>
      <c r="S72" s="166">
        <v>46111</v>
      </c>
      <c r="T72" s="43">
        <v>46174</v>
      </c>
      <c r="U72" s="166" t="s">
        <v>434</v>
      </c>
    </row>
    <row r="73" spans="1:27" ht="21" customHeight="1">
      <c r="A73" s="149">
        <f t="shared" si="9"/>
        <v>62</v>
      </c>
      <c r="B73" s="385" t="s">
        <v>159</v>
      </c>
      <c r="C73" s="228" t="s">
        <v>435</v>
      </c>
      <c r="D73" s="195">
        <v>44882</v>
      </c>
      <c r="E73" s="208">
        <v>1</v>
      </c>
      <c r="F73" s="209">
        <v>0.9</v>
      </c>
      <c r="G73" s="227" t="s">
        <v>301</v>
      </c>
      <c r="H73" s="149" t="s">
        <v>426</v>
      </c>
      <c r="I73" s="149" t="s">
        <v>436</v>
      </c>
      <c r="J73" s="197"/>
      <c r="K73" s="198" t="s">
        <v>53</v>
      </c>
      <c r="L73" s="279">
        <v>45399</v>
      </c>
      <c r="M73" s="166">
        <v>45643</v>
      </c>
      <c r="N73" s="398">
        <v>46295</v>
      </c>
      <c r="O73" s="199">
        <v>45460</v>
      </c>
      <c r="P73" s="166">
        <v>45703</v>
      </c>
      <c r="Q73" s="200">
        <v>46324</v>
      </c>
      <c r="R73" s="201">
        <v>45552</v>
      </c>
      <c r="S73" s="166">
        <v>45793</v>
      </c>
      <c r="T73" s="202">
        <v>46414</v>
      </c>
      <c r="U73" s="166" t="s">
        <v>437</v>
      </c>
    </row>
    <row r="74" spans="1:27" ht="21" customHeight="1">
      <c r="A74" s="149">
        <f t="shared" si="9"/>
        <v>63</v>
      </c>
      <c r="B74" s="385" t="s">
        <v>160</v>
      </c>
      <c r="C74" s="193" t="s">
        <v>438</v>
      </c>
      <c r="D74" s="195">
        <v>45120</v>
      </c>
      <c r="E74" s="208">
        <v>1</v>
      </c>
      <c r="F74" s="209">
        <v>0.98409999999999997</v>
      </c>
      <c r="G74" s="149" t="s">
        <v>76</v>
      </c>
      <c r="H74" s="149" t="s">
        <v>426</v>
      </c>
      <c r="I74" s="149" t="s">
        <v>439</v>
      </c>
      <c r="J74" s="197"/>
      <c r="K74" s="198" t="s">
        <v>53</v>
      </c>
      <c r="L74" s="280">
        <v>45609</v>
      </c>
      <c r="M74" s="281">
        <v>45729</v>
      </c>
      <c r="N74" s="378">
        <v>45867</v>
      </c>
      <c r="O74" s="281">
        <v>45670</v>
      </c>
      <c r="P74" s="281">
        <v>45790</v>
      </c>
      <c r="Q74" s="380">
        <v>45972</v>
      </c>
      <c r="R74" s="281">
        <v>45760</v>
      </c>
      <c r="S74" s="281">
        <v>45882</v>
      </c>
      <c r="T74" s="416">
        <v>46295</v>
      </c>
      <c r="U74" s="166" t="s">
        <v>440</v>
      </c>
      <c r="Z74" s="26"/>
    </row>
    <row r="75" spans="1:27" ht="21" customHeight="1">
      <c r="A75" s="149">
        <f t="shared" si="9"/>
        <v>64</v>
      </c>
      <c r="B75" s="385" t="s">
        <v>161</v>
      </c>
      <c r="C75" s="193" t="s">
        <v>441</v>
      </c>
      <c r="D75" s="195">
        <v>45131</v>
      </c>
      <c r="E75" s="208">
        <v>1</v>
      </c>
      <c r="F75" s="209">
        <v>0.98419999999999996</v>
      </c>
      <c r="G75" s="149" t="s">
        <v>301</v>
      </c>
      <c r="H75" s="149" t="s">
        <v>426</v>
      </c>
      <c r="I75" s="149" t="s">
        <v>439</v>
      </c>
      <c r="J75" s="197"/>
      <c r="K75" s="198" t="s">
        <v>53</v>
      </c>
      <c r="L75" s="282">
        <v>45620</v>
      </c>
      <c r="M75" s="145">
        <v>45924</v>
      </c>
      <c r="N75" s="379">
        <v>45834</v>
      </c>
      <c r="O75" s="145">
        <v>45681</v>
      </c>
      <c r="P75" s="145">
        <v>45681</v>
      </c>
      <c r="Q75" s="381">
        <v>45979</v>
      </c>
      <c r="R75" s="145">
        <v>45771</v>
      </c>
      <c r="S75" s="145">
        <v>46138</v>
      </c>
      <c r="T75" s="416">
        <v>46295</v>
      </c>
      <c r="U75" s="166" t="s">
        <v>442</v>
      </c>
      <c r="Z75" s="26"/>
    </row>
    <row r="76" spans="1:27" ht="21" customHeight="1">
      <c r="A76" s="149">
        <f t="shared" si="9"/>
        <v>65</v>
      </c>
      <c r="B76" s="385" t="s">
        <v>162</v>
      </c>
      <c r="C76" s="193" t="s">
        <v>443</v>
      </c>
      <c r="D76" s="195">
        <v>44861</v>
      </c>
      <c r="E76" s="208">
        <v>1</v>
      </c>
      <c r="F76" s="209">
        <v>1</v>
      </c>
      <c r="G76" s="149" t="s">
        <v>76</v>
      </c>
      <c r="H76" s="149" t="s">
        <v>426</v>
      </c>
      <c r="I76" s="149" t="s">
        <v>433</v>
      </c>
      <c r="J76" s="197"/>
      <c r="K76" s="198" t="s">
        <v>53</v>
      </c>
      <c r="L76" s="282">
        <v>45562</v>
      </c>
      <c r="M76" s="145">
        <v>45657</v>
      </c>
      <c r="N76" s="379">
        <v>45754</v>
      </c>
      <c r="O76" s="145">
        <v>45623</v>
      </c>
      <c r="P76" s="145">
        <v>45716</v>
      </c>
      <c r="Q76" s="381">
        <v>46089</v>
      </c>
      <c r="R76" s="145">
        <v>45715</v>
      </c>
      <c r="S76" s="145">
        <v>45807</v>
      </c>
      <c r="T76" s="382">
        <v>46149</v>
      </c>
      <c r="U76" s="166" t="s">
        <v>444</v>
      </c>
    </row>
    <row r="77" spans="1:27" ht="21" customHeight="1">
      <c r="A77" s="149">
        <f t="shared" si="9"/>
        <v>66</v>
      </c>
      <c r="B77" s="385" t="s">
        <v>163</v>
      </c>
      <c r="C77" s="193" t="s">
        <v>445</v>
      </c>
      <c r="D77" s="195">
        <v>44924</v>
      </c>
      <c r="E77" s="208">
        <v>1</v>
      </c>
      <c r="F77" s="209">
        <v>0.97499999999999998</v>
      </c>
      <c r="G77" s="149" t="s">
        <v>76</v>
      </c>
      <c r="H77" s="149" t="s">
        <v>426</v>
      </c>
      <c r="I77" s="149" t="s">
        <v>439</v>
      </c>
      <c r="J77" s="197"/>
      <c r="K77" s="198" t="s">
        <v>53</v>
      </c>
      <c r="L77" s="282">
        <v>45594</v>
      </c>
      <c r="M77" s="145">
        <v>45687</v>
      </c>
      <c r="N77" s="379">
        <v>45992</v>
      </c>
      <c r="O77" s="145">
        <v>45655</v>
      </c>
      <c r="P77" s="145">
        <v>45748</v>
      </c>
      <c r="Q77" s="146">
        <v>46249</v>
      </c>
      <c r="R77" s="145">
        <v>45744</v>
      </c>
      <c r="S77" s="145">
        <v>45841</v>
      </c>
      <c r="T77" s="284">
        <v>46298</v>
      </c>
      <c r="U77" s="166" t="s">
        <v>446</v>
      </c>
    </row>
    <row r="78" spans="1:27" ht="21" customHeight="1">
      <c r="A78" s="149">
        <f t="shared" si="9"/>
        <v>67</v>
      </c>
      <c r="B78" s="385" t="s">
        <v>164</v>
      </c>
      <c r="C78" s="193" t="s">
        <v>447</v>
      </c>
      <c r="D78" s="195">
        <v>44924</v>
      </c>
      <c r="E78" s="208">
        <v>1</v>
      </c>
      <c r="F78" s="209">
        <v>0.96960000000000002</v>
      </c>
      <c r="G78" s="149" t="s">
        <v>301</v>
      </c>
      <c r="H78" s="149" t="s">
        <v>426</v>
      </c>
      <c r="I78" s="149" t="s">
        <v>439</v>
      </c>
      <c r="J78" s="197"/>
      <c r="K78" s="198" t="s">
        <v>53</v>
      </c>
      <c r="L78" s="282">
        <v>45533</v>
      </c>
      <c r="M78" s="145">
        <v>45656</v>
      </c>
      <c r="N78" s="379">
        <v>45992</v>
      </c>
      <c r="O78" s="145">
        <v>45594</v>
      </c>
      <c r="P78" s="145">
        <v>45717</v>
      </c>
      <c r="Q78" s="146">
        <v>46249</v>
      </c>
      <c r="R78" s="145">
        <v>45685</v>
      </c>
      <c r="S78" s="145">
        <v>45811</v>
      </c>
      <c r="T78" s="284">
        <v>46298</v>
      </c>
      <c r="U78" s="166" t="s">
        <v>448</v>
      </c>
    </row>
    <row r="79" spans="1:27" ht="21" customHeight="1">
      <c r="A79" s="149">
        <f t="shared" si="9"/>
        <v>68</v>
      </c>
      <c r="B79" s="194" t="s">
        <v>165</v>
      </c>
      <c r="C79" s="193" t="s">
        <v>449</v>
      </c>
      <c r="D79" s="195">
        <v>45218</v>
      </c>
      <c r="E79" s="208">
        <v>1</v>
      </c>
      <c r="F79" s="209">
        <v>0.94530000000000003</v>
      </c>
      <c r="G79" s="149" t="s">
        <v>301</v>
      </c>
      <c r="H79" s="149" t="s">
        <v>426</v>
      </c>
      <c r="I79" s="149" t="s">
        <v>450</v>
      </c>
      <c r="J79" s="197"/>
      <c r="K79" s="198" t="s">
        <v>53</v>
      </c>
      <c r="L79" s="282">
        <v>45707</v>
      </c>
      <c r="M79" s="145">
        <v>45980</v>
      </c>
      <c r="N79" s="379">
        <v>45980</v>
      </c>
      <c r="O79" s="145">
        <v>45766</v>
      </c>
      <c r="P79" s="145">
        <v>46041</v>
      </c>
      <c r="Q79" s="146">
        <v>8</v>
      </c>
      <c r="R79" s="145">
        <v>45857</v>
      </c>
      <c r="S79" s="145">
        <v>46131</v>
      </c>
      <c r="T79" s="284">
        <v>46321</v>
      </c>
      <c r="U79" s="365" t="s">
        <v>451</v>
      </c>
      <c r="Z79" s="26"/>
    </row>
    <row r="80" spans="1:27" ht="21" customHeight="1">
      <c r="A80" s="149">
        <f t="shared" si="9"/>
        <v>69</v>
      </c>
      <c r="B80" s="385" t="s">
        <v>166</v>
      </c>
      <c r="C80" s="193" t="s">
        <v>452</v>
      </c>
      <c r="D80" s="195">
        <v>45442</v>
      </c>
      <c r="E80" s="208">
        <v>1</v>
      </c>
      <c r="F80" s="209">
        <v>0.99</v>
      </c>
      <c r="G80" s="149" t="s">
        <v>76</v>
      </c>
      <c r="H80" s="149" t="s">
        <v>426</v>
      </c>
      <c r="I80" s="149" t="s">
        <v>439</v>
      </c>
      <c r="J80" s="197"/>
      <c r="K80" s="198" t="s">
        <v>53</v>
      </c>
      <c r="L80" s="282">
        <v>45991</v>
      </c>
      <c r="M80" s="145">
        <v>45991</v>
      </c>
      <c r="N80" s="379">
        <v>45991</v>
      </c>
      <c r="O80" s="145">
        <v>46052</v>
      </c>
      <c r="P80" s="145">
        <v>46052</v>
      </c>
      <c r="Q80" s="381">
        <v>46093</v>
      </c>
      <c r="R80" s="145">
        <v>46141</v>
      </c>
      <c r="S80" s="145">
        <v>46141</v>
      </c>
      <c r="T80" s="284">
        <v>46203</v>
      </c>
      <c r="U80" s="166" t="s">
        <v>453</v>
      </c>
      <c r="Z80" s="26"/>
    </row>
    <row r="81" spans="1:26" ht="21" customHeight="1">
      <c r="A81" s="149">
        <f t="shared" si="9"/>
        <v>70</v>
      </c>
      <c r="B81" s="385" t="s">
        <v>173</v>
      </c>
      <c r="C81" s="193" t="s">
        <v>454</v>
      </c>
      <c r="D81" s="195">
        <v>45442</v>
      </c>
      <c r="E81" s="208">
        <v>1</v>
      </c>
      <c r="F81" s="209">
        <v>1</v>
      </c>
      <c r="G81" s="149" t="s">
        <v>76</v>
      </c>
      <c r="H81" s="149" t="s">
        <v>426</v>
      </c>
      <c r="I81" s="149" t="s">
        <v>439</v>
      </c>
      <c r="J81" s="197"/>
      <c r="K81" s="198" t="s">
        <v>53</v>
      </c>
      <c r="L81" s="282">
        <v>45991</v>
      </c>
      <c r="M81" s="145">
        <v>45991</v>
      </c>
      <c r="N81" s="379">
        <v>45991</v>
      </c>
      <c r="O81" s="145">
        <v>46052</v>
      </c>
      <c r="P81" s="145">
        <v>46052</v>
      </c>
      <c r="Q81" s="381">
        <v>46093</v>
      </c>
      <c r="R81" s="145">
        <v>46141</v>
      </c>
      <c r="S81" s="145">
        <v>46141</v>
      </c>
      <c r="T81" s="383">
        <v>46141</v>
      </c>
      <c r="U81" s="166" t="s">
        <v>444</v>
      </c>
      <c r="Z81" s="26"/>
    </row>
    <row r="82" spans="1:26" ht="21" customHeight="1">
      <c r="A82" s="149">
        <f>A81+1</f>
        <v>71</v>
      </c>
      <c r="B82" s="194" t="s">
        <v>167</v>
      </c>
      <c r="C82" s="193" t="s">
        <v>455</v>
      </c>
      <c r="D82" s="195">
        <v>43156</v>
      </c>
      <c r="E82" s="232">
        <v>1</v>
      </c>
      <c r="F82" s="233">
        <v>0.99650000000000005</v>
      </c>
      <c r="G82" s="149" t="s">
        <v>456</v>
      </c>
      <c r="H82" s="149" t="s">
        <v>426</v>
      </c>
      <c r="I82" s="149" t="s">
        <v>436</v>
      </c>
      <c r="J82" s="197"/>
      <c r="K82" s="198" t="s">
        <v>53</v>
      </c>
      <c r="L82" s="285" t="s">
        <v>383</v>
      </c>
      <c r="M82" s="286" t="s">
        <v>383</v>
      </c>
      <c r="N82" s="287" t="s">
        <v>383</v>
      </c>
      <c r="O82" s="145">
        <v>43886</v>
      </c>
      <c r="P82" s="145">
        <v>45852</v>
      </c>
      <c r="Q82" s="146">
        <v>46249</v>
      </c>
      <c r="R82" s="145">
        <v>44252</v>
      </c>
      <c r="S82" s="145">
        <v>46217</v>
      </c>
      <c r="T82" s="284">
        <v>46568</v>
      </c>
      <c r="U82" s="366" t="s">
        <v>457</v>
      </c>
    </row>
    <row r="83" spans="1:26" ht="21" customHeight="1">
      <c r="A83" s="149">
        <f t="shared" si="9"/>
        <v>72</v>
      </c>
      <c r="B83" s="194" t="s">
        <v>172</v>
      </c>
      <c r="C83" s="193" t="s">
        <v>458</v>
      </c>
      <c r="D83" s="195">
        <v>45078</v>
      </c>
      <c r="E83" s="206">
        <v>1</v>
      </c>
      <c r="F83" s="207">
        <v>0.97940000000000005</v>
      </c>
      <c r="G83" s="149" t="s">
        <v>459</v>
      </c>
      <c r="H83" s="149" t="s">
        <v>426</v>
      </c>
      <c r="I83" s="149" t="s">
        <v>450</v>
      </c>
      <c r="J83" s="203">
        <v>45901</v>
      </c>
      <c r="K83" s="198" t="s">
        <v>26</v>
      </c>
      <c r="L83" s="288">
        <v>45808</v>
      </c>
      <c r="M83" s="289">
        <v>46022</v>
      </c>
      <c r="N83" s="397">
        <v>46022</v>
      </c>
      <c r="O83" s="289">
        <v>45868</v>
      </c>
      <c r="P83" s="289">
        <v>46082</v>
      </c>
      <c r="Q83" s="290">
        <v>46303</v>
      </c>
      <c r="R83" s="289">
        <v>45930</v>
      </c>
      <c r="S83" s="289">
        <v>46143</v>
      </c>
      <c r="T83" s="291">
        <v>46364</v>
      </c>
      <c r="U83" s="367" t="s">
        <v>460</v>
      </c>
      <c r="Z83" s="26"/>
    </row>
    <row r="84" spans="1:26" ht="21" customHeight="1">
      <c r="A84" s="149">
        <f t="shared" si="9"/>
        <v>73</v>
      </c>
      <c r="B84" s="385" t="s">
        <v>176</v>
      </c>
      <c r="C84" s="193" t="s">
        <v>461</v>
      </c>
      <c r="D84" s="195">
        <v>45133</v>
      </c>
      <c r="E84" s="208">
        <v>1</v>
      </c>
      <c r="F84" s="209">
        <v>0.99980000000000002</v>
      </c>
      <c r="G84" s="149" t="s">
        <v>301</v>
      </c>
      <c r="H84" s="149" t="s">
        <v>426</v>
      </c>
      <c r="I84" s="149" t="s">
        <v>433</v>
      </c>
      <c r="J84" s="197"/>
      <c r="K84" s="198" t="s">
        <v>26</v>
      </c>
      <c r="L84" s="282">
        <v>45622</v>
      </c>
      <c r="M84" s="145">
        <v>45930</v>
      </c>
      <c r="N84" s="379">
        <v>46163</v>
      </c>
      <c r="O84" s="145">
        <v>45683</v>
      </c>
      <c r="P84" s="145">
        <v>45991</v>
      </c>
      <c r="Q84" s="381">
        <v>46233</v>
      </c>
      <c r="R84" s="145">
        <v>45773</v>
      </c>
      <c r="S84" s="145">
        <v>46081</v>
      </c>
      <c r="T84" s="284">
        <v>46295</v>
      </c>
      <c r="U84" s="368" t="s">
        <v>462</v>
      </c>
      <c r="Z84" s="26"/>
    </row>
    <row r="85" spans="1:26" ht="21" customHeight="1">
      <c r="A85" s="149">
        <f t="shared" si="9"/>
        <v>74</v>
      </c>
      <c r="B85" s="385" t="s">
        <v>177</v>
      </c>
      <c r="C85" s="193" t="s">
        <v>463</v>
      </c>
      <c r="D85" s="195">
        <v>45131</v>
      </c>
      <c r="E85" s="208">
        <v>1</v>
      </c>
      <c r="F85" s="209">
        <v>0.99250000000000005</v>
      </c>
      <c r="G85" s="149" t="s">
        <v>301</v>
      </c>
      <c r="H85" s="149" t="s">
        <v>426</v>
      </c>
      <c r="I85" s="149" t="s">
        <v>433</v>
      </c>
      <c r="J85" s="197"/>
      <c r="K85" s="198" t="s">
        <v>33</v>
      </c>
      <c r="L85" s="282">
        <v>45620</v>
      </c>
      <c r="M85" s="145">
        <v>45620</v>
      </c>
      <c r="N85" s="283">
        <v>46265</v>
      </c>
      <c r="O85" s="145">
        <v>45682</v>
      </c>
      <c r="P85" s="145">
        <v>45682</v>
      </c>
      <c r="Q85" s="146">
        <v>46326</v>
      </c>
      <c r="R85" s="145">
        <v>45771</v>
      </c>
      <c r="S85" s="145">
        <v>45771</v>
      </c>
      <c r="T85" s="284">
        <v>46417</v>
      </c>
      <c r="U85" s="368" t="s">
        <v>464</v>
      </c>
      <c r="Z85" s="26"/>
    </row>
    <row r="86" spans="1:26" ht="21" customHeight="1">
      <c r="A86" s="149">
        <f>A85+1</f>
        <v>75</v>
      </c>
      <c r="B86" s="194" t="s">
        <v>186</v>
      </c>
      <c r="C86" s="193" t="s">
        <v>465</v>
      </c>
      <c r="D86" s="195">
        <v>45386</v>
      </c>
      <c r="E86" s="208">
        <v>1</v>
      </c>
      <c r="F86" s="209">
        <v>0.95899999999999996</v>
      </c>
      <c r="G86" s="149" t="s">
        <v>301</v>
      </c>
      <c r="H86" s="149" t="s">
        <v>426</v>
      </c>
      <c r="I86" s="149" t="s">
        <v>439</v>
      </c>
      <c r="J86" s="197"/>
      <c r="K86" s="198" t="s">
        <v>53</v>
      </c>
      <c r="L86" s="282">
        <v>45934</v>
      </c>
      <c r="M86" s="145">
        <v>45934</v>
      </c>
      <c r="N86" s="379">
        <v>46037</v>
      </c>
      <c r="O86" s="145">
        <v>45995</v>
      </c>
      <c r="P86" s="145">
        <v>45995</v>
      </c>
      <c r="Q86" s="381">
        <v>46093</v>
      </c>
      <c r="R86" s="145">
        <v>46085</v>
      </c>
      <c r="S86" s="145">
        <v>46085</v>
      </c>
      <c r="T86" s="284">
        <v>46264</v>
      </c>
      <c r="U86" s="368" t="s">
        <v>466</v>
      </c>
      <c r="Z86" s="26"/>
    </row>
    <row r="87" spans="1:26" ht="21" customHeight="1">
      <c r="A87" s="149">
        <f>A86+1</f>
        <v>76</v>
      </c>
      <c r="B87" s="194" t="s">
        <v>169</v>
      </c>
      <c r="C87" s="193" t="s">
        <v>467</v>
      </c>
      <c r="D87" s="195">
        <v>45014</v>
      </c>
      <c r="E87" s="208">
        <v>1</v>
      </c>
      <c r="F87" s="209">
        <v>0.99</v>
      </c>
      <c r="G87" s="149" t="s">
        <v>301</v>
      </c>
      <c r="H87" s="149" t="s">
        <v>426</v>
      </c>
      <c r="I87" s="149" t="s">
        <v>436</v>
      </c>
      <c r="J87" s="197"/>
      <c r="K87" s="198" t="s">
        <v>53</v>
      </c>
      <c r="L87" s="282">
        <v>45745</v>
      </c>
      <c r="M87" s="145">
        <v>45961</v>
      </c>
      <c r="N87" s="379">
        <v>46028</v>
      </c>
      <c r="O87" s="145">
        <v>45806</v>
      </c>
      <c r="P87" s="145">
        <v>46021</v>
      </c>
      <c r="Q87" s="381">
        <v>46150</v>
      </c>
      <c r="R87" s="145">
        <v>45897</v>
      </c>
      <c r="S87" s="145">
        <v>46081</v>
      </c>
      <c r="T87" s="284">
        <v>46264</v>
      </c>
      <c r="U87" s="368" t="s">
        <v>468</v>
      </c>
    </row>
    <row r="88" spans="1:26" ht="21" customHeight="1">
      <c r="A88" s="149">
        <f>A87+1</f>
        <v>77</v>
      </c>
      <c r="B88" s="385" t="s">
        <v>168</v>
      </c>
      <c r="C88" s="193" t="s">
        <v>469</v>
      </c>
      <c r="D88" s="195">
        <v>44812</v>
      </c>
      <c r="E88" s="206">
        <v>1</v>
      </c>
      <c r="F88" s="207">
        <v>0.88949999999999996</v>
      </c>
      <c r="G88" s="149" t="s">
        <v>76</v>
      </c>
      <c r="H88" s="149" t="s">
        <v>426</v>
      </c>
      <c r="I88" s="149" t="s">
        <v>450</v>
      </c>
      <c r="J88" s="197"/>
      <c r="K88" s="198" t="s">
        <v>33</v>
      </c>
      <c r="L88" s="288">
        <v>45238</v>
      </c>
      <c r="M88" s="289">
        <v>45695</v>
      </c>
      <c r="N88" s="292">
        <v>46264</v>
      </c>
      <c r="O88" s="289">
        <v>45299</v>
      </c>
      <c r="P88" s="289">
        <v>45754</v>
      </c>
      <c r="Q88" s="290">
        <v>46325</v>
      </c>
      <c r="R88" s="289">
        <v>45390</v>
      </c>
      <c r="S88" s="289">
        <v>45845</v>
      </c>
      <c r="T88" s="291">
        <v>46417</v>
      </c>
      <c r="U88" s="367" t="s">
        <v>470</v>
      </c>
    </row>
    <row r="89" spans="1:26" s="170" customFormat="1" ht="21" customHeight="1">
      <c r="A89" s="443">
        <f>A88+1</f>
        <v>78</v>
      </c>
      <c r="B89" s="434" t="s">
        <v>170</v>
      </c>
      <c r="C89" s="234" t="s">
        <v>471</v>
      </c>
      <c r="D89" s="235">
        <v>45060</v>
      </c>
      <c r="E89" s="236">
        <v>1</v>
      </c>
      <c r="F89" s="237">
        <v>0.92300000000000004</v>
      </c>
      <c r="G89" s="238" t="s">
        <v>76</v>
      </c>
      <c r="H89" s="238" t="s">
        <v>426</v>
      </c>
      <c r="I89" s="238" t="s">
        <v>436</v>
      </c>
      <c r="J89" s="203">
        <v>45690</v>
      </c>
      <c r="K89" s="239" t="s">
        <v>33</v>
      </c>
      <c r="L89" s="293">
        <v>45671</v>
      </c>
      <c r="M89" s="294">
        <v>45991</v>
      </c>
      <c r="N89" s="295">
        <v>46325</v>
      </c>
      <c r="O89" s="294">
        <v>45730</v>
      </c>
      <c r="P89" s="294">
        <v>46052</v>
      </c>
      <c r="Q89" s="296">
        <v>46386</v>
      </c>
      <c r="R89" s="294">
        <v>45822</v>
      </c>
      <c r="S89" s="294">
        <v>46111</v>
      </c>
      <c r="T89" s="297">
        <v>46446</v>
      </c>
      <c r="U89" s="369" t="s">
        <v>472</v>
      </c>
      <c r="Z89" s="171"/>
    </row>
    <row r="90" spans="1:26" s="170" customFormat="1" ht="21" customHeight="1">
      <c r="A90" s="443">
        <f t="shared" si="9"/>
        <v>79</v>
      </c>
      <c r="B90" s="434" t="s">
        <v>171</v>
      </c>
      <c r="C90" s="307" t="s">
        <v>473</v>
      </c>
      <c r="D90" s="235">
        <v>45060</v>
      </c>
      <c r="E90" s="236">
        <v>1</v>
      </c>
      <c r="F90" s="237">
        <v>0.86629999999999996</v>
      </c>
      <c r="G90" s="238" t="s">
        <v>301</v>
      </c>
      <c r="H90" s="238" t="s">
        <v>426</v>
      </c>
      <c r="I90" s="238" t="s">
        <v>436</v>
      </c>
      <c r="J90" s="203">
        <v>45944</v>
      </c>
      <c r="K90" s="239" t="s">
        <v>33</v>
      </c>
      <c r="L90" s="293">
        <v>45671</v>
      </c>
      <c r="M90" s="294">
        <v>45944</v>
      </c>
      <c r="N90" s="295">
        <v>46356</v>
      </c>
      <c r="O90" s="294">
        <v>45731</v>
      </c>
      <c r="P90" s="294">
        <v>46005</v>
      </c>
      <c r="Q90" s="296">
        <v>46417</v>
      </c>
      <c r="R90" s="294">
        <v>45822</v>
      </c>
      <c r="S90" s="294">
        <v>46067</v>
      </c>
      <c r="T90" s="297">
        <v>46476</v>
      </c>
      <c r="U90" s="369" t="s">
        <v>474</v>
      </c>
      <c r="Z90" s="171"/>
    </row>
    <row r="91" spans="1:26" ht="21" customHeight="1">
      <c r="A91" s="443">
        <f t="shared" si="9"/>
        <v>80</v>
      </c>
      <c r="B91" s="434" t="s">
        <v>174</v>
      </c>
      <c r="C91" s="20" t="s">
        <v>475</v>
      </c>
      <c r="D91" s="195">
        <v>45498</v>
      </c>
      <c r="E91" s="206">
        <v>0.98309999999999997</v>
      </c>
      <c r="F91" s="207">
        <v>0.90210000000000001</v>
      </c>
      <c r="G91" s="149" t="s">
        <v>76</v>
      </c>
      <c r="H91" s="149" t="s">
        <v>426</v>
      </c>
      <c r="I91" s="149" t="s">
        <v>439</v>
      </c>
      <c r="J91" s="197"/>
      <c r="K91" s="198" t="s">
        <v>53</v>
      </c>
      <c r="L91" s="282">
        <v>46228</v>
      </c>
      <c r="M91" s="145">
        <v>46228</v>
      </c>
      <c r="N91" s="283">
        <v>46387</v>
      </c>
      <c r="O91" s="145">
        <v>46290</v>
      </c>
      <c r="P91" s="145">
        <v>46290</v>
      </c>
      <c r="Q91" s="146">
        <v>46437</v>
      </c>
      <c r="R91" s="145">
        <v>46654</v>
      </c>
      <c r="S91" s="145">
        <v>46654</v>
      </c>
      <c r="T91" s="284">
        <v>46801</v>
      </c>
      <c r="U91" s="368" t="s">
        <v>476</v>
      </c>
      <c r="Z91" s="26"/>
    </row>
    <row r="92" spans="1:26" s="167" customFormat="1" ht="21" customHeight="1">
      <c r="A92" s="149">
        <f t="shared" si="9"/>
        <v>81</v>
      </c>
      <c r="B92" s="385" t="s">
        <v>175</v>
      </c>
      <c r="C92" s="20" t="s">
        <v>477</v>
      </c>
      <c r="D92" s="195">
        <v>45139</v>
      </c>
      <c r="E92" s="206">
        <v>0.93379999999999996</v>
      </c>
      <c r="F92" s="207">
        <v>0.95079999999999998</v>
      </c>
      <c r="G92" s="149" t="s">
        <v>478</v>
      </c>
      <c r="H92" s="149" t="s">
        <v>426</v>
      </c>
      <c r="I92" s="149" t="s">
        <v>479</v>
      </c>
      <c r="J92" s="197"/>
      <c r="K92" s="198" t="s">
        <v>53</v>
      </c>
      <c r="L92" s="288">
        <v>46357</v>
      </c>
      <c r="M92" s="289">
        <v>46357</v>
      </c>
      <c r="N92" s="292">
        <v>46357</v>
      </c>
      <c r="O92" s="289">
        <v>46539</v>
      </c>
      <c r="P92" s="289">
        <v>46539</v>
      </c>
      <c r="Q92" s="289">
        <v>46539</v>
      </c>
      <c r="R92" s="289">
        <v>46600</v>
      </c>
      <c r="S92" s="289">
        <v>46600</v>
      </c>
      <c r="T92" s="289">
        <v>46600</v>
      </c>
      <c r="U92" s="370" t="s">
        <v>480</v>
      </c>
      <c r="Z92" s="417"/>
    </row>
    <row r="93" spans="1:26" ht="21" customHeight="1">
      <c r="A93" s="149">
        <f t="shared" si="9"/>
        <v>82</v>
      </c>
      <c r="B93" s="385" t="s">
        <v>178</v>
      </c>
      <c r="C93" s="193" t="s">
        <v>481</v>
      </c>
      <c r="D93" s="195">
        <v>45231</v>
      </c>
      <c r="E93" s="208">
        <v>1</v>
      </c>
      <c r="F93" s="240">
        <v>0.83989999999999998</v>
      </c>
      <c r="G93" s="149" t="s">
        <v>301</v>
      </c>
      <c r="H93" s="149" t="s">
        <v>426</v>
      </c>
      <c r="I93" s="149" t="s">
        <v>439</v>
      </c>
      <c r="J93" s="197"/>
      <c r="K93" s="198" t="s">
        <v>53</v>
      </c>
      <c r="L93" s="282">
        <v>46054</v>
      </c>
      <c r="M93" s="145">
        <v>46054</v>
      </c>
      <c r="N93" s="379">
        <v>46054</v>
      </c>
      <c r="O93" s="145">
        <v>46113</v>
      </c>
      <c r="P93" s="145">
        <v>46113</v>
      </c>
      <c r="Q93" s="146">
        <v>46335</v>
      </c>
      <c r="R93" s="145">
        <v>46174</v>
      </c>
      <c r="S93" s="145">
        <v>46174</v>
      </c>
      <c r="T93" s="284">
        <v>46392</v>
      </c>
      <c r="U93" s="368" t="s">
        <v>482</v>
      </c>
      <c r="Z93" s="26"/>
    </row>
    <row r="94" spans="1:26" ht="21" customHeight="1">
      <c r="A94" s="149">
        <f t="shared" si="9"/>
        <v>83</v>
      </c>
      <c r="B94" s="385" t="s">
        <v>179</v>
      </c>
      <c r="C94" s="20" t="s">
        <v>483</v>
      </c>
      <c r="D94" s="195">
        <v>45299</v>
      </c>
      <c r="E94" s="208">
        <v>1</v>
      </c>
      <c r="F94" s="209">
        <v>0.9052</v>
      </c>
      <c r="G94" s="149" t="s">
        <v>301</v>
      </c>
      <c r="H94" s="149" t="s">
        <v>426</v>
      </c>
      <c r="I94" s="149" t="s">
        <v>450</v>
      </c>
      <c r="J94" s="197"/>
      <c r="K94" s="198" t="s">
        <v>53</v>
      </c>
      <c r="L94" s="282">
        <v>46120</v>
      </c>
      <c r="M94" s="145">
        <v>46120</v>
      </c>
      <c r="N94" s="379">
        <v>46120</v>
      </c>
      <c r="O94" s="145">
        <v>46181</v>
      </c>
      <c r="P94" s="145">
        <v>46181</v>
      </c>
      <c r="Q94" s="146">
        <v>46267</v>
      </c>
      <c r="R94" s="145">
        <v>46242</v>
      </c>
      <c r="S94" s="145">
        <v>46242</v>
      </c>
      <c r="T94" s="284">
        <v>46329</v>
      </c>
      <c r="U94" s="368" t="s">
        <v>484</v>
      </c>
      <c r="Z94" s="26"/>
    </row>
    <row r="95" spans="1:26" ht="21" customHeight="1">
      <c r="A95" s="149">
        <f t="shared" si="9"/>
        <v>84</v>
      </c>
      <c r="B95" s="194" t="s">
        <v>180</v>
      </c>
      <c r="C95" s="20" t="s">
        <v>485</v>
      </c>
      <c r="D95" s="195">
        <v>45551</v>
      </c>
      <c r="E95" s="208">
        <v>1</v>
      </c>
      <c r="F95" s="209">
        <v>0.98499999999999999</v>
      </c>
      <c r="G95" s="149" t="s">
        <v>301</v>
      </c>
      <c r="H95" s="149" t="s">
        <v>426</v>
      </c>
      <c r="I95" s="149" t="s">
        <v>486</v>
      </c>
      <c r="J95" s="197"/>
      <c r="K95" s="198" t="s">
        <v>33</v>
      </c>
      <c r="L95" s="282">
        <v>45946</v>
      </c>
      <c r="M95" s="145">
        <v>45946</v>
      </c>
      <c r="N95" s="283">
        <v>46264</v>
      </c>
      <c r="O95" s="145">
        <v>46007</v>
      </c>
      <c r="P95" s="145">
        <v>46007</v>
      </c>
      <c r="Q95" s="146">
        <v>46295</v>
      </c>
      <c r="R95" s="145">
        <v>46097</v>
      </c>
      <c r="S95" s="145">
        <v>46097</v>
      </c>
      <c r="T95" s="284">
        <v>46385</v>
      </c>
      <c r="U95" s="368" t="s">
        <v>487</v>
      </c>
      <c r="Z95" s="26"/>
    </row>
    <row r="96" spans="1:26" ht="36">
      <c r="A96" s="149">
        <f t="shared" si="9"/>
        <v>85</v>
      </c>
      <c r="B96" s="194" t="s">
        <v>181</v>
      </c>
      <c r="C96" s="20" t="s">
        <v>488</v>
      </c>
      <c r="D96" s="195">
        <v>45532</v>
      </c>
      <c r="E96" s="208">
        <v>0.93</v>
      </c>
      <c r="F96" s="209">
        <v>0.9</v>
      </c>
      <c r="G96" s="149" t="s">
        <v>459</v>
      </c>
      <c r="H96" s="149" t="s">
        <v>426</v>
      </c>
      <c r="I96" s="149" t="s">
        <v>450</v>
      </c>
      <c r="J96" s="203">
        <v>46036</v>
      </c>
      <c r="K96" s="198" t="s">
        <v>26</v>
      </c>
      <c r="L96" s="288">
        <v>46139</v>
      </c>
      <c r="M96" s="289">
        <v>46323</v>
      </c>
      <c r="N96" s="292">
        <v>46323</v>
      </c>
      <c r="O96" s="289">
        <v>46200</v>
      </c>
      <c r="P96" s="289">
        <v>46353</v>
      </c>
      <c r="Q96" s="290">
        <v>46353</v>
      </c>
      <c r="R96" s="289">
        <v>46261</v>
      </c>
      <c r="S96" s="289">
        <v>46383</v>
      </c>
      <c r="T96" s="291">
        <v>46383</v>
      </c>
      <c r="U96" s="367" t="s">
        <v>489</v>
      </c>
      <c r="Z96" s="26"/>
    </row>
    <row r="97" spans="1:26" ht="21" customHeight="1">
      <c r="A97" s="149">
        <f t="shared" si="9"/>
        <v>86</v>
      </c>
      <c r="B97" s="385" t="s">
        <v>182</v>
      </c>
      <c r="C97" s="20" t="s">
        <v>490</v>
      </c>
      <c r="D97" s="195">
        <v>45321</v>
      </c>
      <c r="E97" s="208">
        <v>0.98060000000000003</v>
      </c>
      <c r="F97" s="209">
        <v>0.98309999999999997</v>
      </c>
      <c r="G97" s="149" t="s">
        <v>491</v>
      </c>
      <c r="H97" s="149" t="s">
        <v>426</v>
      </c>
      <c r="I97" s="149" t="s">
        <v>427</v>
      </c>
      <c r="J97" s="197"/>
      <c r="K97" s="198" t="s">
        <v>53</v>
      </c>
      <c r="L97" s="288" t="s">
        <v>383</v>
      </c>
      <c r="M97" s="289" t="s">
        <v>383</v>
      </c>
      <c r="N97" s="292" t="s">
        <v>383</v>
      </c>
      <c r="O97" s="145">
        <v>46248</v>
      </c>
      <c r="P97" s="145">
        <v>46248</v>
      </c>
      <c r="Q97" s="145">
        <v>46238</v>
      </c>
      <c r="R97" s="145">
        <v>46613</v>
      </c>
      <c r="S97" s="145">
        <v>46613</v>
      </c>
      <c r="T97" s="145">
        <v>46603</v>
      </c>
      <c r="U97" s="368" t="s">
        <v>492</v>
      </c>
      <c r="Z97" s="26"/>
    </row>
    <row r="98" spans="1:26" ht="21" customHeight="1">
      <c r="A98" s="149">
        <f t="shared" si="9"/>
        <v>87</v>
      </c>
      <c r="B98" s="385" t="s">
        <v>183</v>
      </c>
      <c r="C98" s="20" t="s">
        <v>493</v>
      </c>
      <c r="D98" s="195">
        <v>46153</v>
      </c>
      <c r="E98" s="208">
        <v>0.1002</v>
      </c>
      <c r="F98" s="209">
        <v>0.1933</v>
      </c>
      <c r="G98" s="149" t="s">
        <v>301</v>
      </c>
      <c r="H98" s="149" t="s">
        <v>426</v>
      </c>
      <c r="I98" s="149" t="s">
        <v>439</v>
      </c>
      <c r="J98" s="419"/>
      <c r="K98" s="198" t="s">
        <v>53</v>
      </c>
      <c r="L98" s="288">
        <v>46701</v>
      </c>
      <c r="M98" s="289">
        <v>46701</v>
      </c>
      <c r="N98" s="292">
        <v>46701</v>
      </c>
      <c r="O98" s="289">
        <v>46763</v>
      </c>
      <c r="P98" s="289">
        <v>46763</v>
      </c>
      <c r="Q98" s="290">
        <v>46763</v>
      </c>
      <c r="R98" s="289">
        <v>46854</v>
      </c>
      <c r="S98" s="289">
        <v>46854</v>
      </c>
      <c r="T98" s="291">
        <v>46854</v>
      </c>
      <c r="U98" s="367" t="s">
        <v>494</v>
      </c>
      <c r="Z98" s="26"/>
    </row>
    <row r="99" spans="1:26" ht="21" customHeight="1">
      <c r="A99" s="149">
        <f t="shared" si="9"/>
        <v>88</v>
      </c>
      <c r="B99" s="385" t="s">
        <v>184</v>
      </c>
      <c r="C99" s="20" t="s">
        <v>495</v>
      </c>
      <c r="D99" s="195">
        <v>45299</v>
      </c>
      <c r="E99" s="208">
        <v>0.98640000000000005</v>
      </c>
      <c r="F99" s="209">
        <v>0.96150000000000002</v>
      </c>
      <c r="G99" s="149" t="s">
        <v>301</v>
      </c>
      <c r="H99" s="149" t="s">
        <v>426</v>
      </c>
      <c r="I99" s="197" t="s">
        <v>496</v>
      </c>
      <c r="J99" s="423">
        <v>46096</v>
      </c>
      <c r="K99" s="205" t="s">
        <v>26</v>
      </c>
      <c r="L99" s="282">
        <v>46030</v>
      </c>
      <c r="M99" s="145">
        <v>46203</v>
      </c>
      <c r="N99" s="383">
        <v>46203</v>
      </c>
      <c r="O99" s="145">
        <v>46089</v>
      </c>
      <c r="P99" s="145">
        <v>46264</v>
      </c>
      <c r="Q99" s="145">
        <v>46264</v>
      </c>
      <c r="R99" s="145">
        <v>46181</v>
      </c>
      <c r="S99" s="145">
        <v>46356</v>
      </c>
      <c r="T99" s="145">
        <v>46356</v>
      </c>
      <c r="U99" s="368" t="s">
        <v>497</v>
      </c>
      <c r="Z99" s="26"/>
    </row>
    <row r="100" spans="1:26" ht="21" customHeight="1">
      <c r="A100" s="149">
        <f t="shared" si="9"/>
        <v>89</v>
      </c>
      <c r="B100" s="385" t="s">
        <v>185</v>
      </c>
      <c r="C100" s="20" t="s">
        <v>498</v>
      </c>
      <c r="D100" s="195">
        <v>45305</v>
      </c>
      <c r="E100" s="209">
        <v>0.92230000000000001</v>
      </c>
      <c r="F100" s="209">
        <v>0.91979999999999995</v>
      </c>
      <c r="G100" s="149" t="s">
        <v>301</v>
      </c>
      <c r="H100" s="149" t="s">
        <v>426</v>
      </c>
      <c r="I100" s="149" t="s">
        <v>499</v>
      </c>
      <c r="J100" s="422">
        <v>46127</v>
      </c>
      <c r="K100" s="198" t="s">
        <v>26</v>
      </c>
      <c r="L100" s="282">
        <v>46036</v>
      </c>
      <c r="M100" s="145">
        <v>46356</v>
      </c>
      <c r="N100" s="283">
        <v>46356</v>
      </c>
      <c r="O100" s="145">
        <v>46095</v>
      </c>
      <c r="P100" s="145">
        <v>46417</v>
      </c>
      <c r="Q100" s="146">
        <v>46417</v>
      </c>
      <c r="R100" s="145">
        <v>46187</v>
      </c>
      <c r="S100" s="145">
        <v>46507</v>
      </c>
      <c r="T100" s="284">
        <v>46507</v>
      </c>
      <c r="U100" s="368" t="s">
        <v>500</v>
      </c>
      <c r="Z100" s="26"/>
    </row>
    <row r="101" spans="1:26" ht="21" customHeight="1">
      <c r="A101" s="149">
        <f t="shared" si="9"/>
        <v>90</v>
      </c>
      <c r="B101" s="385" t="s">
        <v>187</v>
      </c>
      <c r="C101" s="20" t="s">
        <v>501</v>
      </c>
      <c r="D101" s="195">
        <v>45470</v>
      </c>
      <c r="E101" s="208">
        <v>0.97170000000000001</v>
      </c>
      <c r="F101" s="209">
        <v>0.94340000000000002</v>
      </c>
      <c r="G101" s="149" t="s">
        <v>301</v>
      </c>
      <c r="H101" s="149" t="s">
        <v>426</v>
      </c>
      <c r="I101" s="149" t="s">
        <v>439</v>
      </c>
      <c r="J101" s="197"/>
      <c r="K101" s="198" t="s">
        <v>53</v>
      </c>
      <c r="L101" s="282">
        <v>46387</v>
      </c>
      <c r="M101" s="145">
        <v>46387</v>
      </c>
      <c r="N101" s="283">
        <v>46408</v>
      </c>
      <c r="O101" s="145">
        <v>46446</v>
      </c>
      <c r="P101" s="145">
        <v>46446</v>
      </c>
      <c r="Q101" s="145">
        <v>46468</v>
      </c>
      <c r="R101" s="145">
        <v>46538</v>
      </c>
      <c r="S101" s="145">
        <v>46538</v>
      </c>
      <c r="T101" s="284">
        <v>46559</v>
      </c>
      <c r="U101" s="368" t="s">
        <v>502</v>
      </c>
      <c r="Z101" s="26"/>
    </row>
    <row r="102" spans="1:26" s="168" customFormat="1" ht="108">
      <c r="A102" s="149">
        <f t="shared" si="9"/>
        <v>91</v>
      </c>
      <c r="B102" s="194" t="s">
        <v>189</v>
      </c>
      <c r="C102" s="20" t="s">
        <v>503</v>
      </c>
      <c r="D102" s="195">
        <v>45526</v>
      </c>
      <c r="E102" s="206">
        <v>0.96299999999999997</v>
      </c>
      <c r="F102" s="207">
        <v>0.82</v>
      </c>
      <c r="G102" s="149" t="s">
        <v>301</v>
      </c>
      <c r="H102" s="149" t="s">
        <v>426</v>
      </c>
      <c r="I102" s="149" t="s">
        <v>439</v>
      </c>
      <c r="J102" s="197"/>
      <c r="K102" s="198" t="s">
        <v>26</v>
      </c>
      <c r="L102" s="288">
        <v>46256</v>
      </c>
      <c r="M102" s="289">
        <v>46387</v>
      </c>
      <c r="N102" s="394">
        <v>46440</v>
      </c>
      <c r="O102" s="289">
        <v>46317</v>
      </c>
      <c r="P102" s="289">
        <f>+EDATE(M102,2)</f>
        <v>46446</v>
      </c>
      <c r="Q102" s="395">
        <v>46499</v>
      </c>
      <c r="R102" s="289">
        <v>46409</v>
      </c>
      <c r="S102" s="289">
        <f>+EDATE(P102,3)</f>
        <v>46535</v>
      </c>
      <c r="T102" s="396">
        <v>46590</v>
      </c>
      <c r="U102" s="367" t="s">
        <v>504</v>
      </c>
      <c r="Z102" s="169"/>
    </row>
    <row r="103" spans="1:26" s="168" customFormat="1" ht="54">
      <c r="A103" s="149">
        <f t="shared" si="9"/>
        <v>92</v>
      </c>
      <c r="B103" s="385" t="s">
        <v>190</v>
      </c>
      <c r="C103" s="20" t="s">
        <v>505</v>
      </c>
      <c r="D103" s="195">
        <v>45601</v>
      </c>
      <c r="E103" s="206">
        <v>0.995</v>
      </c>
      <c r="F103" s="207">
        <v>0.94930000000000003</v>
      </c>
      <c r="G103" s="149" t="s">
        <v>301</v>
      </c>
      <c r="H103" s="149" t="s">
        <v>426</v>
      </c>
      <c r="I103" s="149" t="s">
        <v>427</v>
      </c>
      <c r="J103" s="197"/>
      <c r="K103" s="244" t="s">
        <v>53</v>
      </c>
      <c r="L103" s="288">
        <v>46117</v>
      </c>
      <c r="M103" s="289">
        <v>46178</v>
      </c>
      <c r="N103" s="436">
        <v>46236</v>
      </c>
      <c r="O103" s="289">
        <v>46178</v>
      </c>
      <c r="P103" s="289">
        <v>46239</v>
      </c>
      <c r="Q103" s="289">
        <v>46326</v>
      </c>
      <c r="R103" s="289">
        <v>46270</v>
      </c>
      <c r="S103" s="289">
        <v>46331</v>
      </c>
      <c r="T103" s="289">
        <v>46418</v>
      </c>
      <c r="U103" s="367" t="s">
        <v>506</v>
      </c>
      <c r="Z103" s="169"/>
    </row>
    <row r="104" spans="1:26" s="168" customFormat="1" ht="65.25" customHeight="1">
      <c r="A104" s="149">
        <f t="shared" si="9"/>
        <v>93</v>
      </c>
      <c r="B104" s="441" t="s">
        <v>191</v>
      </c>
      <c r="C104" s="242" t="s">
        <v>507</v>
      </c>
      <c r="D104" s="195">
        <v>45601</v>
      </c>
      <c r="E104" s="243">
        <v>1</v>
      </c>
      <c r="F104" s="207">
        <v>0.74550000000000005</v>
      </c>
      <c r="G104" s="149" t="s">
        <v>301</v>
      </c>
      <c r="H104" s="149" t="s">
        <v>426</v>
      </c>
      <c r="I104" s="149" t="s">
        <v>450</v>
      </c>
      <c r="J104" s="424"/>
      <c r="K104" s="244" t="s">
        <v>33</v>
      </c>
      <c r="L104" s="288">
        <v>46086</v>
      </c>
      <c r="M104" s="289">
        <v>46086</v>
      </c>
      <c r="N104" s="292">
        <v>46352</v>
      </c>
      <c r="O104" s="289">
        <v>46147</v>
      </c>
      <c r="P104" s="289">
        <v>46147</v>
      </c>
      <c r="Q104" s="290">
        <v>46413</v>
      </c>
      <c r="R104" s="289">
        <v>46239</v>
      </c>
      <c r="S104" s="289">
        <v>46239</v>
      </c>
      <c r="T104" s="291">
        <v>46507</v>
      </c>
      <c r="U104" s="367" t="s">
        <v>508</v>
      </c>
      <c r="Z104" s="169"/>
    </row>
    <row r="105" spans="1:26" s="168" customFormat="1" ht="90.75" customHeight="1">
      <c r="A105" s="149">
        <f t="shared" si="9"/>
        <v>94</v>
      </c>
      <c r="B105" s="385" t="s">
        <v>192</v>
      </c>
      <c r="C105" s="193" t="s">
        <v>509</v>
      </c>
      <c r="D105" s="195">
        <v>45648</v>
      </c>
      <c r="E105" s="206">
        <v>0.99829999999999997</v>
      </c>
      <c r="F105" s="207">
        <v>0.69359999999999999</v>
      </c>
      <c r="G105" s="149" t="s">
        <v>301</v>
      </c>
      <c r="H105" s="149" t="s">
        <v>426</v>
      </c>
      <c r="I105" s="197" t="s">
        <v>433</v>
      </c>
      <c r="J105" s="210"/>
      <c r="K105" s="205" t="s">
        <v>33</v>
      </c>
      <c r="L105" s="288">
        <v>46164</v>
      </c>
      <c r="M105" s="289">
        <v>46164</v>
      </c>
      <c r="N105" s="292">
        <v>46387</v>
      </c>
      <c r="O105" s="289">
        <v>46225</v>
      </c>
      <c r="P105" s="289">
        <v>46225</v>
      </c>
      <c r="Q105" s="290">
        <v>46446</v>
      </c>
      <c r="R105" s="289">
        <v>46317</v>
      </c>
      <c r="S105" s="289">
        <v>46317</v>
      </c>
      <c r="T105" s="291">
        <v>46538</v>
      </c>
      <c r="U105" s="367" t="s">
        <v>510</v>
      </c>
      <c r="Z105" s="169"/>
    </row>
    <row r="106" spans="1:26" ht="21" customHeight="1">
      <c r="A106" s="149">
        <f t="shared" si="9"/>
        <v>95</v>
      </c>
      <c r="B106" s="385" t="s">
        <v>193</v>
      </c>
      <c r="C106" s="193" t="s">
        <v>511</v>
      </c>
      <c r="D106" s="195">
        <v>45642</v>
      </c>
      <c r="E106" s="208">
        <v>1</v>
      </c>
      <c r="F106" s="209">
        <v>0.98670000000000002</v>
      </c>
      <c r="G106" s="149" t="s">
        <v>301</v>
      </c>
      <c r="H106" s="149" t="s">
        <v>426</v>
      </c>
      <c r="I106" s="149" t="s">
        <v>512</v>
      </c>
      <c r="J106" s="420"/>
      <c r="K106" s="198" t="s">
        <v>53</v>
      </c>
      <c r="L106" s="282">
        <v>46158</v>
      </c>
      <c r="M106" s="145">
        <v>46158</v>
      </c>
      <c r="N106" s="379">
        <v>46152</v>
      </c>
      <c r="O106" s="145">
        <v>46219</v>
      </c>
      <c r="P106" s="145">
        <v>46219</v>
      </c>
      <c r="Q106" s="146">
        <v>46265</v>
      </c>
      <c r="R106" s="145">
        <v>46311</v>
      </c>
      <c r="S106" s="145">
        <v>46311</v>
      </c>
      <c r="T106" s="284">
        <v>46356</v>
      </c>
      <c r="U106" s="368" t="s">
        <v>513</v>
      </c>
      <c r="Z106" s="26"/>
    </row>
    <row r="107" spans="1:26" ht="21" customHeight="1">
      <c r="A107" s="149">
        <f t="shared" si="9"/>
        <v>96</v>
      </c>
      <c r="B107" s="194" t="s">
        <v>194</v>
      </c>
      <c r="C107" s="193" t="s">
        <v>514</v>
      </c>
      <c r="D107" s="195">
        <v>45726</v>
      </c>
      <c r="E107" s="208">
        <v>0.87060000000000004</v>
      </c>
      <c r="F107" s="209">
        <v>0.70509999999999995</v>
      </c>
      <c r="G107" s="149" t="s">
        <v>301</v>
      </c>
      <c r="H107" s="149" t="s">
        <v>426</v>
      </c>
      <c r="I107" s="149" t="s">
        <v>450</v>
      </c>
      <c r="J107" s="197"/>
      <c r="K107" s="198" t="s">
        <v>33</v>
      </c>
      <c r="L107" s="282">
        <v>46275</v>
      </c>
      <c r="M107" s="145">
        <v>46275</v>
      </c>
      <c r="N107" s="283">
        <v>46336</v>
      </c>
      <c r="O107" s="145">
        <v>46336</v>
      </c>
      <c r="P107" s="145">
        <v>46336</v>
      </c>
      <c r="Q107" s="146">
        <v>46397</v>
      </c>
      <c r="R107" s="145">
        <v>46428</v>
      </c>
      <c r="S107" s="145">
        <v>46428</v>
      </c>
      <c r="T107" s="284">
        <v>46489</v>
      </c>
      <c r="U107" s="373" t="s">
        <v>515</v>
      </c>
    </row>
    <row r="108" spans="1:26" ht="21" customHeight="1">
      <c r="A108" s="149">
        <f t="shared" si="9"/>
        <v>97</v>
      </c>
      <c r="B108" s="194" t="s">
        <v>195</v>
      </c>
      <c r="C108" s="193" t="s">
        <v>516</v>
      </c>
      <c r="D108" s="245">
        <v>45841</v>
      </c>
      <c r="E108" s="206">
        <v>1</v>
      </c>
      <c r="F108" s="207">
        <v>0.75419999999999998</v>
      </c>
      <c r="G108" s="149" t="s">
        <v>301</v>
      </c>
      <c r="H108" s="149" t="s">
        <v>426</v>
      </c>
      <c r="I108" s="149" t="s">
        <v>427</v>
      </c>
      <c r="J108" s="419"/>
      <c r="K108" s="198" t="s">
        <v>53</v>
      </c>
      <c r="L108" s="282">
        <v>46176</v>
      </c>
      <c r="M108" s="145">
        <v>46176</v>
      </c>
      <c r="N108" s="283">
        <v>46273</v>
      </c>
      <c r="O108" s="145">
        <v>46237</v>
      </c>
      <c r="P108" s="145">
        <v>46237</v>
      </c>
      <c r="Q108" s="146">
        <v>46334</v>
      </c>
      <c r="R108" s="145">
        <v>46329</v>
      </c>
      <c r="S108" s="145">
        <v>46329</v>
      </c>
      <c r="T108" s="284">
        <v>46427</v>
      </c>
      <c r="U108" s="370" t="s">
        <v>517</v>
      </c>
    </row>
    <row r="109" spans="1:26" s="168" customFormat="1" ht="35.25" customHeight="1">
      <c r="A109" s="149">
        <f t="shared" si="9"/>
        <v>98</v>
      </c>
      <c r="B109" s="442" t="s">
        <v>196</v>
      </c>
      <c r="C109" s="193" t="s">
        <v>518</v>
      </c>
      <c r="D109" s="388">
        <v>45860</v>
      </c>
      <c r="E109" s="206">
        <v>0.55449999999999999</v>
      </c>
      <c r="F109" s="207">
        <v>0.2641</v>
      </c>
      <c r="G109" s="389" t="s">
        <v>301</v>
      </c>
      <c r="H109" s="390" t="s">
        <v>426</v>
      </c>
      <c r="I109" s="391" t="s">
        <v>436</v>
      </c>
      <c r="J109" s="421"/>
      <c r="K109" s="205" t="s">
        <v>53</v>
      </c>
      <c r="L109" s="392">
        <v>46409</v>
      </c>
      <c r="M109" s="304">
        <v>46409</v>
      </c>
      <c r="N109" s="393">
        <v>46568</v>
      </c>
      <c r="O109" s="304">
        <v>46499</v>
      </c>
      <c r="P109" s="304">
        <v>46499</v>
      </c>
      <c r="Q109" s="304">
        <v>46629</v>
      </c>
      <c r="R109" s="304">
        <v>46560</v>
      </c>
      <c r="S109" s="304">
        <v>46560</v>
      </c>
      <c r="T109" s="304">
        <v>46687</v>
      </c>
      <c r="U109" s="367" t="s">
        <v>519</v>
      </c>
    </row>
    <row r="110" spans="1:26" ht="144">
      <c r="A110" s="149">
        <f t="shared" si="9"/>
        <v>99</v>
      </c>
      <c r="B110" s="442" t="s">
        <v>197</v>
      </c>
      <c r="C110" s="246" t="s">
        <v>520</v>
      </c>
      <c r="D110" s="247">
        <v>45911</v>
      </c>
      <c r="E110" s="248">
        <v>0.35830000000000001</v>
      </c>
      <c r="F110" s="249">
        <v>0.313</v>
      </c>
      <c r="G110" s="149" t="s">
        <v>301</v>
      </c>
      <c r="H110" s="149" t="s">
        <v>426</v>
      </c>
      <c r="I110" s="149" t="s">
        <v>427</v>
      </c>
      <c r="J110" s="420"/>
      <c r="K110" s="198" t="s">
        <v>53</v>
      </c>
      <c r="L110" s="298">
        <v>46457</v>
      </c>
      <c r="M110" s="299">
        <v>46457</v>
      </c>
      <c r="N110" s="300">
        <v>46610</v>
      </c>
      <c r="O110" s="299">
        <v>46549</v>
      </c>
      <c r="P110" s="299">
        <v>46549</v>
      </c>
      <c r="Q110" s="387">
        <v>46702</v>
      </c>
      <c r="R110" s="299">
        <v>46610</v>
      </c>
      <c r="S110" s="386">
        <v>46610</v>
      </c>
      <c r="T110" s="387">
        <v>46763</v>
      </c>
      <c r="U110" s="367" t="s">
        <v>521</v>
      </c>
    </row>
    <row r="111" spans="1:26" s="168" customFormat="1" ht="54">
      <c r="A111" s="149">
        <f t="shared" si="9"/>
        <v>100</v>
      </c>
      <c r="B111" s="442" t="s">
        <v>198</v>
      </c>
      <c r="C111" s="246" t="s">
        <v>522</v>
      </c>
      <c r="D111" s="247">
        <v>45937</v>
      </c>
      <c r="E111" s="248">
        <v>0.3826</v>
      </c>
      <c r="F111" s="249">
        <v>0.2291</v>
      </c>
      <c r="G111" s="149" t="s">
        <v>301</v>
      </c>
      <c r="H111" s="149" t="s">
        <v>426</v>
      </c>
      <c r="I111" s="149" t="s">
        <v>436</v>
      </c>
      <c r="J111" s="197"/>
      <c r="K111" s="198" t="s">
        <v>53</v>
      </c>
      <c r="L111" s="298">
        <v>46484</v>
      </c>
      <c r="M111" s="299">
        <v>46484</v>
      </c>
      <c r="N111" s="300">
        <v>46573</v>
      </c>
      <c r="O111" s="299">
        <v>46545</v>
      </c>
      <c r="P111" s="386">
        <v>46545</v>
      </c>
      <c r="Q111" s="387">
        <v>46635</v>
      </c>
      <c r="R111" s="299">
        <v>46637</v>
      </c>
      <c r="S111" s="299">
        <v>46637</v>
      </c>
      <c r="T111" s="418">
        <v>46726</v>
      </c>
      <c r="U111" s="367" t="s">
        <v>523</v>
      </c>
    </row>
    <row r="112" spans="1:26" s="168" customFormat="1" ht="72">
      <c r="A112" s="149">
        <f t="shared" si="9"/>
        <v>101</v>
      </c>
      <c r="B112" s="442" t="s">
        <v>199</v>
      </c>
      <c r="C112" s="246" t="s">
        <v>524</v>
      </c>
      <c r="D112" s="247">
        <v>45959</v>
      </c>
      <c r="E112" s="248">
        <v>0.20019999999999999</v>
      </c>
      <c r="F112" s="249">
        <v>0.14510000000000001</v>
      </c>
      <c r="G112" s="149" t="s">
        <v>301</v>
      </c>
      <c r="H112" s="149" t="s">
        <v>426</v>
      </c>
      <c r="I112" s="149" t="s">
        <v>496</v>
      </c>
      <c r="J112" s="197"/>
      <c r="K112" s="198" t="s">
        <v>53</v>
      </c>
      <c r="L112" s="298">
        <v>46963</v>
      </c>
      <c r="M112" s="299">
        <v>46963</v>
      </c>
      <c r="N112" s="300">
        <v>46883</v>
      </c>
      <c r="O112" s="299">
        <v>47025</v>
      </c>
      <c r="P112" s="299">
        <v>47025</v>
      </c>
      <c r="Q112" s="290">
        <v>46946</v>
      </c>
      <c r="R112" s="299">
        <v>47116</v>
      </c>
      <c r="S112" s="299">
        <v>47116</v>
      </c>
      <c r="T112" s="291">
        <v>47037</v>
      </c>
      <c r="U112" s="367" t="s">
        <v>525</v>
      </c>
    </row>
    <row r="113" spans="1:28" ht="72">
      <c r="A113" s="149">
        <f t="shared" si="9"/>
        <v>102</v>
      </c>
      <c r="B113" s="435" t="s">
        <v>200</v>
      </c>
      <c r="C113" s="246" t="s">
        <v>526</v>
      </c>
      <c r="D113" s="247">
        <v>45946</v>
      </c>
      <c r="E113" s="248">
        <v>0.67989999999999995</v>
      </c>
      <c r="F113" s="249">
        <v>0.24049999999999999</v>
      </c>
      <c r="G113" s="149" t="s">
        <v>301</v>
      </c>
      <c r="H113" s="149" t="s">
        <v>426</v>
      </c>
      <c r="I113" s="149" t="s">
        <v>436</v>
      </c>
      <c r="J113" s="197"/>
      <c r="K113" s="198" t="s">
        <v>53</v>
      </c>
      <c r="L113" s="298">
        <v>46462</v>
      </c>
      <c r="M113" s="299">
        <v>46462</v>
      </c>
      <c r="N113" s="300">
        <v>46584</v>
      </c>
      <c r="O113" s="302">
        <v>46523</v>
      </c>
      <c r="P113" s="302">
        <v>46523</v>
      </c>
      <c r="Q113" s="146">
        <v>46646</v>
      </c>
      <c r="R113" s="302">
        <v>46615</v>
      </c>
      <c r="S113" s="302">
        <v>46615</v>
      </c>
      <c r="T113" s="284">
        <v>46676</v>
      </c>
      <c r="U113" s="367" t="s">
        <v>527</v>
      </c>
    </row>
    <row r="114" spans="1:28" ht="90">
      <c r="A114" s="149">
        <f t="shared" si="9"/>
        <v>103</v>
      </c>
      <c r="B114" s="442" t="s">
        <v>201</v>
      </c>
      <c r="C114" s="246" t="s">
        <v>528</v>
      </c>
      <c r="D114" s="247">
        <v>45959</v>
      </c>
      <c r="E114" s="248">
        <v>0.2581</v>
      </c>
      <c r="F114" s="249">
        <v>0.25829999999999997</v>
      </c>
      <c r="G114" s="149" t="s">
        <v>301</v>
      </c>
      <c r="H114" s="149" t="s">
        <v>426</v>
      </c>
      <c r="I114" s="149" t="s">
        <v>436</v>
      </c>
      <c r="J114" s="197"/>
      <c r="K114" s="198" t="s">
        <v>53</v>
      </c>
      <c r="L114" s="301">
        <v>46597</v>
      </c>
      <c r="M114" s="302">
        <v>46597</v>
      </c>
      <c r="N114" s="303">
        <v>46597</v>
      </c>
      <c r="O114" s="302">
        <v>46659</v>
      </c>
      <c r="P114" s="302">
        <v>46659</v>
      </c>
      <c r="Q114" s="146">
        <v>46659</v>
      </c>
      <c r="R114" s="302">
        <v>46750</v>
      </c>
      <c r="S114" s="302">
        <v>46750</v>
      </c>
      <c r="T114" s="284">
        <v>46750</v>
      </c>
      <c r="U114" s="368" t="s">
        <v>529</v>
      </c>
    </row>
    <row r="115" spans="1:28" ht="54">
      <c r="A115" s="149">
        <f t="shared" si="9"/>
        <v>104</v>
      </c>
      <c r="B115" s="442" t="s">
        <v>202</v>
      </c>
      <c r="C115" s="246" t="s">
        <v>530</v>
      </c>
      <c r="D115" s="247">
        <v>45959</v>
      </c>
      <c r="E115" s="248">
        <v>0.25850000000000001</v>
      </c>
      <c r="F115" s="249">
        <v>0.255</v>
      </c>
      <c r="G115" s="149" t="s">
        <v>301</v>
      </c>
      <c r="H115" s="149" t="s">
        <v>426</v>
      </c>
      <c r="I115" s="149" t="s">
        <v>436</v>
      </c>
      <c r="J115" s="197"/>
      <c r="K115" s="198" t="s">
        <v>53</v>
      </c>
      <c r="L115" s="301">
        <v>46597</v>
      </c>
      <c r="M115" s="302">
        <v>46597</v>
      </c>
      <c r="N115" s="303">
        <v>46597</v>
      </c>
      <c r="O115" s="302">
        <v>46659</v>
      </c>
      <c r="P115" s="302">
        <v>46659</v>
      </c>
      <c r="Q115" s="146">
        <v>46659</v>
      </c>
      <c r="R115" s="302">
        <v>46750</v>
      </c>
      <c r="S115" s="302">
        <v>46750</v>
      </c>
      <c r="T115" s="284">
        <v>46750</v>
      </c>
      <c r="U115" s="368" t="s">
        <v>531</v>
      </c>
    </row>
    <row r="116" spans="1:28" s="168" customFormat="1" ht="72">
      <c r="A116" s="149">
        <f t="shared" si="9"/>
        <v>105</v>
      </c>
      <c r="B116" s="435" t="s">
        <v>203</v>
      </c>
      <c r="C116" s="246" t="s">
        <v>532</v>
      </c>
      <c r="D116" s="247">
        <v>46037</v>
      </c>
      <c r="E116" s="248">
        <v>0.02</v>
      </c>
      <c r="F116" s="249">
        <v>0.01</v>
      </c>
      <c r="G116" s="149" t="s">
        <v>301</v>
      </c>
      <c r="H116" s="149" t="s">
        <v>426</v>
      </c>
      <c r="I116" s="149" t="s">
        <v>450</v>
      </c>
      <c r="J116" s="197"/>
      <c r="K116" s="198" t="s">
        <v>53</v>
      </c>
      <c r="L116" s="399">
        <v>46583</v>
      </c>
      <c r="M116" s="400">
        <v>46583</v>
      </c>
      <c r="N116" s="401">
        <v>46736</v>
      </c>
      <c r="O116" s="402">
        <v>46645</v>
      </c>
      <c r="P116" s="402">
        <v>46645</v>
      </c>
      <c r="Q116" s="290">
        <v>46798</v>
      </c>
      <c r="R116" s="402">
        <v>46736</v>
      </c>
      <c r="S116" s="402">
        <v>46736</v>
      </c>
      <c r="T116" s="291">
        <v>46889</v>
      </c>
      <c r="U116" s="371" t="s">
        <v>533</v>
      </c>
    </row>
    <row r="117" spans="1:28" ht="54">
      <c r="A117" s="149">
        <f>A116+1</f>
        <v>106</v>
      </c>
      <c r="B117" s="442" t="s">
        <v>204</v>
      </c>
      <c r="C117" s="246" t="s">
        <v>534</v>
      </c>
      <c r="D117" s="247">
        <v>46147</v>
      </c>
      <c r="E117" s="248">
        <v>6.5199999999999994E-2</v>
      </c>
      <c r="F117" s="249">
        <v>6.3399999999999998E-2</v>
      </c>
      <c r="G117" s="149" t="s">
        <v>301</v>
      </c>
      <c r="H117" s="149" t="s">
        <v>426</v>
      </c>
      <c r="I117" s="149" t="s">
        <v>433</v>
      </c>
      <c r="J117" s="250"/>
      <c r="K117" s="427" t="s">
        <v>53</v>
      </c>
      <c r="L117" s="429">
        <v>46878</v>
      </c>
      <c r="M117" s="428">
        <v>46878</v>
      </c>
      <c r="N117" s="300">
        <v>46878</v>
      </c>
      <c r="O117" s="304">
        <v>46939</v>
      </c>
      <c r="P117" s="304">
        <v>46939</v>
      </c>
      <c r="Q117" s="305">
        <v>46939</v>
      </c>
      <c r="R117" s="299">
        <v>47031</v>
      </c>
      <c r="S117" s="299">
        <v>47031</v>
      </c>
      <c r="T117" s="306">
        <v>47031</v>
      </c>
      <c r="U117" s="430" t="s">
        <v>535</v>
      </c>
    </row>
    <row r="118" spans="1:28" ht="54">
      <c r="A118" s="149">
        <f>A117+1</f>
        <v>107</v>
      </c>
      <c r="B118" s="435" t="s">
        <v>536</v>
      </c>
      <c r="C118" s="246" t="s">
        <v>537</v>
      </c>
      <c r="D118" s="247">
        <v>46223</v>
      </c>
      <c r="E118" s="248"/>
      <c r="F118" s="249"/>
      <c r="G118" s="149"/>
      <c r="H118" s="149"/>
      <c r="I118" s="149"/>
      <c r="J118" s="250"/>
      <c r="K118" s="210" t="s">
        <v>53</v>
      </c>
      <c r="L118" s="387">
        <v>46771</v>
      </c>
      <c r="M118" s="387">
        <v>46771</v>
      </c>
      <c r="N118" s="387">
        <v>46771</v>
      </c>
      <c r="O118" s="387">
        <v>46831</v>
      </c>
      <c r="P118" s="387">
        <v>46831</v>
      </c>
      <c r="Q118" s="387">
        <v>46831</v>
      </c>
      <c r="R118" s="387">
        <v>46923</v>
      </c>
      <c r="S118" s="387">
        <v>46923</v>
      </c>
      <c r="T118" s="387">
        <v>46923</v>
      </c>
      <c r="U118" s="372"/>
    </row>
    <row r="119" spans="1:28" ht="36">
      <c r="A119" s="149">
        <f>A118+1</f>
        <v>108</v>
      </c>
      <c r="B119" s="442" t="s">
        <v>538</v>
      </c>
      <c r="C119" s="246" t="s">
        <v>539</v>
      </c>
      <c r="D119" s="247">
        <v>46236</v>
      </c>
      <c r="E119" s="248"/>
      <c r="F119" s="249"/>
      <c r="G119" s="149" t="s">
        <v>301</v>
      </c>
      <c r="H119" s="149" t="s">
        <v>426</v>
      </c>
      <c r="I119" s="149" t="s">
        <v>427</v>
      </c>
      <c r="J119" s="250"/>
      <c r="K119" s="210" t="s">
        <v>53</v>
      </c>
      <c r="L119" s="387">
        <v>46967</v>
      </c>
      <c r="M119" s="387">
        <v>46967</v>
      </c>
      <c r="N119" s="387">
        <v>46967</v>
      </c>
      <c r="O119" s="387">
        <v>47028</v>
      </c>
      <c r="P119" s="387">
        <v>47028</v>
      </c>
      <c r="Q119" s="387">
        <v>47028</v>
      </c>
      <c r="R119" s="387">
        <v>47120</v>
      </c>
      <c r="S119" s="387">
        <v>47120</v>
      </c>
      <c r="T119" s="387">
        <v>47120</v>
      </c>
      <c r="U119" s="372" t="s">
        <v>540</v>
      </c>
    </row>
    <row r="120" spans="1:28" ht="36">
      <c r="A120" s="149">
        <f>A119+1</f>
        <v>109</v>
      </c>
      <c r="B120" s="435" t="s">
        <v>541</v>
      </c>
      <c r="C120" s="246" t="s">
        <v>542</v>
      </c>
      <c r="D120" s="247"/>
      <c r="E120" s="248"/>
      <c r="F120" s="249"/>
      <c r="G120" s="149"/>
      <c r="H120" s="149"/>
      <c r="I120" s="149"/>
      <c r="J120" s="250"/>
      <c r="K120" s="210" t="s">
        <v>53</v>
      </c>
      <c r="L120" s="387"/>
      <c r="M120" s="387"/>
      <c r="N120" s="387"/>
      <c r="O120" s="387"/>
      <c r="P120" s="387"/>
      <c r="Q120" s="387"/>
      <c r="R120" s="387"/>
      <c r="S120" s="387"/>
      <c r="T120" s="387"/>
      <c r="U120" s="372" t="s">
        <v>543</v>
      </c>
    </row>
    <row r="121" spans="1:28" s="322" customFormat="1" ht="21" customHeight="1">
      <c r="A121" s="334"/>
      <c r="B121" s="335"/>
      <c r="C121" s="5" t="s">
        <v>544</v>
      </c>
      <c r="D121" s="336"/>
      <c r="E121" s="347"/>
      <c r="F121" s="347"/>
      <c r="G121" s="334"/>
      <c r="H121" s="334"/>
      <c r="I121" s="334"/>
      <c r="J121" s="327"/>
      <c r="K121" s="328"/>
      <c r="L121" s="329"/>
      <c r="M121" s="330"/>
      <c r="N121" s="331"/>
      <c r="O121" s="348"/>
      <c r="P121" s="349"/>
      <c r="Q121" s="350"/>
      <c r="R121" s="333"/>
      <c r="S121" s="330"/>
      <c r="T121" s="351"/>
      <c r="U121" s="315" t="s">
        <v>154</v>
      </c>
    </row>
    <row r="122" spans="1:28" ht="21">
      <c r="A122" s="149">
        <f>A117+1</f>
        <v>107</v>
      </c>
      <c r="B122" s="194" t="s">
        <v>206</v>
      </c>
      <c r="C122" s="193" t="s">
        <v>545</v>
      </c>
      <c r="D122" s="255">
        <v>45323</v>
      </c>
      <c r="E122" s="196">
        <v>1</v>
      </c>
      <c r="F122" s="196">
        <v>0.99790000000000001</v>
      </c>
      <c r="G122" s="149" t="s">
        <v>301</v>
      </c>
      <c r="H122" s="149" t="s">
        <v>546</v>
      </c>
      <c r="I122" s="149" t="s">
        <v>547</v>
      </c>
      <c r="J122" s="149"/>
      <c r="K122" s="149" t="s">
        <v>33</v>
      </c>
      <c r="L122" s="9">
        <v>45931</v>
      </c>
      <c r="M122" s="9">
        <v>45931</v>
      </c>
      <c r="N122" s="45">
        <v>46051</v>
      </c>
      <c r="O122" s="9">
        <v>45992</v>
      </c>
      <c r="P122" s="9">
        <v>45992</v>
      </c>
      <c r="Q122" s="9">
        <v>46203</v>
      </c>
      <c r="R122" s="9">
        <v>45717</v>
      </c>
      <c r="S122" s="9">
        <v>46082</v>
      </c>
      <c r="T122" s="9">
        <v>46234</v>
      </c>
      <c r="U122" s="251" t="s">
        <v>548</v>
      </c>
      <c r="V122" s="27"/>
      <c r="W122" s="27"/>
      <c r="X122" s="27"/>
      <c r="Y122" s="19"/>
      <c r="AA122" s="28"/>
      <c r="AB122" s="28"/>
    </row>
    <row r="123" spans="1:28" ht="36">
      <c r="A123" s="149">
        <f>A122+1</f>
        <v>108</v>
      </c>
      <c r="B123" s="194" t="s">
        <v>207</v>
      </c>
      <c r="C123" s="193" t="s">
        <v>549</v>
      </c>
      <c r="D123" s="255">
        <v>45242</v>
      </c>
      <c r="E123" s="196">
        <v>1</v>
      </c>
      <c r="F123" s="196">
        <v>0.9657</v>
      </c>
      <c r="G123" s="149" t="s">
        <v>301</v>
      </c>
      <c r="H123" s="149" t="s">
        <v>546</v>
      </c>
      <c r="I123" s="149" t="s">
        <v>547</v>
      </c>
      <c r="J123" s="149"/>
      <c r="K123" s="149" t="s">
        <v>33</v>
      </c>
      <c r="L123" s="9">
        <v>45850</v>
      </c>
      <c r="M123" s="9">
        <v>45850</v>
      </c>
      <c r="N123" s="9">
        <v>46265</v>
      </c>
      <c r="O123" s="9">
        <v>45912</v>
      </c>
      <c r="P123" s="9">
        <v>46139</v>
      </c>
      <c r="Q123" s="9">
        <v>46325</v>
      </c>
      <c r="R123" s="9">
        <v>46003</v>
      </c>
      <c r="S123" s="9">
        <v>46230</v>
      </c>
      <c r="T123" s="9">
        <v>46415</v>
      </c>
      <c r="U123" s="251" t="s">
        <v>550</v>
      </c>
      <c r="V123" s="27"/>
      <c r="W123" s="27"/>
      <c r="X123" s="27"/>
      <c r="Y123" s="19"/>
      <c r="AA123" s="28"/>
      <c r="AB123" s="28"/>
    </row>
    <row r="124" spans="1:28" ht="54">
      <c r="A124" s="149">
        <f t="shared" ref="A124:A155" si="10">A123+1</f>
        <v>109</v>
      </c>
      <c r="B124" s="225" t="s">
        <v>209</v>
      </c>
      <c r="C124" s="193" t="s">
        <v>551</v>
      </c>
      <c r="D124" s="255">
        <v>45242</v>
      </c>
      <c r="E124" s="196">
        <v>1</v>
      </c>
      <c r="F124" s="196">
        <v>0.96279999999999999</v>
      </c>
      <c r="G124" s="149" t="s">
        <v>301</v>
      </c>
      <c r="H124" s="149" t="s">
        <v>546</v>
      </c>
      <c r="I124" s="149" t="s">
        <v>547</v>
      </c>
      <c r="J124" s="149"/>
      <c r="K124" s="149" t="s">
        <v>33</v>
      </c>
      <c r="L124" s="9">
        <v>45850</v>
      </c>
      <c r="M124" s="9">
        <v>46093</v>
      </c>
      <c r="N124" s="9">
        <v>46093</v>
      </c>
      <c r="O124" s="9">
        <v>45912</v>
      </c>
      <c r="P124" s="9">
        <v>46154</v>
      </c>
      <c r="Q124" s="9">
        <v>46234</v>
      </c>
      <c r="R124" s="9">
        <v>46003</v>
      </c>
      <c r="S124" s="9">
        <v>46246</v>
      </c>
      <c r="T124" s="9">
        <v>46324</v>
      </c>
      <c r="U124" s="251" t="s">
        <v>552</v>
      </c>
      <c r="V124" s="27"/>
      <c r="W124" s="27"/>
      <c r="X124" s="27"/>
      <c r="Y124" s="19"/>
      <c r="AA124" s="28"/>
      <c r="AB124" s="28"/>
    </row>
    <row r="125" spans="1:28" ht="21">
      <c r="A125" s="149">
        <f t="shared" si="10"/>
        <v>110</v>
      </c>
      <c r="B125" s="194" t="s">
        <v>210</v>
      </c>
      <c r="C125" s="193" t="s">
        <v>553</v>
      </c>
      <c r="D125" s="255">
        <v>45433</v>
      </c>
      <c r="E125" s="196">
        <v>0.99719999999999998</v>
      </c>
      <c r="F125" s="196">
        <v>0.97850000000000004</v>
      </c>
      <c r="G125" s="149" t="s">
        <v>301</v>
      </c>
      <c r="H125" s="149" t="s">
        <v>546</v>
      </c>
      <c r="I125" s="149" t="s">
        <v>554</v>
      </c>
      <c r="J125" s="149"/>
      <c r="K125" s="149" t="s">
        <v>26</v>
      </c>
      <c r="L125" s="9">
        <v>46063</v>
      </c>
      <c r="M125" s="9">
        <v>46282</v>
      </c>
      <c r="N125" s="9">
        <v>46345</v>
      </c>
      <c r="O125" s="9">
        <v>46093</v>
      </c>
      <c r="P125" s="9">
        <v>46312</v>
      </c>
      <c r="Q125" s="9">
        <v>46382</v>
      </c>
      <c r="R125" s="9">
        <v>46162</v>
      </c>
      <c r="S125" s="9">
        <v>46373</v>
      </c>
      <c r="T125" s="9">
        <v>46450</v>
      </c>
      <c r="U125" s="251" t="s">
        <v>555</v>
      </c>
      <c r="V125" s="27"/>
      <c r="W125" s="27"/>
      <c r="X125" s="27"/>
      <c r="Y125" s="19"/>
      <c r="AA125" s="28"/>
      <c r="AB125" s="28"/>
    </row>
    <row r="126" spans="1:28" ht="21">
      <c r="A126" s="149">
        <f t="shared" si="10"/>
        <v>111</v>
      </c>
      <c r="B126" s="194" t="s">
        <v>211</v>
      </c>
      <c r="C126" s="437" t="s">
        <v>556</v>
      </c>
      <c r="D126" s="255">
        <v>45327</v>
      </c>
      <c r="E126" s="196">
        <v>1</v>
      </c>
      <c r="F126" s="196">
        <v>0.99960000000000004</v>
      </c>
      <c r="G126" s="149" t="s">
        <v>301</v>
      </c>
      <c r="H126" s="149" t="s">
        <v>546</v>
      </c>
      <c r="I126" s="149" t="s">
        <v>547</v>
      </c>
      <c r="J126" s="149"/>
      <c r="K126" s="149" t="s">
        <v>53</v>
      </c>
      <c r="L126" s="9">
        <v>45662</v>
      </c>
      <c r="M126" s="9">
        <v>45662</v>
      </c>
      <c r="N126" s="45">
        <v>45698</v>
      </c>
      <c r="O126" s="9">
        <v>45721</v>
      </c>
      <c r="P126" s="9">
        <v>45721</v>
      </c>
      <c r="Q126" s="9">
        <v>46218</v>
      </c>
      <c r="R126" s="9">
        <v>45813</v>
      </c>
      <c r="S126" s="9">
        <v>45813</v>
      </c>
      <c r="T126" s="9">
        <v>46310</v>
      </c>
      <c r="U126" s="251" t="s">
        <v>557</v>
      </c>
      <c r="V126" s="27"/>
      <c r="W126" s="27"/>
      <c r="X126" s="27"/>
      <c r="Y126" s="19"/>
      <c r="AA126" s="28"/>
      <c r="AB126" s="28"/>
    </row>
    <row r="127" spans="1:28" ht="21">
      <c r="A127" s="149">
        <f t="shared" si="10"/>
        <v>112</v>
      </c>
      <c r="B127" s="225" t="s">
        <v>212</v>
      </c>
      <c r="C127" s="193" t="s">
        <v>558</v>
      </c>
      <c r="D127" s="255">
        <v>45567</v>
      </c>
      <c r="E127" s="196">
        <v>0.99829999999999997</v>
      </c>
      <c r="F127" s="196">
        <v>0.88070000000000004</v>
      </c>
      <c r="G127" s="149" t="s">
        <v>301</v>
      </c>
      <c r="H127" s="149" t="s">
        <v>546</v>
      </c>
      <c r="I127" s="149" t="s">
        <v>554</v>
      </c>
      <c r="J127" s="149"/>
      <c r="K127" s="149" t="s">
        <v>33</v>
      </c>
      <c r="L127" s="9">
        <v>46144</v>
      </c>
      <c r="M127" s="9">
        <v>46144</v>
      </c>
      <c r="N127" s="9">
        <v>46323</v>
      </c>
      <c r="O127" s="9">
        <v>46205</v>
      </c>
      <c r="P127" s="9">
        <v>46205</v>
      </c>
      <c r="Q127" s="9">
        <v>46383</v>
      </c>
      <c r="R127" s="9">
        <v>46297</v>
      </c>
      <c r="S127" s="9">
        <v>46297</v>
      </c>
      <c r="T127" s="9">
        <v>46473</v>
      </c>
      <c r="U127" s="251" t="s">
        <v>559</v>
      </c>
      <c r="V127" s="27"/>
      <c r="W127" s="27"/>
      <c r="X127" s="27"/>
      <c r="Y127" s="19"/>
      <c r="AA127" s="28"/>
      <c r="AB127" s="28"/>
    </row>
    <row r="128" spans="1:28" ht="36">
      <c r="A128" s="149">
        <f t="shared" si="10"/>
        <v>113</v>
      </c>
      <c r="B128" s="225" t="s">
        <v>213</v>
      </c>
      <c r="C128" s="193" t="s">
        <v>560</v>
      </c>
      <c r="D128" s="255">
        <v>45407</v>
      </c>
      <c r="E128" s="196">
        <v>0.86780000000000002</v>
      </c>
      <c r="F128" s="196">
        <v>0.89419999999999999</v>
      </c>
      <c r="G128" s="149" t="s">
        <v>301</v>
      </c>
      <c r="H128" s="149" t="s">
        <v>546</v>
      </c>
      <c r="I128" s="149" t="s">
        <v>554</v>
      </c>
      <c r="J128" s="149"/>
      <c r="K128" s="149" t="s">
        <v>26</v>
      </c>
      <c r="L128" s="9">
        <v>46047</v>
      </c>
      <c r="M128" s="9">
        <v>46380</v>
      </c>
      <c r="N128" s="9">
        <v>46325</v>
      </c>
      <c r="O128" s="9">
        <v>46106</v>
      </c>
      <c r="P128" s="9">
        <v>46443</v>
      </c>
      <c r="Q128" s="9">
        <v>46386</v>
      </c>
      <c r="R128" s="9">
        <v>46198</v>
      </c>
      <c r="S128" s="9">
        <v>46532</v>
      </c>
      <c r="T128" s="9">
        <v>46476</v>
      </c>
      <c r="U128" s="251" t="s">
        <v>561</v>
      </c>
      <c r="V128" s="30"/>
      <c r="W128" s="30"/>
      <c r="X128" s="30"/>
      <c r="Y128" s="19"/>
      <c r="AA128" s="28"/>
      <c r="AB128" s="28"/>
    </row>
    <row r="129" spans="1:28" ht="42.75">
      <c r="A129" s="149">
        <f t="shared" si="10"/>
        <v>114</v>
      </c>
      <c r="B129" s="225" t="s">
        <v>214</v>
      </c>
      <c r="C129" s="437" t="s">
        <v>562</v>
      </c>
      <c r="D129" s="255">
        <v>45722</v>
      </c>
      <c r="E129" s="438" t="s">
        <v>563</v>
      </c>
      <c r="F129" s="438"/>
      <c r="G129" s="149" t="s">
        <v>301</v>
      </c>
      <c r="H129" s="149" t="s">
        <v>546</v>
      </c>
      <c r="I129" s="149" t="s">
        <v>564</v>
      </c>
      <c r="J129" s="149"/>
      <c r="K129" s="149" t="s">
        <v>53</v>
      </c>
      <c r="L129" s="439" t="s">
        <v>565</v>
      </c>
      <c r="M129" s="439"/>
      <c r="N129" s="439"/>
      <c r="O129" s="439"/>
      <c r="P129" s="439"/>
      <c r="Q129" s="439"/>
      <c r="R129" s="439"/>
      <c r="S129" s="439"/>
      <c r="T129" s="439"/>
      <c r="U129" s="252" t="s">
        <v>154</v>
      </c>
      <c r="V129" s="27"/>
      <c r="W129" s="27"/>
      <c r="X129" s="27"/>
      <c r="Y129" s="19"/>
      <c r="AA129" s="28"/>
      <c r="AB129" s="28"/>
    </row>
    <row r="130" spans="1:28" ht="36">
      <c r="A130" s="149">
        <f t="shared" si="10"/>
        <v>115</v>
      </c>
      <c r="B130" s="225" t="s">
        <v>216</v>
      </c>
      <c r="C130" s="193" t="s">
        <v>566</v>
      </c>
      <c r="D130" s="255">
        <v>45567</v>
      </c>
      <c r="E130" s="196">
        <v>0.99968999999999997</v>
      </c>
      <c r="F130" s="196">
        <v>0.85299999999999998</v>
      </c>
      <c r="G130" s="227" t="s">
        <v>301</v>
      </c>
      <c r="H130" s="227" t="s">
        <v>546</v>
      </c>
      <c r="I130" s="227" t="s">
        <v>564</v>
      </c>
      <c r="J130" s="227"/>
      <c r="K130" s="149" t="s">
        <v>53</v>
      </c>
      <c r="L130" s="9">
        <v>46144</v>
      </c>
      <c r="M130" s="9">
        <v>46144</v>
      </c>
      <c r="N130" s="9">
        <v>46386</v>
      </c>
      <c r="O130" s="9">
        <v>46205</v>
      </c>
      <c r="P130" s="9">
        <v>46205</v>
      </c>
      <c r="Q130" s="9">
        <v>46431</v>
      </c>
      <c r="R130" s="9">
        <v>46297</v>
      </c>
      <c r="S130" s="9">
        <v>46297</v>
      </c>
      <c r="T130" s="9">
        <v>46521</v>
      </c>
      <c r="U130" s="251" t="s">
        <v>567</v>
      </c>
      <c r="V130" s="27"/>
      <c r="W130" s="27"/>
      <c r="X130" s="27"/>
      <c r="Y130" s="19"/>
      <c r="AA130" s="28"/>
      <c r="AB130" s="28"/>
    </row>
    <row r="131" spans="1:28" ht="90">
      <c r="A131" s="149">
        <f t="shared" si="10"/>
        <v>116</v>
      </c>
      <c r="B131" s="225" t="s">
        <v>217</v>
      </c>
      <c r="C131" s="193" t="s">
        <v>568</v>
      </c>
      <c r="D131" s="255">
        <v>45589</v>
      </c>
      <c r="E131" s="196">
        <v>0.99990000000000001</v>
      </c>
      <c r="F131" s="196">
        <v>0.75070000000000003</v>
      </c>
      <c r="G131" s="227" t="s">
        <v>301</v>
      </c>
      <c r="H131" s="227" t="s">
        <v>546</v>
      </c>
      <c r="I131" s="227" t="s">
        <v>569</v>
      </c>
      <c r="J131" s="227"/>
      <c r="K131" s="149" t="s">
        <v>33</v>
      </c>
      <c r="L131" s="9">
        <v>46105</v>
      </c>
      <c r="M131" s="9">
        <v>46105</v>
      </c>
      <c r="N131" s="9">
        <v>46385</v>
      </c>
      <c r="O131" s="9">
        <v>46205</v>
      </c>
      <c r="P131" s="9">
        <v>46166</v>
      </c>
      <c r="Q131" s="9">
        <v>46446</v>
      </c>
      <c r="R131" s="9">
        <v>46297</v>
      </c>
      <c r="S131" s="9">
        <v>46258</v>
      </c>
      <c r="T131" s="9">
        <v>46538</v>
      </c>
      <c r="U131" s="254" t="s">
        <v>570</v>
      </c>
      <c r="V131" s="27"/>
      <c r="W131" s="27"/>
      <c r="X131" s="27"/>
      <c r="Y131" s="19"/>
      <c r="AA131" s="28"/>
      <c r="AB131" s="28"/>
    </row>
    <row r="132" spans="1:28" ht="21">
      <c r="A132" s="149">
        <f t="shared" si="10"/>
        <v>117</v>
      </c>
      <c r="B132" s="194" t="s">
        <v>218</v>
      </c>
      <c r="C132" s="193" t="s">
        <v>571</v>
      </c>
      <c r="D132" s="255">
        <v>45582</v>
      </c>
      <c r="E132" s="196">
        <v>1</v>
      </c>
      <c r="F132" s="196">
        <v>0.96299999999999997</v>
      </c>
      <c r="G132" s="227" t="s">
        <v>301</v>
      </c>
      <c r="H132" s="227" t="s">
        <v>546</v>
      </c>
      <c r="I132" s="227" t="s">
        <v>547</v>
      </c>
      <c r="J132" s="227"/>
      <c r="K132" s="149" t="s">
        <v>26</v>
      </c>
      <c r="L132" s="9">
        <v>45497</v>
      </c>
      <c r="M132" s="9">
        <v>46070</v>
      </c>
      <c r="N132" s="45">
        <v>45862</v>
      </c>
      <c r="O132" s="9">
        <v>45559</v>
      </c>
      <c r="P132" s="9">
        <v>46128</v>
      </c>
      <c r="Q132" s="45">
        <v>45964</v>
      </c>
      <c r="R132" s="9">
        <v>45620</v>
      </c>
      <c r="S132" s="9">
        <v>46190</v>
      </c>
      <c r="T132" s="9">
        <v>46258</v>
      </c>
      <c r="U132" s="251" t="s">
        <v>572</v>
      </c>
      <c r="V132" s="27"/>
      <c r="W132" s="27"/>
      <c r="X132" s="27"/>
      <c r="Y132" s="19"/>
      <c r="AA132" s="28"/>
      <c r="AB132" s="28"/>
    </row>
    <row r="133" spans="1:28" ht="36">
      <c r="A133" s="149">
        <f t="shared" si="10"/>
        <v>118</v>
      </c>
      <c r="B133" s="194" t="s">
        <v>219</v>
      </c>
      <c r="C133" s="193" t="s">
        <v>573</v>
      </c>
      <c r="D133" s="255">
        <v>45672</v>
      </c>
      <c r="E133" s="196">
        <v>0.99250000000000005</v>
      </c>
      <c r="F133" s="196">
        <v>0.70940000000000003</v>
      </c>
      <c r="G133" s="227" t="s">
        <v>301</v>
      </c>
      <c r="H133" s="227" t="s">
        <v>546</v>
      </c>
      <c r="I133" s="227" t="s">
        <v>574</v>
      </c>
      <c r="J133" s="227"/>
      <c r="K133" s="149" t="s">
        <v>33</v>
      </c>
      <c r="L133" s="9">
        <v>46218</v>
      </c>
      <c r="M133" s="9">
        <v>46218</v>
      </c>
      <c r="N133" s="9">
        <v>46372</v>
      </c>
      <c r="O133" s="9">
        <v>46280</v>
      </c>
      <c r="P133" s="9">
        <v>46280</v>
      </c>
      <c r="Q133" s="9">
        <v>46433</v>
      </c>
      <c r="R133" s="9">
        <v>46371</v>
      </c>
      <c r="S133" s="9">
        <v>46371</v>
      </c>
      <c r="T133" s="9">
        <v>46523</v>
      </c>
      <c r="U133" s="251" t="s">
        <v>575</v>
      </c>
      <c r="V133" s="27"/>
      <c r="W133" s="27"/>
      <c r="X133" s="27"/>
      <c r="Y133" s="19"/>
      <c r="AA133" s="28"/>
      <c r="AB133" s="28"/>
    </row>
    <row r="134" spans="1:28" ht="180">
      <c r="A134" s="149">
        <f t="shared" si="10"/>
        <v>119</v>
      </c>
      <c r="B134" s="194" t="s">
        <v>220</v>
      </c>
      <c r="C134" s="193" t="s">
        <v>576</v>
      </c>
      <c r="D134" s="255">
        <v>45683</v>
      </c>
      <c r="E134" s="196">
        <v>0.71</v>
      </c>
      <c r="F134" s="196">
        <v>0.42</v>
      </c>
      <c r="G134" s="227" t="s">
        <v>301</v>
      </c>
      <c r="H134" s="227" t="s">
        <v>546</v>
      </c>
      <c r="I134" s="227" t="s">
        <v>564</v>
      </c>
      <c r="J134" s="227"/>
      <c r="K134" s="149" t="s">
        <v>33</v>
      </c>
      <c r="L134" s="9">
        <v>46382</v>
      </c>
      <c r="M134" s="9">
        <v>46382</v>
      </c>
      <c r="N134" s="9">
        <v>46508</v>
      </c>
      <c r="O134" s="9">
        <v>46444</v>
      </c>
      <c r="P134" s="9">
        <v>46444</v>
      </c>
      <c r="Q134" s="9">
        <v>46569</v>
      </c>
      <c r="R134" s="9">
        <v>46533</v>
      </c>
      <c r="S134" s="9">
        <v>46533</v>
      </c>
      <c r="T134" s="9">
        <v>46661</v>
      </c>
      <c r="U134" s="251" t="s">
        <v>577</v>
      </c>
      <c r="V134" s="27"/>
      <c r="W134" s="27"/>
      <c r="X134" s="27"/>
      <c r="Y134" s="19"/>
      <c r="AA134" s="28"/>
      <c r="AB134" s="28"/>
    </row>
    <row r="135" spans="1:28" ht="72">
      <c r="A135" s="149">
        <f t="shared" si="10"/>
        <v>120</v>
      </c>
      <c r="B135" s="194" t="s">
        <v>221</v>
      </c>
      <c r="C135" s="193" t="s">
        <v>578</v>
      </c>
      <c r="D135" s="255">
        <v>45743</v>
      </c>
      <c r="E135" s="196">
        <v>0.8992</v>
      </c>
      <c r="F135" s="196">
        <v>0.40670000000000001</v>
      </c>
      <c r="G135" s="227" t="s">
        <v>76</v>
      </c>
      <c r="H135" s="227" t="s">
        <v>546</v>
      </c>
      <c r="I135" s="149" t="s">
        <v>554</v>
      </c>
      <c r="J135" s="149"/>
      <c r="K135" s="149" t="s">
        <v>33</v>
      </c>
      <c r="L135" s="9">
        <v>46291</v>
      </c>
      <c r="M135" s="9">
        <v>46291</v>
      </c>
      <c r="N135" s="9">
        <v>46485</v>
      </c>
      <c r="O135" s="9">
        <v>46382</v>
      </c>
      <c r="P135" s="9">
        <v>46382</v>
      </c>
      <c r="Q135" s="9">
        <v>46576</v>
      </c>
      <c r="R135" s="9">
        <v>46444</v>
      </c>
      <c r="S135" s="9">
        <v>46444</v>
      </c>
      <c r="T135" s="9">
        <v>46638</v>
      </c>
      <c r="U135" s="251" t="s">
        <v>579</v>
      </c>
      <c r="V135" s="30"/>
      <c r="W135" s="30"/>
      <c r="X135" s="30"/>
      <c r="Y135" s="19"/>
      <c r="AA135" s="28"/>
      <c r="AB135" s="28"/>
    </row>
    <row r="136" spans="1:28" ht="72">
      <c r="A136" s="149">
        <f t="shared" si="10"/>
        <v>121</v>
      </c>
      <c r="B136" s="194" t="s">
        <v>222</v>
      </c>
      <c r="C136" s="193" t="s">
        <v>580</v>
      </c>
      <c r="D136" s="255">
        <v>45764</v>
      </c>
      <c r="E136" s="196">
        <v>0.86270000000000002</v>
      </c>
      <c r="F136" s="196">
        <v>0.31480000000000002</v>
      </c>
      <c r="G136" s="227" t="s">
        <v>76</v>
      </c>
      <c r="H136" s="227" t="s">
        <v>546</v>
      </c>
      <c r="I136" s="149" t="s">
        <v>569</v>
      </c>
      <c r="J136" s="149"/>
      <c r="K136" s="149" t="s">
        <v>53</v>
      </c>
      <c r="L136" s="9">
        <v>46312</v>
      </c>
      <c r="M136" s="9">
        <v>46312</v>
      </c>
      <c r="N136" s="9">
        <v>46559</v>
      </c>
      <c r="O136" s="9">
        <v>46373</v>
      </c>
      <c r="P136" s="9">
        <v>46373</v>
      </c>
      <c r="Q136" s="9">
        <v>46614</v>
      </c>
      <c r="R136" s="9">
        <v>46463</v>
      </c>
      <c r="S136" s="9">
        <v>46463</v>
      </c>
      <c r="T136" s="9">
        <v>46705</v>
      </c>
      <c r="U136" s="251" t="s">
        <v>581</v>
      </c>
      <c r="V136" s="27"/>
      <c r="W136" s="27"/>
      <c r="X136" s="27"/>
      <c r="Y136" s="19"/>
      <c r="AA136" s="28"/>
      <c r="AB136" s="28"/>
    </row>
    <row r="137" spans="1:28" ht="54">
      <c r="A137" s="149">
        <f t="shared" si="10"/>
        <v>122</v>
      </c>
      <c r="B137" s="225" t="s">
        <v>223</v>
      </c>
      <c r="C137" s="193" t="s">
        <v>582</v>
      </c>
      <c r="D137" s="255">
        <v>45837</v>
      </c>
      <c r="E137" s="196">
        <v>0.56269999999999998</v>
      </c>
      <c r="F137" s="196">
        <v>0.2918</v>
      </c>
      <c r="G137" s="227" t="s">
        <v>76</v>
      </c>
      <c r="H137" s="227" t="s">
        <v>546</v>
      </c>
      <c r="I137" s="149" t="s">
        <v>583</v>
      </c>
      <c r="J137" s="149"/>
      <c r="K137" s="149" t="s">
        <v>53</v>
      </c>
      <c r="L137" s="9">
        <v>46385</v>
      </c>
      <c r="M137" s="9">
        <v>46385</v>
      </c>
      <c r="N137" s="9">
        <v>46676</v>
      </c>
      <c r="O137" s="9">
        <v>46446</v>
      </c>
      <c r="P137" s="9">
        <v>46446</v>
      </c>
      <c r="Q137" s="9">
        <v>46730</v>
      </c>
      <c r="R137" s="9">
        <v>46536</v>
      </c>
      <c r="S137" s="9">
        <v>46536</v>
      </c>
      <c r="T137" s="9">
        <v>46813</v>
      </c>
      <c r="U137" s="251" t="s">
        <v>584</v>
      </c>
      <c r="V137" s="27"/>
      <c r="W137" s="27"/>
      <c r="X137" s="27"/>
      <c r="Y137" s="19"/>
      <c r="AA137" s="28"/>
      <c r="AB137" s="28"/>
    </row>
    <row r="138" spans="1:28" ht="90">
      <c r="A138" s="149">
        <f t="shared" si="10"/>
        <v>123</v>
      </c>
      <c r="B138" s="194" t="s">
        <v>224</v>
      </c>
      <c r="C138" s="193" t="s">
        <v>585</v>
      </c>
      <c r="D138" s="255">
        <v>45883</v>
      </c>
      <c r="E138" s="196">
        <v>0.75539999999999996</v>
      </c>
      <c r="F138" s="196">
        <v>0.50580000000000003</v>
      </c>
      <c r="G138" s="227" t="s">
        <v>76</v>
      </c>
      <c r="H138" s="227" t="s">
        <v>546</v>
      </c>
      <c r="I138" s="149" t="s">
        <v>554</v>
      </c>
      <c r="J138" s="149"/>
      <c r="K138" s="149" t="s">
        <v>53</v>
      </c>
      <c r="L138" s="9">
        <v>46431</v>
      </c>
      <c r="M138" s="9">
        <v>46431</v>
      </c>
      <c r="N138" s="9">
        <v>46401</v>
      </c>
      <c r="O138" s="9">
        <v>46520</v>
      </c>
      <c r="P138" s="9">
        <v>46520</v>
      </c>
      <c r="Q138" s="9">
        <v>46491</v>
      </c>
      <c r="R138" s="9">
        <v>46581</v>
      </c>
      <c r="S138" s="9">
        <v>46581</v>
      </c>
      <c r="T138" s="9">
        <v>46551</v>
      </c>
      <c r="U138" s="251" t="s">
        <v>586</v>
      </c>
      <c r="V138" s="27"/>
      <c r="W138" s="27"/>
      <c r="X138" s="27"/>
      <c r="Y138" s="19"/>
      <c r="AA138" s="28"/>
      <c r="AB138" s="28"/>
    </row>
    <row r="139" spans="1:28" ht="21">
      <c r="A139" s="149">
        <f t="shared" si="10"/>
        <v>124</v>
      </c>
      <c r="B139" s="194" t="s">
        <v>225</v>
      </c>
      <c r="C139" s="437" t="s">
        <v>587</v>
      </c>
      <c r="D139" s="255">
        <v>44200</v>
      </c>
      <c r="E139" s="196">
        <v>1</v>
      </c>
      <c r="F139" s="196">
        <v>1</v>
      </c>
      <c r="G139" s="149" t="s">
        <v>301</v>
      </c>
      <c r="H139" s="149" t="s">
        <v>546</v>
      </c>
      <c r="I139" s="149" t="s">
        <v>569</v>
      </c>
      <c r="J139" s="149"/>
      <c r="K139" s="149" t="s">
        <v>53</v>
      </c>
      <c r="L139" s="9">
        <v>44988</v>
      </c>
      <c r="M139" s="9">
        <v>44988</v>
      </c>
      <c r="N139" s="45">
        <v>45565</v>
      </c>
      <c r="O139" s="9">
        <v>45049</v>
      </c>
      <c r="P139" s="9">
        <v>45049</v>
      </c>
      <c r="Q139" s="45">
        <v>45626</v>
      </c>
      <c r="R139" s="9">
        <v>45110</v>
      </c>
      <c r="S139" s="9">
        <v>45110</v>
      </c>
      <c r="T139" s="45">
        <v>45687</v>
      </c>
      <c r="U139" s="45" t="s">
        <v>154</v>
      </c>
      <c r="V139" s="27"/>
      <c r="W139" s="27"/>
      <c r="X139" s="27"/>
      <c r="Y139" s="19"/>
      <c r="AA139" s="28"/>
      <c r="AB139" s="28"/>
    </row>
    <row r="140" spans="1:28" ht="36">
      <c r="A140" s="149">
        <f t="shared" si="10"/>
        <v>125</v>
      </c>
      <c r="B140" s="194" t="s">
        <v>226</v>
      </c>
      <c r="C140" s="437" t="s">
        <v>588</v>
      </c>
      <c r="D140" s="255">
        <v>44392</v>
      </c>
      <c r="E140" s="196">
        <v>1</v>
      </c>
      <c r="F140" s="196">
        <v>1</v>
      </c>
      <c r="G140" s="149" t="s">
        <v>301</v>
      </c>
      <c r="H140" s="149" t="s">
        <v>546</v>
      </c>
      <c r="I140" s="149" t="s">
        <v>589</v>
      </c>
      <c r="J140" s="149"/>
      <c r="K140" s="149" t="s">
        <v>53</v>
      </c>
      <c r="L140" s="9">
        <v>44941</v>
      </c>
      <c r="M140" s="9">
        <v>44941</v>
      </c>
      <c r="N140" s="45">
        <v>45463</v>
      </c>
      <c r="O140" s="9">
        <v>44972</v>
      </c>
      <c r="P140" s="9">
        <v>44972</v>
      </c>
      <c r="Q140" s="45">
        <v>45596</v>
      </c>
      <c r="R140" s="9">
        <v>45000</v>
      </c>
      <c r="S140" s="9">
        <v>45000</v>
      </c>
      <c r="T140" s="45">
        <v>45747</v>
      </c>
      <c r="U140" s="45" t="s">
        <v>154</v>
      </c>
      <c r="V140" s="27"/>
      <c r="W140" s="27"/>
      <c r="X140" s="27"/>
      <c r="Y140" s="19"/>
      <c r="AA140" s="28"/>
      <c r="AB140" s="28"/>
    </row>
    <row r="141" spans="1:28" ht="21">
      <c r="A141" s="149">
        <f t="shared" si="10"/>
        <v>126</v>
      </c>
      <c r="B141" s="194" t="s">
        <v>227</v>
      </c>
      <c r="C141" s="437" t="s">
        <v>590</v>
      </c>
      <c r="D141" s="255">
        <v>44586</v>
      </c>
      <c r="E141" s="196">
        <v>1</v>
      </c>
      <c r="F141" s="196">
        <v>0.99550000000000005</v>
      </c>
      <c r="G141" s="149" t="s">
        <v>301</v>
      </c>
      <c r="H141" s="149" t="s">
        <v>546</v>
      </c>
      <c r="I141" s="149" t="s">
        <v>591</v>
      </c>
      <c r="J141" s="149"/>
      <c r="K141" s="149" t="s">
        <v>53</v>
      </c>
      <c r="L141" s="9">
        <v>45497</v>
      </c>
      <c r="M141" s="9">
        <v>45497</v>
      </c>
      <c r="N141" s="45">
        <v>45909</v>
      </c>
      <c r="O141" s="9">
        <v>45559</v>
      </c>
      <c r="P141" s="9">
        <v>45559</v>
      </c>
      <c r="Q141" s="45">
        <v>46022</v>
      </c>
      <c r="R141" s="9">
        <v>45620</v>
      </c>
      <c r="S141" s="9">
        <v>45620</v>
      </c>
      <c r="T141" s="9">
        <v>46190</v>
      </c>
      <c r="U141" s="9" t="s">
        <v>154</v>
      </c>
      <c r="V141" s="27"/>
      <c r="W141" s="27"/>
      <c r="X141" s="27"/>
      <c r="Y141" s="19"/>
      <c r="AA141" s="28"/>
      <c r="AB141" s="28"/>
    </row>
    <row r="142" spans="1:28" ht="21">
      <c r="A142" s="149">
        <f t="shared" si="10"/>
        <v>127</v>
      </c>
      <c r="B142" s="194" t="s">
        <v>228</v>
      </c>
      <c r="C142" s="437" t="s">
        <v>592</v>
      </c>
      <c r="D142" s="255">
        <v>44579</v>
      </c>
      <c r="E142" s="196">
        <v>1</v>
      </c>
      <c r="F142" s="196">
        <v>0.98360000000000003</v>
      </c>
      <c r="G142" s="149" t="s">
        <v>301</v>
      </c>
      <c r="H142" s="149" t="s">
        <v>546</v>
      </c>
      <c r="I142" s="149" t="s">
        <v>569</v>
      </c>
      <c r="J142" s="149"/>
      <c r="K142" s="149" t="s">
        <v>26</v>
      </c>
      <c r="L142" s="9">
        <v>45124</v>
      </c>
      <c r="M142" s="9">
        <v>46343</v>
      </c>
      <c r="N142" s="45">
        <v>46021</v>
      </c>
      <c r="O142" s="9">
        <v>45216</v>
      </c>
      <c r="P142" s="9">
        <v>46435</v>
      </c>
      <c r="Q142" s="9">
        <v>46188</v>
      </c>
      <c r="R142" s="9">
        <v>45308</v>
      </c>
      <c r="S142" s="9">
        <v>46524</v>
      </c>
      <c r="T142" s="9">
        <v>46264</v>
      </c>
      <c r="U142" s="256" t="s">
        <v>593</v>
      </c>
      <c r="V142" s="27"/>
      <c r="W142" s="27"/>
      <c r="X142" s="27"/>
      <c r="Y142" s="19"/>
      <c r="AA142" s="28"/>
      <c r="AB142" s="28"/>
    </row>
    <row r="143" spans="1:28" ht="21">
      <c r="A143" s="149">
        <f t="shared" si="10"/>
        <v>128</v>
      </c>
      <c r="B143" s="194" t="s">
        <v>229</v>
      </c>
      <c r="C143" s="437" t="s">
        <v>594</v>
      </c>
      <c r="D143" s="255">
        <v>44579</v>
      </c>
      <c r="E143" s="196">
        <v>1</v>
      </c>
      <c r="F143" s="196">
        <v>0.999</v>
      </c>
      <c r="G143" s="149" t="s">
        <v>301</v>
      </c>
      <c r="H143" s="149" t="s">
        <v>546</v>
      </c>
      <c r="I143" s="149" t="s">
        <v>595</v>
      </c>
      <c r="J143" s="149"/>
      <c r="K143" s="149" t="s">
        <v>53</v>
      </c>
      <c r="L143" s="9">
        <v>45124</v>
      </c>
      <c r="M143" s="9">
        <v>45124</v>
      </c>
      <c r="N143" s="45">
        <v>45308</v>
      </c>
      <c r="O143" s="9">
        <v>45216</v>
      </c>
      <c r="P143" s="9">
        <v>45216</v>
      </c>
      <c r="Q143" s="45">
        <v>46006</v>
      </c>
      <c r="R143" s="9">
        <v>45308</v>
      </c>
      <c r="S143" s="9">
        <v>45308</v>
      </c>
      <c r="T143" s="45">
        <v>46021</v>
      </c>
      <c r="U143" s="9" t="s">
        <v>154</v>
      </c>
      <c r="V143" s="27"/>
      <c r="W143" s="27"/>
      <c r="X143" s="27"/>
      <c r="Y143" s="19"/>
      <c r="AA143" s="28"/>
      <c r="AB143" s="28"/>
    </row>
    <row r="144" spans="1:28" ht="18">
      <c r="A144" s="149">
        <f t="shared" si="10"/>
        <v>129</v>
      </c>
      <c r="B144" s="194" t="s">
        <v>230</v>
      </c>
      <c r="C144" s="437" t="s">
        <v>596</v>
      </c>
      <c r="D144" s="255">
        <v>45470</v>
      </c>
      <c r="E144" s="232">
        <v>0.56240000000000001</v>
      </c>
      <c r="F144" s="232">
        <v>0.56259999999999999</v>
      </c>
      <c r="G144" s="149" t="s">
        <v>301</v>
      </c>
      <c r="H144" s="149" t="s">
        <v>546</v>
      </c>
      <c r="I144" s="149" t="s">
        <v>597</v>
      </c>
      <c r="J144" s="149"/>
      <c r="K144" s="149" t="s">
        <v>53</v>
      </c>
      <c r="L144" s="9">
        <v>46387</v>
      </c>
      <c r="M144" s="9">
        <v>46387</v>
      </c>
      <c r="N144" s="9">
        <v>46387</v>
      </c>
      <c r="O144" s="9">
        <v>46446</v>
      </c>
      <c r="P144" s="9">
        <v>46446</v>
      </c>
      <c r="Q144" s="9">
        <v>46446</v>
      </c>
      <c r="R144" s="9">
        <v>46538</v>
      </c>
      <c r="S144" s="9">
        <v>46538</v>
      </c>
      <c r="T144" s="9">
        <v>46538</v>
      </c>
      <c r="U144" s="9" t="s">
        <v>154</v>
      </c>
      <c r="Z144" s="26"/>
    </row>
    <row r="145" spans="1:28" ht="72">
      <c r="A145" s="149">
        <f t="shared" si="10"/>
        <v>130</v>
      </c>
      <c r="B145" s="194" t="s">
        <v>231</v>
      </c>
      <c r="C145" s="193" t="s">
        <v>598</v>
      </c>
      <c r="D145" s="255">
        <v>45957</v>
      </c>
      <c r="E145" s="196">
        <v>0.69879999999999998</v>
      </c>
      <c r="F145" s="196">
        <v>0.29349999999999998</v>
      </c>
      <c r="G145" s="149" t="s">
        <v>382</v>
      </c>
      <c r="H145" s="149" t="s">
        <v>546</v>
      </c>
      <c r="I145" s="149" t="s">
        <v>554</v>
      </c>
      <c r="J145" s="149"/>
      <c r="K145" s="149" t="s">
        <v>53</v>
      </c>
      <c r="L145" s="9">
        <v>46989</v>
      </c>
      <c r="M145" s="9">
        <v>46989</v>
      </c>
      <c r="N145" s="9">
        <v>46505</v>
      </c>
      <c r="O145" s="9">
        <v>47019</v>
      </c>
      <c r="P145" s="9">
        <v>47019</v>
      </c>
      <c r="Q145" s="9">
        <v>47019</v>
      </c>
      <c r="R145" s="9">
        <v>47052</v>
      </c>
      <c r="S145" s="9">
        <v>47052</v>
      </c>
      <c r="T145" s="9">
        <v>47052</v>
      </c>
      <c r="U145" s="361" t="s">
        <v>599</v>
      </c>
      <c r="V145" s="27"/>
      <c r="W145" s="27"/>
      <c r="X145" s="27"/>
      <c r="Y145" s="19"/>
      <c r="AA145" s="28"/>
      <c r="AB145" s="28"/>
    </row>
    <row r="146" spans="1:28" ht="36">
      <c r="A146" s="149">
        <f t="shared" si="10"/>
        <v>131</v>
      </c>
      <c r="B146" s="194" t="s">
        <v>232</v>
      </c>
      <c r="C146" s="193" t="s">
        <v>600</v>
      </c>
      <c r="D146" s="255">
        <v>45988</v>
      </c>
      <c r="E146" s="196">
        <v>0.3206</v>
      </c>
      <c r="F146" s="196">
        <v>0.18970000000000001</v>
      </c>
      <c r="G146" s="149" t="s">
        <v>382</v>
      </c>
      <c r="H146" s="149" t="s">
        <v>546</v>
      </c>
      <c r="I146" s="149" t="s">
        <v>554</v>
      </c>
      <c r="J146" s="149"/>
      <c r="K146" s="149" t="s">
        <v>53</v>
      </c>
      <c r="L146" s="9">
        <v>46617</v>
      </c>
      <c r="M146" s="9">
        <v>46617</v>
      </c>
      <c r="N146" s="9">
        <v>46502</v>
      </c>
      <c r="O146" s="9">
        <v>46408</v>
      </c>
      <c r="P146" s="9">
        <v>46398</v>
      </c>
      <c r="Q146" s="9">
        <v>46513</v>
      </c>
      <c r="R146" s="9">
        <v>46461</v>
      </c>
      <c r="S146" s="9">
        <v>46477</v>
      </c>
      <c r="T146" s="9">
        <v>46966</v>
      </c>
      <c r="U146" s="251" t="s">
        <v>601</v>
      </c>
      <c r="V146" s="27"/>
      <c r="W146" s="27"/>
      <c r="X146" s="27"/>
      <c r="Y146" s="19"/>
      <c r="AA146" s="28"/>
      <c r="AB146" s="28"/>
    </row>
    <row r="147" spans="1:28" ht="36">
      <c r="A147" s="149">
        <f t="shared" si="10"/>
        <v>132</v>
      </c>
      <c r="B147" s="194" t="s">
        <v>233</v>
      </c>
      <c r="C147" s="437" t="s">
        <v>602</v>
      </c>
      <c r="D147" s="364" t="s">
        <v>603</v>
      </c>
      <c r="E147" s="196"/>
      <c r="F147" s="196"/>
      <c r="G147" s="149" t="s">
        <v>154</v>
      </c>
      <c r="H147" s="149" t="s">
        <v>546</v>
      </c>
      <c r="I147" s="149" t="s">
        <v>154</v>
      </c>
      <c r="J147" s="149"/>
      <c r="K147" s="149" t="s">
        <v>53</v>
      </c>
      <c r="L147" s="9"/>
      <c r="M147" s="9"/>
      <c r="N147" s="9"/>
      <c r="O147" s="9"/>
      <c r="P147" s="9"/>
      <c r="Q147" s="9"/>
      <c r="R147" s="9"/>
      <c r="S147" s="9"/>
      <c r="T147" s="9"/>
      <c r="U147" s="9" t="s">
        <v>154</v>
      </c>
      <c r="V147" s="27"/>
      <c r="W147" s="27"/>
      <c r="X147" s="27"/>
      <c r="Y147" s="19"/>
      <c r="AA147" s="28"/>
      <c r="AB147" s="28"/>
    </row>
    <row r="148" spans="1:28" ht="36">
      <c r="A148" s="149">
        <f t="shared" si="10"/>
        <v>133</v>
      </c>
      <c r="B148" s="194" t="s">
        <v>234</v>
      </c>
      <c r="C148" s="437" t="s">
        <v>604</v>
      </c>
      <c r="D148" s="364" t="s">
        <v>603</v>
      </c>
      <c r="E148" s="196"/>
      <c r="F148" s="196"/>
      <c r="G148" s="149" t="s">
        <v>154</v>
      </c>
      <c r="H148" s="149" t="s">
        <v>546</v>
      </c>
      <c r="I148" s="149" t="s">
        <v>154</v>
      </c>
      <c r="J148" s="149"/>
      <c r="K148" s="149" t="s">
        <v>53</v>
      </c>
      <c r="L148" s="9"/>
      <c r="M148" s="9"/>
      <c r="N148" s="9"/>
      <c r="O148" s="9"/>
      <c r="P148" s="9"/>
      <c r="Q148" s="9"/>
      <c r="R148" s="9"/>
      <c r="S148" s="9"/>
      <c r="T148" s="9"/>
      <c r="U148" s="9" t="s">
        <v>154</v>
      </c>
      <c r="V148" s="27"/>
      <c r="W148" s="27"/>
      <c r="X148" s="27"/>
      <c r="Y148" s="19"/>
      <c r="AA148" s="28"/>
      <c r="AB148" s="28"/>
    </row>
    <row r="149" spans="1:28" s="170" customFormat="1" ht="162">
      <c r="A149" s="227">
        <f t="shared" si="10"/>
        <v>134</v>
      </c>
      <c r="B149" s="385" t="s">
        <v>235</v>
      </c>
      <c r="C149" s="193" t="s">
        <v>605</v>
      </c>
      <c r="D149" s="270">
        <v>45945</v>
      </c>
      <c r="E149" s="196">
        <v>0.62350000000000005</v>
      </c>
      <c r="F149" s="196">
        <v>0.47589999999999999</v>
      </c>
      <c r="G149" s="149" t="s">
        <v>76</v>
      </c>
      <c r="H149" s="149" t="s">
        <v>546</v>
      </c>
      <c r="I149" s="149" t="s">
        <v>606</v>
      </c>
      <c r="J149" s="238"/>
      <c r="K149" s="149" t="s">
        <v>53</v>
      </c>
      <c r="L149" s="9">
        <v>46492</v>
      </c>
      <c r="M149" s="9">
        <v>46492</v>
      </c>
      <c r="N149" s="9">
        <v>46614</v>
      </c>
      <c r="O149" s="9">
        <v>46553</v>
      </c>
      <c r="P149" s="9">
        <v>46553</v>
      </c>
      <c r="Q149" s="9">
        <v>46675</v>
      </c>
      <c r="R149" s="9">
        <v>46645</v>
      </c>
      <c r="S149" s="9">
        <v>46645</v>
      </c>
      <c r="T149" s="9">
        <v>46767</v>
      </c>
      <c r="U149" s="440" t="s">
        <v>607</v>
      </c>
      <c r="V149" s="172"/>
      <c r="W149" s="172"/>
      <c r="X149" s="172"/>
      <c r="Y149" s="173"/>
      <c r="AA149" s="174"/>
      <c r="AB149" s="174"/>
    </row>
    <row r="150" spans="1:28" ht="234">
      <c r="A150" s="149">
        <f t="shared" si="10"/>
        <v>135</v>
      </c>
      <c r="B150" s="194" t="s">
        <v>236</v>
      </c>
      <c r="C150" s="193" t="s">
        <v>608</v>
      </c>
      <c r="D150" s="255">
        <v>46030</v>
      </c>
      <c r="E150" s="196">
        <v>0.27</v>
      </c>
      <c r="F150" s="196">
        <v>0.14000000000000001</v>
      </c>
      <c r="G150" s="149" t="s">
        <v>76</v>
      </c>
      <c r="H150" s="149" t="s">
        <v>546</v>
      </c>
      <c r="I150" s="149" t="s">
        <v>554</v>
      </c>
      <c r="J150" s="149"/>
      <c r="K150" s="149" t="s">
        <v>53</v>
      </c>
      <c r="L150" s="9">
        <v>46576</v>
      </c>
      <c r="M150" s="9">
        <v>46576</v>
      </c>
      <c r="N150" s="9">
        <v>46631</v>
      </c>
      <c r="O150" s="9">
        <v>46638</v>
      </c>
      <c r="P150" s="9">
        <v>46638</v>
      </c>
      <c r="Q150" s="9">
        <v>46692</v>
      </c>
      <c r="R150" s="9">
        <v>46729</v>
      </c>
      <c r="S150" s="9">
        <v>46729</v>
      </c>
      <c r="T150" s="9">
        <v>46784</v>
      </c>
      <c r="U150" s="251" t="s">
        <v>609</v>
      </c>
      <c r="V150" s="27"/>
      <c r="W150" s="27"/>
      <c r="X150" s="27"/>
      <c r="Y150" s="19"/>
      <c r="AA150" s="28"/>
      <c r="AB150" s="28"/>
    </row>
    <row r="151" spans="1:28" ht="21">
      <c r="A151" s="149">
        <f t="shared" si="10"/>
        <v>136</v>
      </c>
      <c r="B151" s="194" t="s">
        <v>237</v>
      </c>
      <c r="C151" s="193" t="s">
        <v>610</v>
      </c>
      <c r="D151" s="255">
        <v>46000</v>
      </c>
      <c r="E151" s="196">
        <v>0.4022</v>
      </c>
      <c r="F151" s="196">
        <v>0.19800000000000001</v>
      </c>
      <c r="G151" s="149" t="s">
        <v>76</v>
      </c>
      <c r="H151" s="149" t="s">
        <v>546</v>
      </c>
      <c r="I151" s="149" t="s">
        <v>554</v>
      </c>
      <c r="J151" s="149"/>
      <c r="K151" s="149" t="s">
        <v>53</v>
      </c>
      <c r="L151" s="9">
        <v>46547</v>
      </c>
      <c r="M151" s="9">
        <v>46547</v>
      </c>
      <c r="N151" s="9">
        <v>46608</v>
      </c>
      <c r="O151" s="9">
        <v>46608</v>
      </c>
      <c r="P151" s="9">
        <v>46608</v>
      </c>
      <c r="Q151" s="9">
        <v>46669</v>
      </c>
      <c r="R151" s="9">
        <v>46700</v>
      </c>
      <c r="S151" s="9">
        <v>46700</v>
      </c>
      <c r="T151" s="9">
        <v>46761</v>
      </c>
      <c r="U151" s="251" t="s">
        <v>611</v>
      </c>
      <c r="V151" s="27"/>
      <c r="W151" s="27"/>
      <c r="X151" s="27"/>
      <c r="Y151" s="19"/>
      <c r="AA151" s="28"/>
      <c r="AB151" s="28"/>
    </row>
    <row r="152" spans="1:28" ht="21">
      <c r="A152" s="149">
        <f t="shared" si="10"/>
        <v>137</v>
      </c>
      <c r="B152" s="194" t="s">
        <v>238</v>
      </c>
      <c r="C152" s="437" t="s">
        <v>612</v>
      </c>
      <c r="D152" s="364" t="s">
        <v>603</v>
      </c>
      <c r="E152" s="196"/>
      <c r="F152" s="196"/>
      <c r="G152" s="149" t="s">
        <v>154</v>
      </c>
      <c r="H152" s="149" t="s">
        <v>546</v>
      </c>
      <c r="I152" s="149" t="s">
        <v>154</v>
      </c>
      <c r="J152" s="149"/>
      <c r="K152" s="149" t="s">
        <v>53</v>
      </c>
      <c r="L152" s="9"/>
      <c r="M152" s="9"/>
      <c r="N152" s="9"/>
      <c r="O152" s="9"/>
      <c r="P152" s="9"/>
      <c r="Q152" s="9"/>
      <c r="R152" s="9"/>
      <c r="S152" s="9"/>
      <c r="T152" s="9"/>
      <c r="U152" s="9" t="s">
        <v>154</v>
      </c>
      <c r="V152" s="27"/>
      <c r="W152" s="27"/>
      <c r="X152" s="27"/>
      <c r="Y152" s="19"/>
      <c r="AA152" s="28"/>
      <c r="AB152" s="28"/>
    </row>
    <row r="153" spans="1:28" ht="54">
      <c r="A153" s="149">
        <f t="shared" si="10"/>
        <v>138</v>
      </c>
      <c r="B153" s="194" t="s">
        <v>239</v>
      </c>
      <c r="C153" s="437" t="s">
        <v>613</v>
      </c>
      <c r="D153" s="364" t="s">
        <v>603</v>
      </c>
      <c r="E153" s="196"/>
      <c r="F153" s="196"/>
      <c r="G153" s="149" t="s">
        <v>76</v>
      </c>
      <c r="H153" s="149" t="s">
        <v>546</v>
      </c>
      <c r="I153" s="149" t="s">
        <v>154</v>
      </c>
      <c r="J153" s="149"/>
      <c r="K153" s="149" t="s">
        <v>53</v>
      </c>
      <c r="L153" s="9"/>
      <c r="M153" s="9"/>
      <c r="N153" s="9"/>
      <c r="O153" s="9"/>
      <c r="P153" s="9"/>
      <c r="Q153" s="9"/>
      <c r="R153" s="9"/>
      <c r="S153" s="9"/>
      <c r="T153" s="9"/>
      <c r="U153" s="9" t="s">
        <v>154</v>
      </c>
      <c r="V153" s="27"/>
      <c r="W153" s="27"/>
      <c r="X153" s="27"/>
      <c r="Y153" s="19"/>
      <c r="AA153" s="28"/>
      <c r="AB153" s="28"/>
    </row>
    <row r="154" spans="1:28" ht="54">
      <c r="A154" s="149">
        <f t="shared" si="10"/>
        <v>139</v>
      </c>
      <c r="B154" s="194" t="s">
        <v>240</v>
      </c>
      <c r="C154" s="437" t="s">
        <v>614</v>
      </c>
      <c r="D154" s="364" t="s">
        <v>603</v>
      </c>
      <c r="E154" s="196"/>
      <c r="F154" s="196"/>
      <c r="G154" s="149" t="s">
        <v>76</v>
      </c>
      <c r="H154" s="149" t="s">
        <v>546</v>
      </c>
      <c r="I154" s="149" t="s">
        <v>154</v>
      </c>
      <c r="J154" s="149"/>
      <c r="K154" s="149" t="s">
        <v>53</v>
      </c>
      <c r="L154" s="9"/>
      <c r="M154" s="9"/>
      <c r="N154" s="9"/>
      <c r="O154" s="9"/>
      <c r="P154" s="9"/>
      <c r="Q154" s="9"/>
      <c r="R154" s="9"/>
      <c r="S154" s="9"/>
      <c r="T154" s="9"/>
      <c r="U154" s="9" t="s">
        <v>154</v>
      </c>
      <c r="V154" s="27"/>
      <c r="W154" s="27"/>
      <c r="X154" s="27"/>
      <c r="Y154" s="19"/>
      <c r="AA154" s="28"/>
      <c r="AB154" s="28"/>
    </row>
    <row r="155" spans="1:28" ht="21">
      <c r="A155" s="149">
        <f t="shared" si="10"/>
        <v>140</v>
      </c>
      <c r="B155" s="194" t="s">
        <v>241</v>
      </c>
      <c r="C155" s="193" t="s">
        <v>615</v>
      </c>
      <c r="D155" s="255">
        <v>46124</v>
      </c>
      <c r="E155" s="196">
        <v>7.7299999999999994E-2</v>
      </c>
      <c r="F155" s="196">
        <v>7.3700000000000002E-2</v>
      </c>
      <c r="G155" s="149" t="s">
        <v>76</v>
      </c>
      <c r="H155" s="149" t="s">
        <v>546</v>
      </c>
      <c r="I155" s="149" t="s">
        <v>554</v>
      </c>
      <c r="J155" s="149"/>
      <c r="K155" s="149" t="s">
        <v>53</v>
      </c>
      <c r="L155" s="9">
        <v>46855</v>
      </c>
      <c r="M155" s="9">
        <v>46855</v>
      </c>
      <c r="N155" s="9">
        <v>46855</v>
      </c>
      <c r="O155" s="9">
        <v>46916</v>
      </c>
      <c r="P155" s="9">
        <v>46916</v>
      </c>
      <c r="Q155" s="9">
        <v>46916</v>
      </c>
      <c r="R155" s="9">
        <v>47008</v>
      </c>
      <c r="S155" s="9">
        <v>47008</v>
      </c>
      <c r="T155" s="9">
        <v>47008</v>
      </c>
      <c r="U155" s="9" t="s">
        <v>154</v>
      </c>
      <c r="V155" s="27"/>
      <c r="W155" s="27"/>
      <c r="X155" s="27"/>
      <c r="Y155" s="19"/>
      <c r="AA155" s="28"/>
      <c r="AB155" s="28"/>
    </row>
    <row r="156" spans="1:28" ht="36">
      <c r="A156" s="149">
        <f>A155+1</f>
        <v>141</v>
      </c>
      <c r="B156" s="194" t="s">
        <v>616</v>
      </c>
      <c r="C156" s="437" t="s">
        <v>617</v>
      </c>
      <c r="D156" s="364" t="s">
        <v>603</v>
      </c>
      <c r="E156" s="196"/>
      <c r="F156" s="196"/>
      <c r="G156" s="149" t="s">
        <v>76</v>
      </c>
      <c r="H156" s="149" t="s">
        <v>546</v>
      </c>
      <c r="I156" s="149" t="s">
        <v>554</v>
      </c>
      <c r="J156" s="149"/>
      <c r="K156" s="149" t="s">
        <v>53</v>
      </c>
      <c r="L156" s="9"/>
      <c r="M156" s="9"/>
      <c r="N156" s="9"/>
      <c r="O156" s="9"/>
      <c r="P156" s="9"/>
      <c r="Q156" s="9"/>
      <c r="R156" s="9"/>
      <c r="S156" s="9"/>
      <c r="T156" s="9"/>
      <c r="U156" s="9"/>
      <c r="V156" s="27"/>
      <c r="W156" s="27"/>
      <c r="X156" s="27"/>
      <c r="Y156" s="19"/>
      <c r="AA156" s="28"/>
      <c r="AB156" s="28"/>
    </row>
    <row r="157" spans="1:28" ht="36">
      <c r="A157" s="149">
        <f>A156+1</f>
        <v>142</v>
      </c>
      <c r="B157" s="194" t="s">
        <v>242</v>
      </c>
      <c r="C157" s="193" t="s">
        <v>618</v>
      </c>
      <c r="D157" s="255">
        <v>46155</v>
      </c>
      <c r="E157" s="196">
        <v>0.1137</v>
      </c>
      <c r="F157" s="196">
        <v>5.1799999999999999E-2</v>
      </c>
      <c r="G157" s="149" t="s">
        <v>76</v>
      </c>
      <c r="H157" s="149" t="s">
        <v>546</v>
      </c>
      <c r="I157" s="149" t="s">
        <v>554</v>
      </c>
      <c r="J157" s="149"/>
      <c r="K157" s="149" t="s">
        <v>53</v>
      </c>
      <c r="L157" s="9">
        <v>46704</v>
      </c>
      <c r="M157" s="9">
        <v>46704</v>
      </c>
      <c r="N157" s="9">
        <v>46704</v>
      </c>
      <c r="O157" s="9">
        <v>46765</v>
      </c>
      <c r="P157" s="9">
        <v>46765</v>
      </c>
      <c r="Q157" s="9">
        <v>46765</v>
      </c>
      <c r="R157" s="9">
        <v>46856</v>
      </c>
      <c r="S157" s="9">
        <v>46856</v>
      </c>
      <c r="T157" s="9">
        <v>46856</v>
      </c>
      <c r="U157" s="9" t="s">
        <v>154</v>
      </c>
      <c r="V157" s="27"/>
      <c r="W157" s="27"/>
      <c r="X157" s="27"/>
      <c r="Y157" s="19"/>
      <c r="AA157" s="28"/>
      <c r="AB157" s="28"/>
    </row>
    <row r="158" spans="1:28" s="322" customFormat="1" ht="21" customHeight="1">
      <c r="A158" s="334"/>
      <c r="B158" s="335"/>
      <c r="C158" s="5" t="s">
        <v>619</v>
      </c>
      <c r="D158" s="352"/>
      <c r="E158" s="347"/>
      <c r="F158" s="347"/>
      <c r="G158" s="334"/>
      <c r="H158" s="334"/>
      <c r="I158" s="334"/>
      <c r="J158" s="312"/>
      <c r="K158" s="313"/>
      <c r="L158" s="348"/>
      <c r="M158" s="349"/>
      <c r="N158" s="351"/>
      <c r="O158" s="348"/>
      <c r="P158" s="349"/>
      <c r="Q158" s="350"/>
      <c r="R158" s="353"/>
      <c r="S158" s="349"/>
      <c r="T158" s="351"/>
      <c r="U158" s="321" t="s">
        <v>154</v>
      </c>
    </row>
    <row r="159" spans="1:28" ht="21" customHeight="1">
      <c r="A159" s="149">
        <f>A157+1</f>
        <v>143</v>
      </c>
      <c r="B159" s="194" t="s">
        <v>244</v>
      </c>
      <c r="C159" s="20" t="s">
        <v>620</v>
      </c>
      <c r="D159" s="255">
        <v>44679</v>
      </c>
      <c r="E159" s="196">
        <v>0.99970000000000003</v>
      </c>
      <c r="F159" s="196">
        <v>0.96519999999999995</v>
      </c>
      <c r="G159" s="149" t="s">
        <v>621</v>
      </c>
      <c r="H159" s="149" t="s">
        <v>75</v>
      </c>
      <c r="I159" s="149" t="s">
        <v>123</v>
      </c>
      <c r="J159" s="197"/>
      <c r="K159" s="198" t="s">
        <v>53</v>
      </c>
      <c r="L159" s="137">
        <v>45673</v>
      </c>
      <c r="M159" s="137">
        <v>45673</v>
      </c>
      <c r="N159" s="257">
        <v>45777</v>
      </c>
      <c r="O159" s="137">
        <v>45673</v>
      </c>
      <c r="P159" s="137">
        <v>45673</v>
      </c>
      <c r="Q159" s="257">
        <v>45777</v>
      </c>
      <c r="R159" s="137">
        <v>45673</v>
      </c>
      <c r="S159" s="137">
        <v>45673</v>
      </c>
      <c r="T159" s="258">
        <v>45777</v>
      </c>
      <c r="U159" s="45" t="s">
        <v>154</v>
      </c>
    </row>
    <row r="160" spans="1:28" ht="21" customHeight="1">
      <c r="A160" s="149">
        <f t="shared" ref="A160:A172" si="11">A159+1</f>
        <v>144</v>
      </c>
      <c r="B160" s="194" t="s">
        <v>245</v>
      </c>
      <c r="C160" s="20" t="s">
        <v>622</v>
      </c>
      <c r="D160" s="255">
        <v>44679</v>
      </c>
      <c r="E160" s="196">
        <v>1</v>
      </c>
      <c r="F160" s="196">
        <v>0.99990000000000001</v>
      </c>
      <c r="G160" s="149" t="s">
        <v>623</v>
      </c>
      <c r="H160" s="149" t="s">
        <v>426</v>
      </c>
      <c r="I160" s="149" t="s">
        <v>624</v>
      </c>
      <c r="J160" s="197"/>
      <c r="K160" s="198" t="s">
        <v>53</v>
      </c>
      <c r="L160" s="137">
        <v>45449</v>
      </c>
      <c r="M160" s="137">
        <v>45449</v>
      </c>
      <c r="N160" s="257">
        <v>46022</v>
      </c>
      <c r="O160" s="137">
        <v>45449</v>
      </c>
      <c r="P160" s="137">
        <v>45449</v>
      </c>
      <c r="Q160" s="257">
        <v>45645</v>
      </c>
      <c r="R160" s="137">
        <v>45449</v>
      </c>
      <c r="S160" s="137">
        <v>45449</v>
      </c>
      <c r="T160" s="258">
        <v>45645</v>
      </c>
      <c r="U160" s="45" t="s">
        <v>154</v>
      </c>
    </row>
    <row r="161" spans="1:21" ht="21" customHeight="1">
      <c r="A161" s="149">
        <f t="shared" si="11"/>
        <v>145</v>
      </c>
      <c r="B161" s="194" t="s">
        <v>246</v>
      </c>
      <c r="C161" s="20" t="s">
        <v>625</v>
      </c>
      <c r="D161" s="255">
        <v>44679</v>
      </c>
      <c r="E161" s="196">
        <v>1</v>
      </c>
      <c r="F161" s="196">
        <v>0.99990000000000001</v>
      </c>
      <c r="G161" s="149" t="s">
        <v>623</v>
      </c>
      <c r="H161" s="149" t="s">
        <v>426</v>
      </c>
      <c r="I161" s="149" t="s">
        <v>624</v>
      </c>
      <c r="J161" s="197"/>
      <c r="K161" s="198" t="s">
        <v>53</v>
      </c>
      <c r="L161" s="137">
        <v>45449</v>
      </c>
      <c r="M161" s="137">
        <v>45449</v>
      </c>
      <c r="N161" s="257">
        <v>46022</v>
      </c>
      <c r="O161" s="137">
        <v>45449</v>
      </c>
      <c r="P161" s="137">
        <v>45449</v>
      </c>
      <c r="Q161" s="257">
        <v>45645</v>
      </c>
      <c r="R161" s="137">
        <v>45449</v>
      </c>
      <c r="S161" s="137">
        <v>45449</v>
      </c>
      <c r="T161" s="258">
        <v>45645</v>
      </c>
      <c r="U161" s="45" t="s">
        <v>154</v>
      </c>
    </row>
    <row r="162" spans="1:21" ht="21" customHeight="1">
      <c r="A162" s="149">
        <f t="shared" si="11"/>
        <v>146</v>
      </c>
      <c r="B162" s="194" t="s">
        <v>247</v>
      </c>
      <c r="C162" s="20" t="s">
        <v>626</v>
      </c>
      <c r="D162" s="255">
        <v>44679</v>
      </c>
      <c r="E162" s="196">
        <v>1</v>
      </c>
      <c r="F162" s="196">
        <v>0.99990000000000001</v>
      </c>
      <c r="G162" s="149" t="s">
        <v>623</v>
      </c>
      <c r="H162" s="149" t="s">
        <v>426</v>
      </c>
      <c r="I162" s="149" t="s">
        <v>624</v>
      </c>
      <c r="J162" s="197"/>
      <c r="K162" s="198" t="s">
        <v>53</v>
      </c>
      <c r="L162" s="137">
        <v>45449</v>
      </c>
      <c r="M162" s="137">
        <v>45449</v>
      </c>
      <c r="N162" s="257">
        <v>46022</v>
      </c>
      <c r="O162" s="137">
        <v>45449</v>
      </c>
      <c r="P162" s="137">
        <v>45449</v>
      </c>
      <c r="Q162" s="257">
        <v>45641</v>
      </c>
      <c r="R162" s="137">
        <v>45449</v>
      </c>
      <c r="S162" s="137">
        <v>45449</v>
      </c>
      <c r="T162" s="258">
        <v>45641</v>
      </c>
      <c r="U162" s="45" t="s">
        <v>154</v>
      </c>
    </row>
    <row r="163" spans="1:21" ht="21" customHeight="1">
      <c r="A163" s="149">
        <f t="shared" si="11"/>
        <v>147</v>
      </c>
      <c r="B163" s="194" t="s">
        <v>248</v>
      </c>
      <c r="C163" s="20" t="s">
        <v>627</v>
      </c>
      <c r="D163" s="255" t="s">
        <v>277</v>
      </c>
      <c r="E163" s="196">
        <v>1</v>
      </c>
      <c r="F163" s="196">
        <v>0.99990000000000001</v>
      </c>
      <c r="G163" s="149" t="s">
        <v>623</v>
      </c>
      <c r="H163" s="149" t="s">
        <v>426</v>
      </c>
      <c r="I163" s="149" t="s">
        <v>624</v>
      </c>
      <c r="J163" s="197"/>
      <c r="K163" s="198" t="s">
        <v>53</v>
      </c>
      <c r="L163" s="137">
        <v>45494</v>
      </c>
      <c r="M163" s="137">
        <v>45494</v>
      </c>
      <c r="N163" s="257">
        <v>46022</v>
      </c>
      <c r="O163" s="137">
        <v>45494</v>
      </c>
      <c r="P163" s="137">
        <v>45494</v>
      </c>
      <c r="Q163" s="257">
        <v>45641</v>
      </c>
      <c r="R163" s="137">
        <v>45494</v>
      </c>
      <c r="S163" s="137">
        <v>45494</v>
      </c>
      <c r="T163" s="258">
        <v>45641</v>
      </c>
      <c r="U163" s="45" t="s">
        <v>154</v>
      </c>
    </row>
    <row r="164" spans="1:21" ht="21" customHeight="1">
      <c r="A164" s="149">
        <f t="shared" si="11"/>
        <v>148</v>
      </c>
      <c r="B164" s="194" t="s">
        <v>249</v>
      </c>
      <c r="C164" s="20" t="s">
        <v>628</v>
      </c>
      <c r="D164" s="255">
        <v>44885</v>
      </c>
      <c r="E164" s="196">
        <v>1</v>
      </c>
      <c r="F164" s="196">
        <v>0.99990000000000001</v>
      </c>
      <c r="G164" s="149" t="s">
        <v>623</v>
      </c>
      <c r="H164" s="149" t="s">
        <v>426</v>
      </c>
      <c r="I164" s="149" t="s">
        <v>624</v>
      </c>
      <c r="J164" s="197"/>
      <c r="K164" s="198" t="s">
        <v>53</v>
      </c>
      <c r="L164" s="137">
        <v>45539</v>
      </c>
      <c r="M164" s="137">
        <v>45539</v>
      </c>
      <c r="N164" s="257">
        <v>46022</v>
      </c>
      <c r="O164" s="137">
        <v>45539</v>
      </c>
      <c r="P164" s="137">
        <v>45539</v>
      </c>
      <c r="Q164" s="257">
        <v>45672</v>
      </c>
      <c r="R164" s="137">
        <v>45539</v>
      </c>
      <c r="S164" s="137">
        <v>45539</v>
      </c>
      <c r="T164" s="258">
        <v>45672</v>
      </c>
      <c r="U164" s="45" t="s">
        <v>154</v>
      </c>
    </row>
    <row r="165" spans="1:21" ht="21" customHeight="1">
      <c r="A165" s="149">
        <f t="shared" si="11"/>
        <v>149</v>
      </c>
      <c r="B165" s="194" t="s">
        <v>250</v>
      </c>
      <c r="C165" s="20" t="s">
        <v>629</v>
      </c>
      <c r="D165" s="255">
        <v>45074</v>
      </c>
      <c r="E165" s="196">
        <v>1</v>
      </c>
      <c r="F165" s="196">
        <v>0.6028</v>
      </c>
      <c r="G165" s="149" t="s">
        <v>630</v>
      </c>
      <c r="H165" s="149" t="s">
        <v>546</v>
      </c>
      <c r="I165" s="149" t="s">
        <v>554</v>
      </c>
      <c r="J165" s="197"/>
      <c r="K165" s="198" t="s">
        <v>53</v>
      </c>
      <c r="L165" s="137">
        <v>45804</v>
      </c>
      <c r="M165" s="137">
        <v>45804</v>
      </c>
      <c r="N165" s="137">
        <v>46294</v>
      </c>
      <c r="O165" s="137">
        <v>45804</v>
      </c>
      <c r="P165" s="137">
        <v>45804</v>
      </c>
      <c r="Q165" s="137">
        <v>46294</v>
      </c>
      <c r="R165" s="137">
        <v>45804</v>
      </c>
      <c r="S165" s="137">
        <v>45804</v>
      </c>
      <c r="T165" s="163">
        <v>46294</v>
      </c>
      <c r="U165" s="9" t="s">
        <v>154</v>
      </c>
    </row>
    <row r="166" spans="1:21" ht="21" customHeight="1">
      <c r="A166" s="149">
        <f t="shared" si="11"/>
        <v>150</v>
      </c>
      <c r="B166" s="194" t="s">
        <v>251</v>
      </c>
      <c r="C166" s="20" t="s">
        <v>631</v>
      </c>
      <c r="D166" s="255">
        <v>45078</v>
      </c>
      <c r="E166" s="196">
        <v>1</v>
      </c>
      <c r="F166" s="196">
        <v>1</v>
      </c>
      <c r="G166" s="149" t="s">
        <v>632</v>
      </c>
      <c r="H166" s="149" t="s">
        <v>426</v>
      </c>
      <c r="I166" s="149" t="s">
        <v>624</v>
      </c>
      <c r="J166" s="197"/>
      <c r="K166" s="198" t="s">
        <v>53</v>
      </c>
      <c r="L166" s="259">
        <v>45386</v>
      </c>
      <c r="M166" s="259">
        <v>45467</v>
      </c>
      <c r="N166" s="260">
        <v>45792</v>
      </c>
      <c r="O166" s="259">
        <v>45386</v>
      </c>
      <c r="P166" s="259">
        <v>45467</v>
      </c>
      <c r="Q166" s="260">
        <v>45792</v>
      </c>
      <c r="R166" s="259">
        <v>45386</v>
      </c>
      <c r="S166" s="259">
        <v>45467</v>
      </c>
      <c r="T166" s="261">
        <v>45792</v>
      </c>
      <c r="U166" s="262" t="s">
        <v>154</v>
      </c>
    </row>
    <row r="167" spans="1:21" ht="21" customHeight="1">
      <c r="A167" s="149">
        <f t="shared" si="11"/>
        <v>151</v>
      </c>
      <c r="B167" s="194" t="s">
        <v>253</v>
      </c>
      <c r="C167" s="20" t="s">
        <v>633</v>
      </c>
      <c r="D167" s="255">
        <v>45697</v>
      </c>
      <c r="E167" s="196">
        <v>0.32400000000000001</v>
      </c>
      <c r="F167" s="196">
        <v>0.21490000000000001</v>
      </c>
      <c r="G167" s="149" t="s">
        <v>397</v>
      </c>
      <c r="H167" s="149" t="s">
        <v>75</v>
      </c>
      <c r="I167" s="149" t="s">
        <v>77</v>
      </c>
      <c r="J167" s="205"/>
      <c r="K167" s="198" t="s">
        <v>33</v>
      </c>
      <c r="L167" s="137">
        <v>46657</v>
      </c>
      <c r="M167" s="137">
        <v>46657</v>
      </c>
      <c r="N167" s="137">
        <v>47164</v>
      </c>
      <c r="O167" s="137">
        <v>46677</v>
      </c>
      <c r="P167" s="137">
        <v>46677</v>
      </c>
      <c r="Q167" s="137">
        <v>47183</v>
      </c>
      <c r="R167" s="137">
        <v>46687</v>
      </c>
      <c r="S167" s="137">
        <v>46687</v>
      </c>
      <c r="T167" s="163">
        <v>47193</v>
      </c>
      <c r="U167" s="9" t="s">
        <v>154</v>
      </c>
    </row>
    <row r="168" spans="1:21" ht="21" customHeight="1" thickBot="1">
      <c r="A168" s="149">
        <f t="shared" si="11"/>
        <v>152</v>
      </c>
      <c r="B168" s="194" t="s">
        <v>254</v>
      </c>
      <c r="C168" s="20" t="s">
        <v>634</v>
      </c>
      <c r="D168" s="255">
        <v>45697</v>
      </c>
      <c r="E168" s="196">
        <v>0.32040000000000002</v>
      </c>
      <c r="F168" s="196">
        <v>0.19139999999999999</v>
      </c>
      <c r="G168" s="149" t="s">
        <v>397</v>
      </c>
      <c r="H168" s="149" t="s">
        <v>75</v>
      </c>
      <c r="I168" s="149" t="s">
        <v>635</v>
      </c>
      <c r="J168" s="205"/>
      <c r="K168" s="198" t="s">
        <v>53</v>
      </c>
      <c r="L168" s="137">
        <v>46657</v>
      </c>
      <c r="M168" s="137">
        <v>46657</v>
      </c>
      <c r="N168" s="137">
        <v>46781</v>
      </c>
      <c r="O168" s="137">
        <v>46677</v>
      </c>
      <c r="P168" s="137">
        <v>46677</v>
      </c>
      <c r="Q168" s="137">
        <v>46800</v>
      </c>
      <c r="R168" s="137">
        <v>46687</v>
      </c>
      <c r="S168" s="137">
        <v>46687</v>
      </c>
      <c r="T168" s="163">
        <v>46817</v>
      </c>
      <c r="U168" s="9" t="s">
        <v>154</v>
      </c>
    </row>
    <row r="169" spans="1:21" ht="21" customHeight="1">
      <c r="A169" s="149">
        <f t="shared" si="11"/>
        <v>153</v>
      </c>
      <c r="B169" s="385" t="s">
        <v>252</v>
      </c>
      <c r="C169" s="20" t="s">
        <v>636</v>
      </c>
      <c r="D169" s="255">
        <v>45642</v>
      </c>
      <c r="E169" s="196">
        <v>1</v>
      </c>
      <c r="F169" s="196">
        <v>0.82840000000000003</v>
      </c>
      <c r="G169" s="149" t="s">
        <v>76</v>
      </c>
      <c r="H169" s="149" t="s">
        <v>426</v>
      </c>
      <c r="I169" s="149" t="s">
        <v>637</v>
      </c>
      <c r="J169" s="197"/>
      <c r="K169" s="198" t="s">
        <v>33</v>
      </c>
      <c r="L169" s="263">
        <v>46158</v>
      </c>
      <c r="M169" s="263">
        <v>46264</v>
      </c>
      <c r="N169" s="264">
        <v>46295</v>
      </c>
      <c r="O169" s="265">
        <v>46189</v>
      </c>
      <c r="P169" s="265">
        <v>46295</v>
      </c>
      <c r="Q169" s="264">
        <v>46325</v>
      </c>
      <c r="R169" s="265">
        <v>46554</v>
      </c>
      <c r="S169" s="265">
        <v>46660</v>
      </c>
      <c r="T169" s="264">
        <v>46690</v>
      </c>
      <c r="U169" s="425" t="s">
        <v>638</v>
      </c>
    </row>
    <row r="170" spans="1:21" ht="21" customHeight="1">
      <c r="A170" s="149">
        <f t="shared" si="11"/>
        <v>154</v>
      </c>
      <c r="B170" s="385" t="s">
        <v>255</v>
      </c>
      <c r="C170" s="20" t="s">
        <v>639</v>
      </c>
      <c r="D170" s="255">
        <v>45775</v>
      </c>
      <c r="E170" s="196">
        <v>0.80449999999999999</v>
      </c>
      <c r="F170" s="196">
        <v>0.60060000000000002</v>
      </c>
      <c r="G170" s="149" t="s">
        <v>76</v>
      </c>
      <c r="H170" s="149" t="s">
        <v>546</v>
      </c>
      <c r="I170" s="149" t="s">
        <v>640</v>
      </c>
      <c r="J170" s="197"/>
      <c r="K170" s="198" t="s">
        <v>53</v>
      </c>
      <c r="L170" s="241">
        <v>46321</v>
      </c>
      <c r="M170" s="145">
        <v>46321</v>
      </c>
      <c r="N170" s="146">
        <v>46371</v>
      </c>
      <c r="O170" s="145">
        <v>46352</v>
      </c>
      <c r="P170" s="145">
        <v>46352</v>
      </c>
      <c r="Q170" s="146">
        <v>46402</v>
      </c>
      <c r="R170" s="145">
        <v>46352</v>
      </c>
      <c r="S170" s="145">
        <v>46717</v>
      </c>
      <c r="T170" s="146">
        <v>46767</v>
      </c>
      <c r="U170" s="426" t="s">
        <v>641</v>
      </c>
    </row>
    <row r="171" spans="1:21" ht="21" customHeight="1" thickBot="1">
      <c r="A171" s="149">
        <f t="shared" si="11"/>
        <v>155</v>
      </c>
      <c r="B171" s="385" t="s">
        <v>256</v>
      </c>
      <c r="C171" s="193" t="s">
        <v>642</v>
      </c>
      <c r="D171" s="255">
        <v>45735</v>
      </c>
      <c r="E171" s="196">
        <v>1</v>
      </c>
      <c r="F171" s="196">
        <v>0.70550000000000002</v>
      </c>
      <c r="G171" s="149" t="s">
        <v>76</v>
      </c>
      <c r="H171" s="149" t="s">
        <v>426</v>
      </c>
      <c r="I171" s="149" t="s">
        <v>439</v>
      </c>
      <c r="J171" s="197"/>
      <c r="K171" s="198" t="s">
        <v>33</v>
      </c>
      <c r="L171" s="266">
        <v>46162</v>
      </c>
      <c r="M171" s="266">
        <v>46162</v>
      </c>
      <c r="N171" s="267">
        <v>46325</v>
      </c>
      <c r="O171" s="268">
        <v>46193</v>
      </c>
      <c r="P171" s="268">
        <v>46193</v>
      </c>
      <c r="Q171" s="267">
        <v>46356</v>
      </c>
      <c r="R171" s="268">
        <v>46558</v>
      </c>
      <c r="S171" s="268">
        <v>46558</v>
      </c>
      <c r="T171" s="267">
        <v>46721</v>
      </c>
      <c r="U171" s="425" t="s">
        <v>643</v>
      </c>
    </row>
    <row r="172" spans="1:21" ht="21" customHeight="1">
      <c r="A172" s="149">
        <f t="shared" si="11"/>
        <v>156</v>
      </c>
      <c r="B172" s="194" t="s">
        <v>257</v>
      </c>
      <c r="C172" s="20" t="s">
        <v>644</v>
      </c>
      <c r="D172" s="255">
        <v>45778</v>
      </c>
      <c r="E172" s="196">
        <v>0.1144</v>
      </c>
      <c r="F172" s="196">
        <v>0.11890000000000001</v>
      </c>
      <c r="G172" s="149" t="s">
        <v>630</v>
      </c>
      <c r="H172" s="149" t="s">
        <v>75</v>
      </c>
      <c r="I172" s="149" t="s">
        <v>645</v>
      </c>
      <c r="J172" s="205"/>
      <c r="K172" s="198" t="s">
        <v>53</v>
      </c>
      <c r="L172" s="259">
        <v>46688</v>
      </c>
      <c r="M172" s="259">
        <v>46688</v>
      </c>
      <c r="N172" s="259">
        <v>46688</v>
      </c>
      <c r="O172" s="259">
        <v>46688</v>
      </c>
      <c r="P172" s="259">
        <v>46688</v>
      </c>
      <c r="Q172" s="259">
        <v>46688</v>
      </c>
      <c r="R172" s="259">
        <v>46688</v>
      </c>
      <c r="S172" s="259">
        <v>46688</v>
      </c>
      <c r="T172" s="269">
        <v>46688</v>
      </c>
      <c r="U172" s="231" t="s">
        <v>154</v>
      </c>
    </row>
    <row r="173" spans="1:21" s="322" customFormat="1" ht="21" customHeight="1" thickBot="1">
      <c r="A173" s="334"/>
      <c r="B173" s="335"/>
      <c r="C173" s="5" t="s">
        <v>646</v>
      </c>
      <c r="D173" s="352"/>
      <c r="E173" s="347"/>
      <c r="F173" s="347"/>
      <c r="G173" s="334"/>
      <c r="H173" s="334"/>
      <c r="I173" s="334"/>
      <c r="J173" s="338"/>
      <c r="K173" s="339"/>
      <c r="L173" s="348"/>
      <c r="M173" s="349"/>
      <c r="N173" s="351"/>
      <c r="O173" s="317"/>
      <c r="P173" s="315"/>
      <c r="Q173" s="318"/>
      <c r="R173" s="319"/>
      <c r="S173" s="315"/>
      <c r="T173" s="320"/>
      <c r="U173" s="321" t="s">
        <v>154</v>
      </c>
    </row>
    <row r="174" spans="1:21" ht="21" customHeight="1">
      <c r="A174" s="149">
        <f>A172+1</f>
        <v>157</v>
      </c>
      <c r="B174" s="194" t="s">
        <v>259</v>
      </c>
      <c r="C174" s="20" t="s">
        <v>647</v>
      </c>
      <c r="D174" s="255">
        <v>44488</v>
      </c>
      <c r="E174" s="196">
        <v>1</v>
      </c>
      <c r="F174" s="196">
        <v>0.97440000000000004</v>
      </c>
      <c r="G174" s="149" t="s">
        <v>648</v>
      </c>
      <c r="H174" s="149" t="s">
        <v>426</v>
      </c>
      <c r="I174" s="149" t="s">
        <v>433</v>
      </c>
      <c r="J174" s="197"/>
      <c r="K174" s="198" t="s">
        <v>33</v>
      </c>
      <c r="L174" s="215">
        <v>45400</v>
      </c>
      <c r="M174" s="216">
        <v>45948</v>
      </c>
      <c r="N174" s="217">
        <v>46265</v>
      </c>
      <c r="O174" s="215">
        <v>45400</v>
      </c>
      <c r="P174" s="216">
        <v>45948</v>
      </c>
      <c r="Q174" s="217">
        <v>46265</v>
      </c>
      <c r="R174" s="215">
        <v>45400</v>
      </c>
      <c r="S174" s="216">
        <v>45948</v>
      </c>
      <c r="T174" s="217">
        <v>46265</v>
      </c>
      <c r="U174" s="9" t="s">
        <v>154</v>
      </c>
    </row>
    <row r="175" spans="1:21" ht="31.5" customHeight="1">
      <c r="A175" s="227">
        <f t="shared" ref="A175:A191" si="12">A174+1</f>
        <v>158</v>
      </c>
      <c r="B175" s="225" t="s">
        <v>260</v>
      </c>
      <c r="C175" s="193" t="s">
        <v>649</v>
      </c>
      <c r="D175" s="270">
        <v>44760</v>
      </c>
      <c r="E175" s="271">
        <v>1</v>
      </c>
      <c r="F175" s="271">
        <v>0.94089999999999996</v>
      </c>
      <c r="G175" s="149" t="s">
        <v>650</v>
      </c>
      <c r="H175" s="227" t="s">
        <v>426</v>
      </c>
      <c r="I175" s="227" t="s">
        <v>651</v>
      </c>
      <c r="J175" s="253"/>
      <c r="K175" s="272" t="s">
        <v>33</v>
      </c>
      <c r="L175" s="273">
        <v>45300</v>
      </c>
      <c r="M175" s="224">
        <v>46168</v>
      </c>
      <c r="N175" s="274">
        <v>46249</v>
      </c>
      <c r="O175" s="273">
        <v>45300</v>
      </c>
      <c r="P175" s="224">
        <v>46168</v>
      </c>
      <c r="Q175" s="274">
        <v>46249</v>
      </c>
      <c r="R175" s="273">
        <v>45300</v>
      </c>
      <c r="S175" s="224">
        <v>46168</v>
      </c>
      <c r="T175" s="274">
        <v>46249</v>
      </c>
      <c r="U175" s="166" t="s">
        <v>154</v>
      </c>
    </row>
    <row r="176" spans="1:21" ht="21" customHeight="1">
      <c r="A176" s="227">
        <f t="shared" si="12"/>
        <v>159</v>
      </c>
      <c r="B176" s="225" t="s">
        <v>261</v>
      </c>
      <c r="C176" s="193" t="s">
        <v>652</v>
      </c>
      <c r="D176" s="270">
        <v>45169</v>
      </c>
      <c r="E176" s="271">
        <v>1</v>
      </c>
      <c r="F176" s="271">
        <v>0.98709999999999998</v>
      </c>
      <c r="G176" s="227" t="s">
        <v>653</v>
      </c>
      <c r="H176" s="227" t="s">
        <v>426</v>
      </c>
      <c r="I176" s="227" t="s">
        <v>654</v>
      </c>
      <c r="J176" s="253"/>
      <c r="K176" s="272" t="s">
        <v>33</v>
      </c>
      <c r="L176" s="273">
        <v>45643</v>
      </c>
      <c r="M176" s="224">
        <v>45899</v>
      </c>
      <c r="N176" s="274">
        <v>46264</v>
      </c>
      <c r="O176" s="273">
        <v>45643</v>
      </c>
      <c r="P176" s="224">
        <v>45899</v>
      </c>
      <c r="Q176" s="274">
        <v>46264</v>
      </c>
      <c r="R176" s="273">
        <v>45643</v>
      </c>
      <c r="S176" s="224">
        <v>45899</v>
      </c>
      <c r="T176" s="274">
        <v>46264</v>
      </c>
      <c r="U176" s="166" t="s">
        <v>154</v>
      </c>
    </row>
    <row r="177" spans="1:21" ht="21" customHeight="1">
      <c r="A177" s="227">
        <f t="shared" si="12"/>
        <v>160</v>
      </c>
      <c r="B177" s="225" t="s">
        <v>262</v>
      </c>
      <c r="C177" s="193" t="s">
        <v>655</v>
      </c>
      <c r="D177" s="270">
        <v>44840</v>
      </c>
      <c r="E177" s="271">
        <v>1</v>
      </c>
      <c r="F177" s="271">
        <v>0.99990000000000001</v>
      </c>
      <c r="G177" s="227" t="s">
        <v>656</v>
      </c>
      <c r="H177" s="227" t="s">
        <v>426</v>
      </c>
      <c r="I177" s="227" t="s">
        <v>624</v>
      </c>
      <c r="J177" s="253"/>
      <c r="K177" s="272" t="s">
        <v>53</v>
      </c>
      <c r="L177" s="273">
        <v>45449</v>
      </c>
      <c r="M177" s="224">
        <v>45449</v>
      </c>
      <c r="N177" s="376">
        <v>46022</v>
      </c>
      <c r="O177" s="201">
        <v>45449</v>
      </c>
      <c r="P177" s="166">
        <v>45449</v>
      </c>
      <c r="Q177" s="44">
        <v>46022</v>
      </c>
      <c r="R177" s="201">
        <v>45449</v>
      </c>
      <c r="S177" s="166">
        <v>45449</v>
      </c>
      <c r="T177" s="43">
        <v>46022</v>
      </c>
      <c r="U177" s="166" t="s">
        <v>154</v>
      </c>
    </row>
    <row r="178" spans="1:21" ht="21" customHeight="1">
      <c r="A178" s="227">
        <f t="shared" si="12"/>
        <v>161</v>
      </c>
      <c r="B178" s="225" t="s">
        <v>263</v>
      </c>
      <c r="C178" s="193" t="s">
        <v>657</v>
      </c>
      <c r="D178" s="270">
        <v>44840</v>
      </c>
      <c r="E178" s="271">
        <v>1</v>
      </c>
      <c r="F178" s="271">
        <v>0.99990000000000001</v>
      </c>
      <c r="G178" s="227" t="s">
        <v>656</v>
      </c>
      <c r="H178" s="227" t="s">
        <v>426</v>
      </c>
      <c r="I178" s="227" t="s">
        <v>624</v>
      </c>
      <c r="J178" s="253"/>
      <c r="K178" s="272" t="s">
        <v>53</v>
      </c>
      <c r="L178" s="273">
        <v>45449</v>
      </c>
      <c r="M178" s="224">
        <v>45449</v>
      </c>
      <c r="N178" s="376">
        <v>46022</v>
      </c>
      <c r="O178" s="201">
        <v>45449</v>
      </c>
      <c r="P178" s="166">
        <v>45449</v>
      </c>
      <c r="Q178" s="44">
        <v>46022</v>
      </c>
      <c r="R178" s="201">
        <v>45449</v>
      </c>
      <c r="S178" s="166">
        <v>45449</v>
      </c>
      <c r="T178" s="43">
        <v>46022</v>
      </c>
      <c r="U178" s="166" t="s">
        <v>154</v>
      </c>
    </row>
    <row r="179" spans="1:21" ht="21" customHeight="1">
      <c r="A179" s="227">
        <f t="shared" si="12"/>
        <v>162</v>
      </c>
      <c r="B179" s="225" t="s">
        <v>264</v>
      </c>
      <c r="C179" s="193" t="s">
        <v>658</v>
      </c>
      <c r="D179" s="270">
        <v>44840</v>
      </c>
      <c r="E179" s="271">
        <v>1</v>
      </c>
      <c r="F179" s="271">
        <v>0.99990000000000001</v>
      </c>
      <c r="G179" s="227" t="s">
        <v>656</v>
      </c>
      <c r="H179" s="227" t="s">
        <v>426</v>
      </c>
      <c r="I179" s="227" t="s">
        <v>624</v>
      </c>
      <c r="J179" s="253"/>
      <c r="K179" s="272" t="s">
        <v>53</v>
      </c>
      <c r="L179" s="273">
        <v>45449</v>
      </c>
      <c r="M179" s="224">
        <v>45449</v>
      </c>
      <c r="N179" s="376">
        <v>46022</v>
      </c>
      <c r="O179" s="201">
        <v>45449</v>
      </c>
      <c r="P179" s="166">
        <v>45449</v>
      </c>
      <c r="Q179" s="44">
        <v>46022</v>
      </c>
      <c r="R179" s="201">
        <v>45449</v>
      </c>
      <c r="S179" s="166">
        <v>45449</v>
      </c>
      <c r="T179" s="43">
        <v>46022</v>
      </c>
      <c r="U179" s="166" t="s">
        <v>154</v>
      </c>
    </row>
    <row r="180" spans="1:21" ht="21" customHeight="1">
      <c r="A180" s="227">
        <f t="shared" si="12"/>
        <v>163</v>
      </c>
      <c r="B180" s="225" t="s">
        <v>265</v>
      </c>
      <c r="C180" s="193" t="s">
        <v>659</v>
      </c>
      <c r="D180" s="270">
        <v>44885</v>
      </c>
      <c r="E180" s="271">
        <v>1</v>
      </c>
      <c r="F180" s="271">
        <v>0.99990000000000001</v>
      </c>
      <c r="G180" s="227" t="s">
        <v>656</v>
      </c>
      <c r="H180" s="227" t="s">
        <v>426</v>
      </c>
      <c r="I180" s="227" t="s">
        <v>624</v>
      </c>
      <c r="J180" s="253"/>
      <c r="K180" s="272" t="s">
        <v>53</v>
      </c>
      <c r="L180" s="273">
        <v>45494</v>
      </c>
      <c r="M180" s="224">
        <v>45494</v>
      </c>
      <c r="N180" s="376">
        <v>46022</v>
      </c>
      <c r="O180" s="201">
        <v>45494</v>
      </c>
      <c r="P180" s="166">
        <v>45494</v>
      </c>
      <c r="Q180" s="44">
        <v>46022</v>
      </c>
      <c r="R180" s="201">
        <v>45494</v>
      </c>
      <c r="S180" s="166">
        <v>45494</v>
      </c>
      <c r="T180" s="43">
        <v>46022</v>
      </c>
      <c r="U180" s="166" t="s">
        <v>154</v>
      </c>
    </row>
    <row r="181" spans="1:21" ht="21" customHeight="1">
      <c r="A181" s="227">
        <f t="shared" si="12"/>
        <v>164</v>
      </c>
      <c r="B181" s="225" t="s">
        <v>266</v>
      </c>
      <c r="C181" s="193" t="s">
        <v>660</v>
      </c>
      <c r="D181" s="270">
        <v>44885</v>
      </c>
      <c r="E181" s="271">
        <v>1</v>
      </c>
      <c r="F181" s="271">
        <v>0.99990000000000001</v>
      </c>
      <c r="G181" s="227" t="s">
        <v>656</v>
      </c>
      <c r="H181" s="227" t="s">
        <v>426</v>
      </c>
      <c r="I181" s="227" t="s">
        <v>624</v>
      </c>
      <c r="J181" s="253"/>
      <c r="K181" s="272" t="s">
        <v>53</v>
      </c>
      <c r="L181" s="273">
        <v>45539</v>
      </c>
      <c r="M181" s="224">
        <v>45539</v>
      </c>
      <c r="N181" s="376">
        <v>46022</v>
      </c>
      <c r="O181" s="201">
        <v>45539</v>
      </c>
      <c r="P181" s="166">
        <v>45539</v>
      </c>
      <c r="Q181" s="44">
        <v>46022</v>
      </c>
      <c r="R181" s="201">
        <v>45539</v>
      </c>
      <c r="S181" s="166">
        <v>45539</v>
      </c>
      <c r="T181" s="43">
        <v>46022</v>
      </c>
      <c r="U181" s="166" t="s">
        <v>154</v>
      </c>
    </row>
    <row r="182" spans="1:21" ht="21" customHeight="1">
      <c r="A182" s="227">
        <f t="shared" si="12"/>
        <v>165</v>
      </c>
      <c r="B182" s="225" t="s">
        <v>267</v>
      </c>
      <c r="C182" s="193" t="s">
        <v>661</v>
      </c>
      <c r="D182" s="270">
        <v>45549</v>
      </c>
      <c r="E182" s="271">
        <v>1</v>
      </c>
      <c r="F182" s="271">
        <v>0.999</v>
      </c>
      <c r="G182" s="227" t="s">
        <v>653</v>
      </c>
      <c r="H182" s="227" t="s">
        <v>426</v>
      </c>
      <c r="I182" s="227" t="s">
        <v>654</v>
      </c>
      <c r="J182" s="253"/>
      <c r="K182" s="272" t="s">
        <v>53</v>
      </c>
      <c r="L182" s="273">
        <v>45715</v>
      </c>
      <c r="M182" s="224">
        <v>45960</v>
      </c>
      <c r="N182" s="274">
        <v>46234</v>
      </c>
      <c r="O182" s="273">
        <v>45715</v>
      </c>
      <c r="P182" s="224">
        <v>45960</v>
      </c>
      <c r="Q182" s="274">
        <v>46234</v>
      </c>
      <c r="R182" s="273">
        <v>45715</v>
      </c>
      <c r="S182" s="224">
        <v>45960</v>
      </c>
      <c r="T182" s="274">
        <v>46234</v>
      </c>
      <c r="U182" s="166" t="s">
        <v>154</v>
      </c>
    </row>
    <row r="183" spans="1:21" ht="21" customHeight="1">
      <c r="A183" s="227">
        <f t="shared" si="12"/>
        <v>166</v>
      </c>
      <c r="B183" s="225" t="s">
        <v>268</v>
      </c>
      <c r="C183" s="193" t="s">
        <v>662</v>
      </c>
      <c r="D183" s="270">
        <v>45641</v>
      </c>
      <c r="E183" s="271">
        <v>1</v>
      </c>
      <c r="F183" s="271">
        <v>1</v>
      </c>
      <c r="G183" s="227" t="s">
        <v>663</v>
      </c>
      <c r="H183" s="227" t="s">
        <v>426</v>
      </c>
      <c r="I183" s="227" t="s">
        <v>624</v>
      </c>
      <c r="J183" s="275"/>
      <c r="K183" s="272" t="s">
        <v>53</v>
      </c>
      <c r="L183" s="273">
        <v>45778</v>
      </c>
      <c r="M183" s="224">
        <v>45778</v>
      </c>
      <c r="N183" s="376">
        <v>46022</v>
      </c>
      <c r="O183" s="201">
        <v>45778</v>
      </c>
      <c r="P183" s="166">
        <v>45778</v>
      </c>
      <c r="Q183" s="43">
        <v>46022</v>
      </c>
      <c r="R183" s="199">
        <v>45778</v>
      </c>
      <c r="S183" s="166">
        <v>45778</v>
      </c>
      <c r="T183" s="43">
        <v>46022</v>
      </c>
      <c r="U183" s="166" t="s">
        <v>154</v>
      </c>
    </row>
    <row r="184" spans="1:21" ht="21" customHeight="1">
      <c r="A184" s="227">
        <f t="shared" si="12"/>
        <v>167</v>
      </c>
      <c r="B184" s="225" t="s">
        <v>269</v>
      </c>
      <c r="C184" s="193" t="s">
        <v>664</v>
      </c>
      <c r="D184" s="270">
        <v>45631</v>
      </c>
      <c r="E184" s="271">
        <v>1</v>
      </c>
      <c r="F184" s="271">
        <v>1</v>
      </c>
      <c r="G184" s="227" t="s">
        <v>665</v>
      </c>
      <c r="H184" s="227" t="s">
        <v>426</v>
      </c>
      <c r="I184" s="227" t="s">
        <v>666</v>
      </c>
      <c r="J184" s="275"/>
      <c r="K184" s="272" t="s">
        <v>53</v>
      </c>
      <c r="L184" s="273">
        <v>45778</v>
      </c>
      <c r="M184" s="224">
        <v>45778</v>
      </c>
      <c r="N184" s="376">
        <v>46022</v>
      </c>
      <c r="O184" s="201">
        <v>45778</v>
      </c>
      <c r="P184" s="166">
        <v>45778</v>
      </c>
      <c r="Q184" s="44">
        <v>46022</v>
      </c>
      <c r="R184" s="201">
        <v>45778</v>
      </c>
      <c r="S184" s="166">
        <v>45778</v>
      </c>
      <c r="T184" s="43">
        <v>46022</v>
      </c>
      <c r="U184" s="166" t="s">
        <v>154</v>
      </c>
    </row>
    <row r="185" spans="1:21" ht="21" customHeight="1">
      <c r="A185" s="227">
        <f t="shared" si="12"/>
        <v>168</v>
      </c>
      <c r="B185" s="225" t="s">
        <v>270</v>
      </c>
      <c r="C185" s="193" t="s">
        <v>667</v>
      </c>
      <c r="D185" s="270">
        <v>45761</v>
      </c>
      <c r="E185" s="271">
        <v>1</v>
      </c>
      <c r="F185" s="271">
        <v>1</v>
      </c>
      <c r="G185" s="227" t="s">
        <v>656</v>
      </c>
      <c r="H185" s="227" t="s">
        <v>426</v>
      </c>
      <c r="I185" s="227" t="s">
        <v>624</v>
      </c>
      <c r="J185" s="275"/>
      <c r="K185" s="272" t="s">
        <v>53</v>
      </c>
      <c r="L185" s="273">
        <v>45808</v>
      </c>
      <c r="M185" s="224">
        <v>45808</v>
      </c>
      <c r="N185" s="376">
        <v>45808</v>
      </c>
      <c r="O185" s="201">
        <v>45808</v>
      </c>
      <c r="P185" s="202">
        <v>45808</v>
      </c>
      <c r="Q185" s="44">
        <v>45808</v>
      </c>
      <c r="R185" s="201">
        <v>45808</v>
      </c>
      <c r="S185" s="166">
        <v>45808</v>
      </c>
      <c r="T185" s="384">
        <v>45808</v>
      </c>
      <c r="U185" s="166" t="s">
        <v>154</v>
      </c>
    </row>
    <row r="186" spans="1:21" ht="21" customHeight="1">
      <c r="A186" s="227">
        <f t="shared" si="12"/>
        <v>169</v>
      </c>
      <c r="B186" s="225" t="s">
        <v>271</v>
      </c>
      <c r="C186" s="193" t="s">
        <v>668</v>
      </c>
      <c r="D186" s="270">
        <v>45792</v>
      </c>
      <c r="E186" s="271">
        <v>0.96020000000000005</v>
      </c>
      <c r="F186" s="271">
        <v>0.74750000000000005</v>
      </c>
      <c r="G186" s="227" t="s">
        <v>656</v>
      </c>
      <c r="H186" s="227" t="s">
        <v>283</v>
      </c>
      <c r="I186" s="227" t="s">
        <v>669</v>
      </c>
      <c r="J186" s="275"/>
      <c r="K186" s="272" t="s">
        <v>53</v>
      </c>
      <c r="L186" s="273">
        <v>46135</v>
      </c>
      <c r="M186" s="224">
        <v>46135</v>
      </c>
      <c r="N186" s="274">
        <v>46279</v>
      </c>
      <c r="O186" s="273">
        <v>46135</v>
      </c>
      <c r="P186" s="224">
        <v>46135</v>
      </c>
      <c r="Q186" s="274">
        <v>46279</v>
      </c>
      <c r="R186" s="273">
        <v>46135</v>
      </c>
      <c r="S186" s="224">
        <v>46135</v>
      </c>
      <c r="T186" s="274">
        <v>46279</v>
      </c>
      <c r="U186" s="166" t="s">
        <v>154</v>
      </c>
    </row>
    <row r="187" spans="1:21" ht="21" customHeight="1">
      <c r="A187" s="227">
        <f t="shared" si="12"/>
        <v>170</v>
      </c>
      <c r="B187" s="225" t="s">
        <v>272</v>
      </c>
      <c r="C187" s="193" t="s">
        <v>670</v>
      </c>
      <c r="D187" s="270">
        <v>45792</v>
      </c>
      <c r="E187" s="271">
        <v>0.95289999999999997</v>
      </c>
      <c r="F187" s="271">
        <v>0.67569999999999997</v>
      </c>
      <c r="G187" s="227" t="s">
        <v>656</v>
      </c>
      <c r="H187" s="227" t="s">
        <v>283</v>
      </c>
      <c r="I187" s="227" t="s">
        <v>671</v>
      </c>
      <c r="J187" s="275"/>
      <c r="K187" s="272" t="s">
        <v>53</v>
      </c>
      <c r="L187" s="273">
        <v>46324</v>
      </c>
      <c r="M187" s="224">
        <v>46324</v>
      </c>
      <c r="N187" s="274">
        <v>46324</v>
      </c>
      <c r="O187" s="273">
        <v>46324</v>
      </c>
      <c r="P187" s="224">
        <v>46324</v>
      </c>
      <c r="Q187" s="274">
        <v>46324</v>
      </c>
      <c r="R187" s="273">
        <v>46324</v>
      </c>
      <c r="S187" s="224">
        <v>46324</v>
      </c>
      <c r="T187" s="274">
        <v>46324</v>
      </c>
      <c r="U187" s="166" t="s">
        <v>154</v>
      </c>
    </row>
    <row r="188" spans="1:21" ht="21" customHeight="1">
      <c r="A188" s="227">
        <f t="shared" si="12"/>
        <v>171</v>
      </c>
      <c r="B188" s="225" t="s">
        <v>273</v>
      </c>
      <c r="C188" s="193" t="s">
        <v>672</v>
      </c>
      <c r="D188" s="270">
        <v>45792</v>
      </c>
      <c r="E188" s="271">
        <v>1</v>
      </c>
      <c r="F188" s="271">
        <v>0.73829999999999996</v>
      </c>
      <c r="G188" s="227" t="s">
        <v>656</v>
      </c>
      <c r="H188" s="227" t="s">
        <v>546</v>
      </c>
      <c r="I188" s="227" t="s">
        <v>673</v>
      </c>
      <c r="J188" s="275"/>
      <c r="K188" s="272" t="s">
        <v>53</v>
      </c>
      <c r="L188" s="273">
        <v>46324</v>
      </c>
      <c r="M188" s="224">
        <v>46324</v>
      </c>
      <c r="N188" s="274">
        <v>46348</v>
      </c>
      <c r="O188" s="273">
        <v>46324</v>
      </c>
      <c r="P188" s="224">
        <v>46324</v>
      </c>
      <c r="Q188" s="274">
        <v>46348</v>
      </c>
      <c r="R188" s="273">
        <v>46324</v>
      </c>
      <c r="S188" s="224">
        <v>46324</v>
      </c>
      <c r="T188" s="274">
        <v>46348</v>
      </c>
      <c r="U188" s="166" t="s">
        <v>154</v>
      </c>
    </row>
    <row r="189" spans="1:21" ht="21" customHeight="1">
      <c r="A189" s="227">
        <f t="shared" si="12"/>
        <v>172</v>
      </c>
      <c r="B189" s="225" t="s">
        <v>274</v>
      </c>
      <c r="C189" s="193" t="s">
        <v>674</v>
      </c>
      <c r="D189" s="270">
        <v>45792</v>
      </c>
      <c r="E189" s="271">
        <v>1</v>
      </c>
      <c r="F189" s="271">
        <v>0.76639999999999997</v>
      </c>
      <c r="G189" s="227" t="s">
        <v>656</v>
      </c>
      <c r="H189" s="227" t="s">
        <v>426</v>
      </c>
      <c r="I189" s="227" t="s">
        <v>439</v>
      </c>
      <c r="J189" s="275"/>
      <c r="K189" s="272" t="s">
        <v>53</v>
      </c>
      <c r="L189" s="273">
        <v>46324</v>
      </c>
      <c r="M189" s="273">
        <v>46324</v>
      </c>
      <c r="N189" s="273">
        <v>46324</v>
      </c>
      <c r="O189" s="273">
        <v>46324</v>
      </c>
      <c r="P189" s="273">
        <v>46324</v>
      </c>
      <c r="Q189" s="273">
        <v>46324</v>
      </c>
      <c r="R189" s="273">
        <v>46324</v>
      </c>
      <c r="S189" s="273">
        <v>46324</v>
      </c>
      <c r="T189" s="273">
        <v>46324</v>
      </c>
      <c r="U189" s="166" t="s">
        <v>154</v>
      </c>
    </row>
    <row r="190" spans="1:21" ht="21" customHeight="1">
      <c r="A190" s="227">
        <f t="shared" si="12"/>
        <v>173</v>
      </c>
      <c r="B190" s="225" t="s">
        <v>275</v>
      </c>
      <c r="C190" s="193" t="s">
        <v>675</v>
      </c>
      <c r="D190" s="270">
        <v>45778</v>
      </c>
      <c r="E190" s="271">
        <v>0.32800000000000001</v>
      </c>
      <c r="F190" s="271">
        <v>0.28699999999999998</v>
      </c>
      <c r="G190" s="227" t="s">
        <v>630</v>
      </c>
      <c r="H190" s="227" t="s">
        <v>75</v>
      </c>
      <c r="I190" s="227" t="s">
        <v>645</v>
      </c>
      <c r="J190" s="275"/>
      <c r="K190" s="272" t="s">
        <v>53</v>
      </c>
      <c r="L190" s="273">
        <v>46688</v>
      </c>
      <c r="M190" s="224">
        <v>46688</v>
      </c>
      <c r="N190" s="274">
        <v>46847</v>
      </c>
      <c r="O190" s="273">
        <v>46688</v>
      </c>
      <c r="P190" s="224">
        <v>46688</v>
      </c>
      <c r="Q190" s="274">
        <v>46847</v>
      </c>
      <c r="R190" s="273">
        <v>46688</v>
      </c>
      <c r="S190" s="224">
        <v>46688</v>
      </c>
      <c r="T190" s="274">
        <v>46847</v>
      </c>
      <c r="U190" s="166" t="s">
        <v>154</v>
      </c>
    </row>
    <row r="191" spans="1:21" ht="21" customHeight="1" thickBot="1">
      <c r="A191" s="227">
        <f t="shared" si="12"/>
        <v>174</v>
      </c>
      <c r="B191" s="225" t="s">
        <v>276</v>
      </c>
      <c r="C191" s="193" t="s">
        <v>676</v>
      </c>
      <c r="D191" s="270">
        <v>45875</v>
      </c>
      <c r="E191" s="271">
        <v>0.94</v>
      </c>
      <c r="F191" s="271">
        <v>0.92</v>
      </c>
      <c r="G191" s="227" t="s">
        <v>653</v>
      </c>
      <c r="H191" s="227" t="s">
        <v>426</v>
      </c>
      <c r="I191" s="227" t="s">
        <v>654</v>
      </c>
      <c r="J191" s="275"/>
      <c r="K191" s="272" t="s">
        <v>53</v>
      </c>
      <c r="L191" s="276">
        <v>46022</v>
      </c>
      <c r="M191" s="277">
        <v>46064</v>
      </c>
      <c r="N191" s="278">
        <v>46265</v>
      </c>
      <c r="O191" s="276">
        <v>46022</v>
      </c>
      <c r="P191" s="277">
        <v>46064</v>
      </c>
      <c r="Q191" s="278">
        <v>46265</v>
      </c>
      <c r="R191" s="276">
        <v>46022</v>
      </c>
      <c r="S191" s="277">
        <v>46064</v>
      </c>
      <c r="T191" s="278">
        <v>46265</v>
      </c>
      <c r="U191" s="166" t="s">
        <v>154</v>
      </c>
    </row>
    <row r="192" spans="1:21"/>
    <row r="201"/>
    <row r="202"/>
    <row r="203"/>
    <row r="204"/>
    <row r="211" spans="9:9" ht="15" customHeight="1">
      <c r="I211" t="s">
        <v>277</v>
      </c>
    </row>
    <row r="214" spans="9:9"/>
  </sheetData>
  <sheetProtection formatCells="0" formatColumns="0" formatRows="0" selectLockedCells="1"/>
  <autoFilter ref="A2:AC48" xr:uid="{5062D803-A1F4-4D3A-97F7-6D9FD68DE241}">
    <sortState xmlns:xlrd2="http://schemas.microsoft.com/office/spreadsheetml/2017/richdata2" ref="A4:AC19">
      <sortCondition sortBy="cellColor" ref="N2:N48" dxfId="18"/>
    </sortState>
  </autoFilter>
  <mergeCells count="13">
    <mergeCell ref="A1:A2"/>
    <mergeCell ref="B1:B2"/>
    <mergeCell ref="U1:U2"/>
    <mergeCell ref="C1:C2"/>
    <mergeCell ref="D1:D2"/>
    <mergeCell ref="E1:E2"/>
    <mergeCell ref="K1:K2"/>
    <mergeCell ref="G1:G2"/>
    <mergeCell ref="H1:H2"/>
    <mergeCell ref="I1:I2"/>
    <mergeCell ref="F1:F2"/>
    <mergeCell ref="J1:J2"/>
    <mergeCell ref="R1:T1"/>
  </mergeCells>
  <conditionalFormatting sqref="B1 B3:B121 B158:B1048576">
    <cfRule type="duplicateValues" dxfId="11" priority="25"/>
  </conditionalFormatting>
  <conditionalFormatting sqref="B122:B157">
    <cfRule type="duplicateValues" dxfId="10" priority="19"/>
  </conditionalFormatting>
  <conditionalFormatting sqref="E130:F137">
    <cfRule type="cellIs" dxfId="9" priority="20" operator="equal">
      <formula>0</formula>
    </cfRule>
  </conditionalFormatting>
  <conditionalFormatting sqref="K3:K1048576">
    <cfRule type="containsText" dxfId="8" priority="1" operator="containsText" text="N/A">
      <formula>NOT(ISERROR(SEARCH("N/A",K3)))</formula>
    </cfRule>
    <cfRule type="containsText" dxfId="7" priority="2" operator="containsText" text="Under Approval">
      <formula>NOT(ISERROR(SEARCH("Under Approval",K3)))</formula>
    </cfRule>
    <cfRule type="containsText" dxfId="6" priority="3" operator="containsText" text="Approved">
      <formula>NOT(ISERROR(SEARCH("Approved",K3)))</formula>
    </cfRule>
  </conditionalFormatting>
  <conditionalFormatting sqref="U79:U81 U86:U87">
    <cfRule type="containsText" dxfId="5" priority="38" operator="containsText" text="To be filled">
      <formula>NOT(ISERROR(SEARCH("To be filled",U79)))</formula>
    </cfRule>
  </conditionalFormatting>
  <dataValidations count="1">
    <dataValidation type="list" allowBlank="1" showInputMessage="1" showErrorMessage="1" sqref="K1:K1048576" xr:uid="{F531B623-6F8F-4BD9-A1DD-422DB1637A05}">
      <formula1>"Approved, Under Approval, N/A"</formula1>
    </dataValidation>
  </dataValidations>
  <pageMargins left="0.7" right="0.7" top="0.75" bottom="0.75" header="0.3" footer="0.3"/>
  <pageSetup scale="13" orientation="portrait" r:id="rId1"/>
  <headerFooter>
    <oddFooter>&amp;C_x000D_&amp;1#&amp;"Calibri"&amp;10&amp;K0000FF CLASSIFICATION: Public</oddFooter>
  </headerFooter>
  <rowBreaks count="1" manualBreakCount="1">
    <brk id="157"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425B1-64B1-442E-BA13-C99FCE72A493}">
  <dimension ref="A1:P182"/>
  <sheetViews>
    <sheetView view="pageBreakPreview" topLeftCell="D1" zoomScale="70" zoomScaleNormal="45" zoomScaleSheetLayoutView="70" workbookViewId="0">
      <pane ySplit="2" topLeftCell="A3" activePane="bottomLeft" state="frozen"/>
      <selection pane="bottomLeft" activeCell="N113" sqref="N113"/>
    </sheetView>
  </sheetViews>
  <sheetFormatPr defaultColWidth="9.28515625" defaultRowHeight="18.75"/>
  <cols>
    <col min="1" max="1" width="11.42578125" customWidth="1"/>
    <col min="2" max="2" width="14.7109375" style="158" customWidth="1"/>
    <col min="3" max="3" width="109" customWidth="1"/>
    <col min="4" max="4" width="33.85546875" customWidth="1"/>
    <col min="5" max="5" width="21.28515625" style="16" customWidth="1"/>
    <col min="6" max="7" width="19.42578125" style="52" customWidth="1"/>
    <col min="8" max="8" width="14.7109375" style="52" customWidth="1"/>
    <col min="9" max="9" width="23.5703125" customWidth="1"/>
    <col min="10" max="10" width="15.5703125" customWidth="1"/>
    <col min="11" max="11" width="20.42578125" customWidth="1"/>
    <col min="12" max="12" width="35.7109375" customWidth="1"/>
    <col min="13" max="13" width="19.5703125" customWidth="1"/>
    <col min="14" max="14" width="19" customWidth="1"/>
    <col min="15" max="15" width="18.5703125" customWidth="1"/>
    <col min="16" max="16" width="132.7109375" style="360" customWidth="1"/>
    <col min="17" max="17" width="9.42578125" bestFit="1" customWidth="1"/>
  </cols>
  <sheetData>
    <row r="1" spans="1:16" ht="23.25">
      <c r="A1" s="476" t="s">
        <v>0</v>
      </c>
      <c r="B1" s="495" t="s">
        <v>1</v>
      </c>
      <c r="C1" s="476" t="s">
        <v>2</v>
      </c>
      <c r="D1" s="477" t="s">
        <v>3</v>
      </c>
      <c r="E1" s="476" t="s">
        <v>10</v>
      </c>
      <c r="F1" s="476" t="s">
        <v>11</v>
      </c>
      <c r="G1" s="476" t="s">
        <v>12</v>
      </c>
      <c r="H1" s="476" t="s">
        <v>13</v>
      </c>
      <c r="I1" s="476" t="s">
        <v>14</v>
      </c>
      <c r="J1" s="476" t="s">
        <v>4</v>
      </c>
      <c r="K1" s="476" t="s">
        <v>15</v>
      </c>
      <c r="L1" s="482" t="s">
        <v>16</v>
      </c>
      <c r="M1" s="479" t="s">
        <v>17</v>
      </c>
      <c r="N1" s="479"/>
      <c r="O1" s="480"/>
      <c r="P1" s="476" t="s">
        <v>19</v>
      </c>
    </row>
    <row r="2" spans="1:16" ht="36">
      <c r="A2" s="476"/>
      <c r="B2" s="495"/>
      <c r="C2" s="476"/>
      <c r="D2" s="478"/>
      <c r="E2" s="476" t="s">
        <v>10</v>
      </c>
      <c r="F2" s="476"/>
      <c r="G2" s="476"/>
      <c r="H2" s="476"/>
      <c r="I2" s="476"/>
      <c r="J2" s="476"/>
      <c r="K2" s="476"/>
      <c r="L2" s="483"/>
      <c r="M2" s="2" t="s">
        <v>20</v>
      </c>
      <c r="N2" s="2" t="s">
        <v>21</v>
      </c>
      <c r="O2" s="2" t="s">
        <v>22</v>
      </c>
      <c r="P2" s="476" t="s">
        <v>19</v>
      </c>
    </row>
    <row r="3" spans="1:16" ht="27" customHeight="1">
      <c r="A3" s="4"/>
      <c r="B3" s="154"/>
      <c r="C3" s="5" t="s">
        <v>23</v>
      </c>
      <c r="D3" s="5"/>
      <c r="E3" s="15"/>
      <c r="F3" s="15"/>
      <c r="G3" s="15"/>
      <c r="H3" s="15"/>
      <c r="I3" s="4"/>
      <c r="J3" s="4"/>
      <c r="K3" s="4"/>
      <c r="L3" s="31"/>
      <c r="M3" s="6"/>
      <c r="N3" s="6"/>
      <c r="O3" s="6"/>
      <c r="P3" s="4"/>
    </row>
    <row r="4" spans="1:16" ht="22.15" customHeight="1">
      <c r="A4" s="7">
        <v>1</v>
      </c>
      <c r="B4" s="155" t="s">
        <v>24</v>
      </c>
      <c r="C4" s="20" t="str">
        <f>VLOOKUP(B4,'Detailed Update'!B:C,2,FALSE)</f>
        <v>SMP - O&amp;M 3 Yrs</v>
      </c>
      <c r="D4" s="13" t="s">
        <v>677</v>
      </c>
      <c r="E4" s="14">
        <v>44652</v>
      </c>
      <c r="F4" s="18">
        <v>1</v>
      </c>
      <c r="G4" s="18">
        <v>1</v>
      </c>
      <c r="H4" s="18">
        <f>G4-F4</f>
        <v>0</v>
      </c>
      <c r="I4" s="7" t="str">
        <f>VLOOKUP(B4,'Detailed Update'!B:I,6,FALSE)</f>
        <v>SEC</v>
      </c>
      <c r="J4" s="7" t="str">
        <f>VLOOKUP(B4,'Detailed Update'!B:I,7,FALSE)</f>
        <v>Central</v>
      </c>
      <c r="K4" s="7" t="str">
        <f>VLOOKUP(B4,'Detailed Update'!B:I,8,FALSE)</f>
        <v>Riyadh</v>
      </c>
      <c r="L4" s="17" t="s">
        <v>26</v>
      </c>
      <c r="M4" s="10">
        <f>VLOOKUP(B4,'Detailed Update'!B:T,11,FALSE)</f>
        <v>45442</v>
      </c>
      <c r="N4" s="10">
        <f>VLOOKUP(B4,'Detailed Update'!B:T,12,FALSE)</f>
        <v>45812</v>
      </c>
      <c r="O4" s="9">
        <f>VLOOKUP(B4,'Detailed Update'!B:T,13,FALSE)</f>
        <v>45812</v>
      </c>
      <c r="P4" s="7" t="str">
        <f>VLOOKUP(B4,'Detailed Update'!B:U,20,FALSE)</f>
        <v>All certification Received</v>
      </c>
    </row>
    <row r="5" spans="1:16" ht="22.15" customHeight="1">
      <c r="A5" s="7">
        <f>A4+1</f>
        <v>2</v>
      </c>
      <c r="B5" s="155" t="s">
        <v>27</v>
      </c>
      <c r="C5" s="20" t="str">
        <f>VLOOKUP(B5,'Detailed Update'!B:C,2,FALSE)</f>
        <v>KHASM-AL-AAN BSP</v>
      </c>
      <c r="D5" s="13" t="s">
        <v>678</v>
      </c>
      <c r="E5" s="14">
        <v>44350</v>
      </c>
      <c r="F5" s="18">
        <v>1</v>
      </c>
      <c r="G5" s="18">
        <v>0.86299999999999999</v>
      </c>
      <c r="H5" s="18">
        <f t="shared" ref="H5:H43" si="0">G5-F5</f>
        <v>-0.13700000000000001</v>
      </c>
      <c r="I5" s="7" t="str">
        <f>VLOOKUP(B5,'Detailed Update'!B:I,6,FALSE)</f>
        <v>SEC</v>
      </c>
      <c r="J5" s="7" t="str">
        <f>VLOOKUP(B5,'Detailed Update'!B:I,7,FALSE)</f>
        <v>Central</v>
      </c>
      <c r="K5" s="7" t="str">
        <f>VLOOKUP(B5,'Detailed Update'!B:I,8,FALSE)</f>
        <v>Riyadh</v>
      </c>
      <c r="L5" s="17" t="s">
        <v>26</v>
      </c>
      <c r="M5" s="10">
        <f>VLOOKUP(B5,'Detailed Update'!B:T,11,FALSE)</f>
        <v>44960</v>
      </c>
      <c r="N5" s="10">
        <f>VLOOKUP(B5,'Detailed Update'!B:T,12,FALSE)</f>
        <v>45657</v>
      </c>
      <c r="O5" s="9">
        <f>VLOOKUP(B5,'Detailed Update'!B:T,13,FALSE)</f>
        <v>46411</v>
      </c>
      <c r="P5" s="7" t="str">
        <f>VLOOKUP(B5,'Detailed Update'!B:U,20,FALSE)</f>
        <v>Partial TCC Received | Project on Hold</v>
      </c>
    </row>
    <row r="6" spans="1:16" ht="22.15" customHeight="1">
      <c r="A6" s="7">
        <f t="shared" ref="A6:A43" si="1">A5+1</f>
        <v>3</v>
      </c>
      <c r="B6" s="155" t="s">
        <v>28</v>
      </c>
      <c r="C6" s="20" t="str">
        <f>VLOOKUP(B6,'Detailed Update'!B:C,2,FALSE)</f>
        <v>GASCO - 2</v>
      </c>
      <c r="D6" s="13" t="s">
        <v>679</v>
      </c>
      <c r="E6" s="14">
        <v>44368</v>
      </c>
      <c r="F6" s="18">
        <v>1</v>
      </c>
      <c r="G6" s="18">
        <v>0.99909999999999999</v>
      </c>
      <c r="H6" s="18">
        <f t="shared" si="0"/>
        <v>-9.000000000000119E-4</v>
      </c>
      <c r="I6" s="7" t="str">
        <f>VLOOKUP(B6,'Detailed Update'!B:I,6,FALSE)</f>
        <v>GASCO</v>
      </c>
      <c r="J6" s="7" t="str">
        <f>VLOOKUP(B6,'Detailed Update'!B:I,7,FALSE)</f>
        <v>Central</v>
      </c>
      <c r="K6" s="7" t="str">
        <f>VLOOKUP(B6,'Detailed Update'!B:I,8,FALSE)</f>
        <v>Riyadh</v>
      </c>
      <c r="L6" s="17" t="s">
        <v>26</v>
      </c>
      <c r="M6" s="10">
        <f>VLOOKUP(B6,'Detailed Update'!B:T,11,FALSE)</f>
        <v>45136</v>
      </c>
      <c r="N6" s="10">
        <f>VLOOKUP(B6,'Detailed Update'!B:T,12,FALSE)</f>
        <v>45747</v>
      </c>
      <c r="O6" s="9">
        <f>VLOOKUP(B6,'Detailed Update'!B:T,13,FALSE)</f>
        <v>45961</v>
      </c>
      <c r="P6" s="7" t="str">
        <f>VLOOKUP(B6,'Detailed Update'!B:U,20,FALSE)</f>
        <v>Initial Handing over received</v>
      </c>
    </row>
    <row r="7" spans="1:16" ht="22.15" customHeight="1">
      <c r="A7" s="7">
        <f t="shared" si="1"/>
        <v>4</v>
      </c>
      <c r="B7" s="155" t="s">
        <v>29</v>
      </c>
      <c r="C7" s="20" t="str">
        <f>VLOOKUP(B7,'Detailed Update'!B:C,2,FALSE)</f>
        <v>SVC QASSIM -2</v>
      </c>
      <c r="D7" s="13" t="s">
        <v>680</v>
      </c>
      <c r="E7" s="14">
        <v>44444</v>
      </c>
      <c r="F7" s="18">
        <v>1</v>
      </c>
      <c r="G7" s="18">
        <v>0.99280000000000002</v>
      </c>
      <c r="H7" s="18">
        <f t="shared" si="0"/>
        <v>-7.1999999999999842E-3</v>
      </c>
      <c r="I7" s="7" t="str">
        <f>VLOOKUP(B7,'Detailed Update'!B:I,6,FALSE)</f>
        <v>SEC</v>
      </c>
      <c r="J7" s="7" t="str">
        <f>VLOOKUP(B7,'Detailed Update'!B:I,7,FALSE)</f>
        <v>Central</v>
      </c>
      <c r="K7" s="7" t="str">
        <f>VLOOKUP(B7,'Detailed Update'!B:I,8,FALSE)</f>
        <v>Riyadh</v>
      </c>
      <c r="L7" s="17" t="s">
        <v>26</v>
      </c>
      <c r="M7" s="10">
        <f>VLOOKUP(B7,'Detailed Update'!B:T,11,FALSE)</f>
        <v>45235</v>
      </c>
      <c r="N7" s="10">
        <f>VLOOKUP(B7,'Detailed Update'!B:T,12,FALSE)</f>
        <v>45733</v>
      </c>
      <c r="O7" s="9">
        <f>VLOOKUP(B7,'Detailed Update'!B:T,13,FALSE)</f>
        <v>45733</v>
      </c>
      <c r="P7" s="356" t="str">
        <f>VLOOKUP(B7,'Detailed Update'!B:U,20,FALSE)</f>
        <v>TCC Received.</v>
      </c>
    </row>
    <row r="8" spans="1:16" ht="22.15" customHeight="1">
      <c r="A8" s="7">
        <f t="shared" si="1"/>
        <v>5</v>
      </c>
      <c r="B8" s="155" t="s">
        <v>30</v>
      </c>
      <c r="C8" s="20" t="str">
        <f>VLOOKUP(B8,'Detailed Update'!B:C,2,FALSE)</f>
        <v>Tabarjal 380KV BSP Expn.</v>
      </c>
      <c r="D8" s="13" t="s">
        <v>681</v>
      </c>
      <c r="E8" s="14">
        <v>44542</v>
      </c>
      <c r="F8" s="18">
        <v>1</v>
      </c>
      <c r="G8" s="18">
        <v>0.99</v>
      </c>
      <c r="H8" s="18">
        <f t="shared" si="0"/>
        <v>-1.0000000000000009E-2</v>
      </c>
      <c r="I8" s="7" t="str">
        <f>VLOOKUP(B8,'Detailed Update'!B:I,6,FALSE)</f>
        <v>SEC</v>
      </c>
      <c r="J8" s="7" t="str">
        <f>VLOOKUP(B8,'Detailed Update'!B:I,7,FALSE)</f>
        <v>Central</v>
      </c>
      <c r="K8" s="7" t="str">
        <f>VLOOKUP(B8,'Detailed Update'!B:I,8,FALSE)</f>
        <v>Riyadh</v>
      </c>
      <c r="L8" s="17" t="s">
        <v>26</v>
      </c>
      <c r="M8" s="10">
        <f>VLOOKUP(B8,'Detailed Update'!B:T,11,FALSE)</f>
        <v>45272</v>
      </c>
      <c r="N8" s="10">
        <f>VLOOKUP(B8,'Detailed Update'!B:T,12,FALSE)</f>
        <v>46021</v>
      </c>
      <c r="O8" s="9">
        <f>VLOOKUP(B8,'Detailed Update'!B:T,13,FALSE)</f>
        <v>46233</v>
      </c>
      <c r="P8" s="7" t="str">
        <f>VLOOKUP(B8,'Detailed Update'!B:U,20,FALSE)</f>
        <v>Partial TCC received on 16-Jan-24</v>
      </c>
    </row>
    <row r="9" spans="1:16" ht="22.15" customHeight="1">
      <c r="A9" s="7">
        <f t="shared" si="1"/>
        <v>6</v>
      </c>
      <c r="B9" s="155" t="s">
        <v>31</v>
      </c>
      <c r="C9" s="20" t="str">
        <f>VLOOKUP(B9,'Detailed Update'!B:C,2,FALSE)</f>
        <v>Hail OHTL</v>
      </c>
      <c r="D9" s="13" t="s">
        <v>682</v>
      </c>
      <c r="E9" s="14">
        <v>44788</v>
      </c>
      <c r="F9" s="18">
        <v>1</v>
      </c>
      <c r="G9" s="18">
        <v>0.96120000000000005</v>
      </c>
      <c r="H9" s="18">
        <f t="shared" si="0"/>
        <v>-3.8799999999999946E-2</v>
      </c>
      <c r="I9" s="7" t="str">
        <f>VLOOKUP(B9,'Detailed Update'!B:I,6,FALSE)</f>
        <v>SEC</v>
      </c>
      <c r="J9" s="7" t="str">
        <f>VLOOKUP(B9,'Detailed Update'!B:I,7,FALSE)</f>
        <v>Central</v>
      </c>
      <c r="K9" s="7" t="str">
        <f>VLOOKUP(B9,'Detailed Update'!B:I,8,FALSE)</f>
        <v>Riyadh</v>
      </c>
      <c r="L9" s="17" t="s">
        <v>26</v>
      </c>
      <c r="M9" s="10">
        <f>VLOOKUP(B9,'Detailed Update'!B:T,11,FALSE)</f>
        <v>45427</v>
      </c>
      <c r="N9" s="10">
        <f>VLOOKUP(B9,'Detailed Update'!B:T,12,FALSE)</f>
        <v>45656</v>
      </c>
      <c r="O9" s="9">
        <f>VLOOKUP(B9,'Detailed Update'!B:T,13,FALSE)</f>
        <v>46193</v>
      </c>
      <c r="P9" s="7" t="str">
        <f>VLOOKUP(B9,'Detailed Update'!B:U,20,FALSE)</f>
        <v>One line Energizaed. Another line by 20-Jun-26. Change Order approval is critical</v>
      </c>
    </row>
    <row r="10" spans="1:16" ht="22.15" customHeight="1">
      <c r="A10" s="7">
        <f t="shared" si="1"/>
        <v>7</v>
      </c>
      <c r="B10" s="155" t="s">
        <v>32</v>
      </c>
      <c r="C10" s="20" t="str">
        <f>VLOOKUP(B10,'Detailed Update'!B:C,2,FALSE)</f>
        <v>RIYADH SEDRA-2</v>
      </c>
      <c r="D10" s="13" t="s">
        <v>683</v>
      </c>
      <c r="E10" s="14">
        <v>44833</v>
      </c>
      <c r="F10" s="18">
        <v>1</v>
      </c>
      <c r="G10" s="18">
        <v>0.99099999999999999</v>
      </c>
      <c r="H10" s="18">
        <f t="shared" si="0"/>
        <v>-9.000000000000008E-3</v>
      </c>
      <c r="I10" s="7" t="str">
        <f>VLOOKUP(B10,'Detailed Update'!B:I,6,FALSE)</f>
        <v>Roshn</v>
      </c>
      <c r="J10" s="7" t="str">
        <f>VLOOKUP(B10,'Detailed Update'!B:I,7,FALSE)</f>
        <v>Central</v>
      </c>
      <c r="K10" s="7" t="str">
        <f>VLOOKUP(B10,'Detailed Update'!B:I,8,FALSE)</f>
        <v>Riyadh</v>
      </c>
      <c r="L10" s="17" t="s">
        <v>33</v>
      </c>
      <c r="M10" s="10">
        <f>VLOOKUP(B10,'Detailed Update'!B:T,11,FALSE)</f>
        <v>45538</v>
      </c>
      <c r="N10" s="10">
        <f>VLOOKUP(B10,'Detailed Update'!B:T,12,FALSE)</f>
        <v>45538</v>
      </c>
      <c r="O10" s="9">
        <f>VLOOKUP(B10,'Detailed Update'!B:T,13,FALSE)</f>
        <v>45920</v>
      </c>
      <c r="P10" s="7" t="str">
        <f>VLOOKUP(B10,'Detailed Update'!B:U,20,FALSE)</f>
        <v>Partial TCC received &amp; 90% invoice approved</v>
      </c>
    </row>
    <row r="11" spans="1:16" ht="22.15" customHeight="1">
      <c r="A11" s="7">
        <f t="shared" si="1"/>
        <v>8</v>
      </c>
      <c r="B11" s="155" t="s">
        <v>34</v>
      </c>
      <c r="C11" s="20" t="str">
        <f>VLOOKUP(B11,'Detailed Update'!B:C,2,FALSE)</f>
        <v xml:space="preserve"> PP10 Conv.</v>
      </c>
      <c r="D11" s="13" t="s">
        <v>684</v>
      </c>
      <c r="E11" s="14">
        <v>44847</v>
      </c>
      <c r="F11" s="18">
        <v>1</v>
      </c>
      <c r="G11" s="18">
        <v>0.95979999999999999</v>
      </c>
      <c r="H11" s="18">
        <f t="shared" si="0"/>
        <v>-4.0200000000000014E-2</v>
      </c>
      <c r="I11" s="7" t="str">
        <f>VLOOKUP(B11,'Detailed Update'!B:I,6,FALSE)</f>
        <v xml:space="preserve">SEC </v>
      </c>
      <c r="J11" s="7" t="str">
        <f>VLOOKUP(B11,'Detailed Update'!B:I,7,FALSE)</f>
        <v>Central</v>
      </c>
      <c r="K11" s="7" t="str">
        <f>VLOOKUP(B11,'Detailed Update'!B:I,8,FALSE)</f>
        <v>Riyadh</v>
      </c>
      <c r="L11" s="17" t="s">
        <v>26</v>
      </c>
      <c r="M11" s="10">
        <f>VLOOKUP(B11,'Detailed Update'!B:T,11,FALSE)</f>
        <v>45517</v>
      </c>
      <c r="N11" s="10">
        <f>VLOOKUP(B11,'Detailed Update'!B:T,12,FALSE)</f>
        <v>46018</v>
      </c>
      <c r="O11" s="9">
        <f>VLOOKUP(B11,'Detailed Update'!B:T,13,FALSE)</f>
        <v>46263</v>
      </c>
      <c r="P11" s="7" t="str">
        <f>VLOOKUP(B11,'Detailed Update'!B:U,20,FALSE)</f>
        <v>TCC milestone achieved. Certification not receied. Punchlist Clearance is critical</v>
      </c>
    </row>
    <row r="12" spans="1:16" ht="22.15" customHeight="1">
      <c r="A12" s="7">
        <f t="shared" si="1"/>
        <v>9</v>
      </c>
      <c r="B12" s="155" t="s">
        <v>35</v>
      </c>
      <c r="C12" s="20" t="str">
        <f>VLOOKUP(B12,'Detailed Update'!B:C,2,FALSE)</f>
        <v>380kv D/C OHTL LILO SAAD OHTL</v>
      </c>
      <c r="D12" s="13" t="s">
        <v>685</v>
      </c>
      <c r="E12" s="14">
        <v>44857</v>
      </c>
      <c r="F12" s="18">
        <v>0.91210000000000002</v>
      </c>
      <c r="G12" s="18">
        <v>0.75619999999999998</v>
      </c>
      <c r="H12" s="18">
        <f t="shared" si="0"/>
        <v>-0.15590000000000004</v>
      </c>
      <c r="I12" s="7" t="str">
        <f>VLOOKUP(B12,'Detailed Update'!B:I,6,FALSE)</f>
        <v>SEC</v>
      </c>
      <c r="J12" s="7" t="str">
        <f>VLOOKUP(B12,'Detailed Update'!B:I,7,FALSE)</f>
        <v>Central</v>
      </c>
      <c r="K12" s="7" t="str">
        <f>VLOOKUP(B12,'Detailed Update'!B:I,8,FALSE)</f>
        <v>Riyadh</v>
      </c>
      <c r="L12" s="17" t="s">
        <v>26</v>
      </c>
      <c r="M12" s="10">
        <f>VLOOKUP(B12,'Detailed Update'!B:T,11,FALSE)</f>
        <v>45283</v>
      </c>
      <c r="N12" s="10">
        <f>VLOOKUP(B12,'Detailed Update'!B:T,12,FALSE)</f>
        <v>45813</v>
      </c>
      <c r="O12" s="9">
        <f>VLOOKUP(B12,'Detailed Update'!B:T,13,FALSE)</f>
        <v>46386</v>
      </c>
      <c r="P12" s="7" t="str">
        <f>VLOOKUP(B12,'Detailed Update'!B:U,20,FALSE)</f>
        <v xml:space="preserve">1. Amendment for New circuit Arrangement at Tapping Point .
2. Outage requirements 
3. Hardware fittings material for re-route portion  </v>
      </c>
    </row>
    <row r="13" spans="1:16" ht="22.15" customHeight="1">
      <c r="A13" s="7">
        <f t="shared" si="1"/>
        <v>10</v>
      </c>
      <c r="B13" s="155" t="s">
        <v>37</v>
      </c>
      <c r="C13" s="20" t="str">
        <f>VLOOKUP(B13,'Detailed Update'!B:C,2,FALSE)</f>
        <v>Sudair PV 380KV BSP</v>
      </c>
      <c r="D13" s="13" t="s">
        <v>686</v>
      </c>
      <c r="E13" s="14">
        <v>44867</v>
      </c>
      <c r="F13" s="18">
        <v>1</v>
      </c>
      <c r="G13" s="18">
        <v>0.79020000000000001</v>
      </c>
      <c r="H13" s="18">
        <f t="shared" si="0"/>
        <v>-0.20979999999999999</v>
      </c>
      <c r="I13" s="7" t="str">
        <f>VLOOKUP(B13,'Detailed Update'!B:I,6,FALSE)</f>
        <v>SEC</v>
      </c>
      <c r="J13" s="7" t="str">
        <f>VLOOKUP(B13,'Detailed Update'!B:I,7,FALSE)</f>
        <v>Central</v>
      </c>
      <c r="K13" s="7" t="str">
        <f>VLOOKUP(B13,'Detailed Update'!B:I,8,FALSE)</f>
        <v>Riyadh</v>
      </c>
      <c r="L13" s="17" t="s">
        <v>33</v>
      </c>
      <c r="M13" s="10">
        <f>VLOOKUP(B13,'Detailed Update'!B:T,11,FALSE)</f>
        <v>45537</v>
      </c>
      <c r="N13" s="10">
        <f>VLOOKUP(B13,'Detailed Update'!B:T,12,FALSE)</f>
        <v>45537</v>
      </c>
      <c r="O13" s="9">
        <f>VLOOKUP(B13,'Detailed Update'!B:T,13,FALSE)</f>
        <v>46325</v>
      </c>
      <c r="P13" s="7" t="str">
        <f>VLOOKUP(B13,'Detailed Update'!B:U,20,FALSE)</f>
        <v xml:space="preserve">SS portion energized. Delay in Receiving Permit UGC works and inside PP9 works (MTO,LOA&amp; ARAMCO Permits) </v>
      </c>
    </row>
    <row r="14" spans="1:16" ht="22.15" customHeight="1">
      <c r="A14" s="7">
        <f t="shared" si="1"/>
        <v>11</v>
      </c>
      <c r="B14" s="155" t="s">
        <v>38</v>
      </c>
      <c r="C14" s="20" t="str">
        <f>VLOOKUP(B14,'Detailed Update'!B:C,2,FALSE)</f>
        <v>WAAD AL SHAMAAL 380KV BSP</v>
      </c>
      <c r="D14" s="13" t="s">
        <v>687</v>
      </c>
      <c r="E14" s="14">
        <v>44871</v>
      </c>
      <c r="F14" s="18">
        <v>1</v>
      </c>
      <c r="G14" s="18">
        <v>0.9698</v>
      </c>
      <c r="H14" s="18">
        <f t="shared" si="0"/>
        <v>-3.0200000000000005E-2</v>
      </c>
      <c r="I14" s="7" t="str">
        <f>VLOOKUP(B14,'Detailed Update'!B:I,6,FALSE)</f>
        <v>SEC</v>
      </c>
      <c r="J14" s="7" t="str">
        <f>VLOOKUP(B14,'Detailed Update'!B:I,7,FALSE)</f>
        <v>Central</v>
      </c>
      <c r="K14" s="7" t="str">
        <f>VLOOKUP(B14,'Detailed Update'!B:I,8,FALSE)</f>
        <v>Riyadh</v>
      </c>
      <c r="L14" s="17" t="s">
        <v>26</v>
      </c>
      <c r="M14" s="10">
        <f>VLOOKUP(B14,'Detailed Update'!B:T,11,FALSE)</f>
        <v>45611</v>
      </c>
      <c r="N14" s="10">
        <f>VLOOKUP(B14,'Detailed Update'!B:T,12,FALSE)</f>
        <v>45807</v>
      </c>
      <c r="O14" s="9">
        <f>VLOOKUP(B14,'Detailed Update'!B:T,13,FALSE)</f>
        <v>46356</v>
      </c>
      <c r="P14" s="7" t="str">
        <f>VLOOKUP(B14,'Detailed Update'!B:U,20,FALSE)</f>
        <v>Paritally Energized on  09-Feb-26 | Delay in receiving outage to enrgize CKT 2 Wind to Waad Alshamaal &amp; Wind to TABARJAL energization (expected by Oct 26)</v>
      </c>
    </row>
    <row r="15" spans="1:16" ht="22.15" customHeight="1">
      <c r="A15" s="7">
        <f t="shared" si="1"/>
        <v>12</v>
      </c>
      <c r="B15" s="155" t="s">
        <v>39</v>
      </c>
      <c r="C15" s="20" t="str">
        <f>VLOOKUP(B15,'Detailed Update'!B:C,2,FALSE)</f>
        <v>TABARJAL-B 13213.8 KV S/S IN JOUF</v>
      </c>
      <c r="D15" s="13" t="s">
        <v>688</v>
      </c>
      <c r="E15" s="14">
        <v>45063</v>
      </c>
      <c r="F15" s="18">
        <v>1</v>
      </c>
      <c r="G15" s="18">
        <v>0.99250000000000005</v>
      </c>
      <c r="H15" s="18">
        <f t="shared" si="0"/>
        <v>-7.4999999999999512E-3</v>
      </c>
      <c r="I15" s="7" t="str">
        <f>VLOOKUP(B15,'Detailed Update'!B:I,6,FALSE)</f>
        <v>SEC</v>
      </c>
      <c r="J15" s="7" t="str">
        <f>VLOOKUP(B15,'Detailed Update'!B:I,7,FALSE)</f>
        <v>Central</v>
      </c>
      <c r="K15" s="7" t="str">
        <f>VLOOKUP(B15,'Detailed Update'!B:I,8,FALSE)</f>
        <v>Riyadh</v>
      </c>
      <c r="L15" s="17" t="s">
        <v>26</v>
      </c>
      <c r="M15" s="10">
        <f>VLOOKUP(B15,'Detailed Update'!B:T,11,FALSE)</f>
        <v>45732</v>
      </c>
      <c r="N15" s="10">
        <f>VLOOKUP(B15,'Detailed Update'!B:T,12,FALSE)</f>
        <v>45838</v>
      </c>
      <c r="O15" s="9">
        <f>VLOOKUP(B15,'Detailed Update'!B:T,13,FALSE)</f>
        <v>46202</v>
      </c>
      <c r="P15" s="7" t="str">
        <f>VLOOKUP(B15,'Detailed Update'!B:U,20,FALSE)</f>
        <v>1.Total of four circuits are planned; two are scheduled for energization by June 2026.
2.SE confirmation is still pending for the remaining two circuits.</v>
      </c>
    </row>
    <row r="16" spans="1:16" ht="22.15" customHeight="1">
      <c r="A16" s="7">
        <f t="shared" si="1"/>
        <v>13</v>
      </c>
      <c r="B16" s="155" t="s">
        <v>40</v>
      </c>
      <c r="C16" s="20" t="str">
        <f>VLOOKUP(B16,'Detailed Update'!B:C,2,FALSE)</f>
        <v>AL-DAR AL-BAIDHA 132/13.8KV SUB</v>
      </c>
      <c r="D16" s="13" t="s">
        <v>689</v>
      </c>
      <c r="E16" s="14">
        <v>45120</v>
      </c>
      <c r="F16" s="18">
        <v>1</v>
      </c>
      <c r="G16" s="18">
        <v>0.98499999999999999</v>
      </c>
      <c r="H16" s="18">
        <f t="shared" si="0"/>
        <v>-1.5000000000000013E-2</v>
      </c>
      <c r="I16" s="7" t="str">
        <f>VLOOKUP(B16,'Detailed Update'!B:I,6,FALSE)</f>
        <v>SEC</v>
      </c>
      <c r="J16" s="7" t="str">
        <f>VLOOKUP(B16,'Detailed Update'!B:I,7,FALSE)</f>
        <v>Central</v>
      </c>
      <c r="K16" s="7" t="str">
        <f>VLOOKUP(B16,'Detailed Update'!B:I,8,FALSE)</f>
        <v>Riyadh</v>
      </c>
      <c r="L16" s="17" t="s">
        <v>26</v>
      </c>
      <c r="M16" s="10">
        <f>VLOOKUP(B16,'Detailed Update'!B:T,11,FALSE)</f>
        <v>45608</v>
      </c>
      <c r="N16" s="10">
        <f>VLOOKUP(B16,'Detailed Update'!B:T,12,FALSE)</f>
        <v>46081</v>
      </c>
      <c r="O16" s="9">
        <f>VLOOKUP(B16,'Detailed Update'!B:T,13,FALSE)</f>
        <v>46098</v>
      </c>
      <c r="P16" s="7" t="str">
        <f>VLOOKUP(B16,'Detailed Update'!B:U,20,FALSE)</f>
        <v>Energized on 17-Mar-26 | Other Circuit depends on Outage | Expected - 31-Oct-26</v>
      </c>
    </row>
    <row r="17" spans="1:16" ht="22.15" customHeight="1">
      <c r="A17" s="7">
        <f t="shared" si="1"/>
        <v>14</v>
      </c>
      <c r="B17" s="155" t="s">
        <v>41</v>
      </c>
      <c r="C17" s="20" t="str">
        <f>VLOOKUP(B17,'Detailed Update'!B:C,2,FALSE)</f>
        <v>AL-MUNSIYAH 132/13.8KV SUB # 8273</v>
      </c>
      <c r="D17" s="13" t="s">
        <v>690</v>
      </c>
      <c r="E17" s="14">
        <v>45120</v>
      </c>
      <c r="F17" s="18">
        <v>1</v>
      </c>
      <c r="G17" s="18">
        <v>0.96460000000000001</v>
      </c>
      <c r="H17" s="18">
        <f t="shared" si="0"/>
        <v>-3.5399999999999987E-2</v>
      </c>
      <c r="I17" s="7" t="str">
        <f>VLOOKUP(B17,'Detailed Update'!B:I,6,FALSE)</f>
        <v>SEC</v>
      </c>
      <c r="J17" s="7" t="str">
        <f>VLOOKUP(B17,'Detailed Update'!B:I,7,FALSE)</f>
        <v>Central</v>
      </c>
      <c r="K17" s="7" t="str">
        <f>VLOOKUP(B17,'Detailed Update'!B:I,8,FALSE)</f>
        <v>Riyadh</v>
      </c>
      <c r="L17" s="17" t="s">
        <v>33</v>
      </c>
      <c r="M17" s="10">
        <f>VLOOKUP(B17,'Detailed Update'!B:T,11,FALSE)</f>
        <v>45609</v>
      </c>
      <c r="N17" s="10">
        <f>VLOOKUP(B17,'Detailed Update'!B:T,12,FALSE)</f>
        <v>45609</v>
      </c>
      <c r="O17" s="9">
        <f>VLOOKUP(B17,'Detailed Update'!B:T,13,FALSE)</f>
        <v>46272</v>
      </c>
      <c r="P17" s="7" t="str">
        <f>VLOOKUP(B17,'Detailed Update'!B:U,20,FALSE)</f>
        <v>One Circuit Energized. Other Circuit depends on Outage | Expected - 31-Oct-26</v>
      </c>
    </row>
    <row r="18" spans="1:16" ht="22.15" customHeight="1">
      <c r="A18" s="7">
        <f t="shared" si="1"/>
        <v>15</v>
      </c>
      <c r="B18" s="155" t="s">
        <v>42</v>
      </c>
      <c r="C18" s="20" t="str">
        <f>VLOOKUP(B18,'Detailed Update'!B:C,2,FALSE)</f>
        <v>ALMANFOHA 132/13.8KV SUB # 8138</v>
      </c>
      <c r="D18" s="13" t="s">
        <v>690</v>
      </c>
      <c r="E18" s="14">
        <v>45119</v>
      </c>
      <c r="F18" s="18">
        <v>1</v>
      </c>
      <c r="G18" s="18">
        <v>0.98599999999999999</v>
      </c>
      <c r="H18" s="18">
        <f t="shared" si="0"/>
        <v>-1.4000000000000012E-2</v>
      </c>
      <c r="I18" s="7" t="str">
        <f>VLOOKUP(B18,'Detailed Update'!B:I,6,FALSE)</f>
        <v>SEC</v>
      </c>
      <c r="J18" s="7" t="str">
        <f>VLOOKUP(B18,'Detailed Update'!B:I,7,FALSE)</f>
        <v>Central</v>
      </c>
      <c r="K18" s="7" t="str">
        <f>VLOOKUP(B18,'Detailed Update'!B:I,8,FALSE)</f>
        <v>Riyadh</v>
      </c>
      <c r="L18" s="17" t="s">
        <v>33</v>
      </c>
      <c r="M18" s="10">
        <f>VLOOKUP(B18,'Detailed Update'!B:T,11,FALSE)</f>
        <v>45608</v>
      </c>
      <c r="N18" s="10">
        <f>VLOOKUP(B18,'Detailed Update'!B:T,12,FALSE)</f>
        <v>45991</v>
      </c>
      <c r="O18" s="9">
        <f>VLOOKUP(B18,'Detailed Update'!B:T,13,FALSE)</f>
        <v>45991</v>
      </c>
      <c r="P18" s="7" t="str">
        <f>VLOOKUP(B18,'Detailed Update'!B:U,20,FALSE)</f>
        <v>One Circuit Energized on 21-Dec-25</v>
      </c>
    </row>
    <row r="19" spans="1:16" ht="22.15" customHeight="1">
      <c r="A19" s="7">
        <f t="shared" si="1"/>
        <v>16</v>
      </c>
      <c r="B19" s="155" t="s">
        <v>43</v>
      </c>
      <c r="C19" s="20" t="str">
        <f>VLOOKUP(B19,'Detailed Update'!B:C,2,FALSE)</f>
        <v>NASIRIYAH 132/13.8KV SUB # 8154</v>
      </c>
      <c r="D19" s="13" t="s">
        <v>691</v>
      </c>
      <c r="E19" s="14">
        <v>45119</v>
      </c>
      <c r="F19" s="18">
        <v>1</v>
      </c>
      <c r="G19" s="18">
        <v>0.92700000000000005</v>
      </c>
      <c r="H19" s="18">
        <f t="shared" si="0"/>
        <v>-7.2999999999999954E-2</v>
      </c>
      <c r="I19" s="7" t="str">
        <f>VLOOKUP(B19,'Detailed Update'!B:I,6,FALSE)</f>
        <v>SEC</v>
      </c>
      <c r="J19" s="7" t="str">
        <f>VLOOKUP(B19,'Detailed Update'!B:I,7,FALSE)</f>
        <v>Central</v>
      </c>
      <c r="K19" s="7" t="str">
        <f>VLOOKUP(B19,'Detailed Update'!B:I,8,FALSE)</f>
        <v>Riyadh</v>
      </c>
      <c r="L19" s="17" t="s">
        <v>26</v>
      </c>
      <c r="M19" s="10">
        <f>VLOOKUP(B19,'Detailed Update'!B:T,11,FALSE)</f>
        <v>45608</v>
      </c>
      <c r="N19" s="10">
        <f>VLOOKUP(B19,'Detailed Update'!B:T,12,FALSE)</f>
        <v>46034</v>
      </c>
      <c r="O19" s="9">
        <f>VLOOKUP(B19,'Detailed Update'!B:T,13,FALSE)</f>
        <v>46022</v>
      </c>
      <c r="P19" s="7" t="str">
        <f>VLOOKUP(B19,'Detailed Update'!B:U,20,FALSE)</f>
        <v>One Energized on  11-Feb-26. TCC received with dated 31-Dec-2025</v>
      </c>
    </row>
    <row r="20" spans="1:16" ht="22.15" customHeight="1">
      <c r="A20" s="7">
        <f t="shared" si="1"/>
        <v>17</v>
      </c>
      <c r="B20" s="155" t="s">
        <v>44</v>
      </c>
      <c r="C20" s="20" t="str">
        <f>VLOOKUP(B20,'Detailed Update'!B:C,2,FALSE)</f>
        <v>380kV Diriyah Gate-2 BSP # 9080</v>
      </c>
      <c r="D20" s="13" t="s">
        <v>678</v>
      </c>
      <c r="E20" s="14">
        <v>45246</v>
      </c>
      <c r="F20" s="18">
        <v>0.52380000000000004</v>
      </c>
      <c r="G20" s="18">
        <v>0.4627</v>
      </c>
      <c r="H20" s="18">
        <f t="shared" si="0"/>
        <v>-6.1100000000000043E-2</v>
      </c>
      <c r="I20" s="7" t="str">
        <f>VLOOKUP(B20,'Detailed Update'!B:I,6,FALSE)</f>
        <v>SEC</v>
      </c>
      <c r="J20" s="7" t="str">
        <f>VLOOKUP(B20,'Detailed Update'!B:I,7,FALSE)</f>
        <v>Central</v>
      </c>
      <c r="K20" s="7" t="str">
        <f>VLOOKUP(B20,'Detailed Update'!B:I,8,FALSE)</f>
        <v>Riyadh</v>
      </c>
      <c r="L20" s="17" t="s">
        <v>33</v>
      </c>
      <c r="M20" s="10">
        <f>VLOOKUP(B20,'Detailed Update'!B:T,11,FALSE)</f>
        <v>45977</v>
      </c>
      <c r="N20" s="10">
        <f>VLOOKUP(B20,'Detailed Update'!B:T,12,FALSE)</f>
        <v>46490</v>
      </c>
      <c r="O20" s="9">
        <f>VLOOKUP(B20,'Detailed Update'!B:T,13,FALSE)</f>
        <v>46547</v>
      </c>
      <c r="P20" s="7" t="str">
        <f>VLOOKUP(B20,'Detailed Update'!B:U,20,FALSE)</f>
        <v>Progress based on Internal Baseline.
1-Delay in approval of water proofing VO &amp; removal of loose material, which affects the construction works.
2- Negative Cash flow.
3-Claim Approval 201 Mn for prolongation &amp; inflation costs.
4- Delivery for disconnector switch expected to be delayed.</v>
      </c>
    </row>
    <row r="21" spans="1:16" ht="22.15" customHeight="1">
      <c r="A21" s="7">
        <f t="shared" si="1"/>
        <v>18</v>
      </c>
      <c r="B21" s="155" t="s">
        <v>46</v>
      </c>
      <c r="C21" s="20" t="str">
        <f>VLOOKUP(B21,'Detailed Update'!B:C,2,FALSE)</f>
        <v>SHARAFIYAH 380 KV SS</v>
      </c>
      <c r="D21" s="13" t="s">
        <v>677</v>
      </c>
      <c r="E21" s="14">
        <v>45139</v>
      </c>
      <c r="F21" s="18">
        <v>1</v>
      </c>
      <c r="G21" s="18">
        <v>0.94510000000000005</v>
      </c>
      <c r="H21" s="18">
        <f t="shared" si="0"/>
        <v>-5.4899999999999949E-2</v>
      </c>
      <c r="I21" s="7" t="str">
        <f>VLOOKUP(B21,'Detailed Update'!B:I,6,FALSE)</f>
        <v>SEC</v>
      </c>
      <c r="J21" s="7" t="str">
        <f>VLOOKUP(B21,'Detailed Update'!B:I,7,FALSE)</f>
        <v>Central</v>
      </c>
      <c r="K21" s="7" t="str">
        <f>VLOOKUP(B21,'Detailed Update'!B:I,8,FALSE)</f>
        <v>Riyadh</v>
      </c>
      <c r="L21" s="17" t="s">
        <v>33</v>
      </c>
      <c r="M21" s="10">
        <f>VLOOKUP(B21,'Detailed Update'!B:T,11,FALSE)</f>
        <v>45689</v>
      </c>
      <c r="N21" s="10">
        <f>VLOOKUP(B21,'Detailed Update'!B:T,12,FALSE)</f>
        <v>45689</v>
      </c>
      <c r="O21" s="9">
        <f>VLOOKUP(B21,'Detailed Update'!B:T,13,FALSE)</f>
        <v>46183</v>
      </c>
      <c r="P21" s="7" t="str">
        <f>VLOOKUP(B21,'Detailed Update'!B:U,20,FALSE)</f>
        <v>Partially Energized.
1.Taihan - Oil Joints
2.Design Approval - 6 Remote end ( 132 kV)
3.Gantry Foundation for Existing Substation 
4.Unclear Shutdown schedule for Power and Communication link with all remote ends
5. Delay in Micro Trenching of FOC 25km</v>
      </c>
    </row>
    <row r="22" spans="1:16" ht="22.15" customHeight="1">
      <c r="A22" s="7">
        <f t="shared" si="1"/>
        <v>19</v>
      </c>
      <c r="B22" s="155" t="s">
        <v>47</v>
      </c>
      <c r="C22" s="20" t="str">
        <f>VLOOKUP(B22,'Detailed Update'!B:C,2,FALSE)</f>
        <v>AL-NAZEEM 132/13.8KV SS # 8271</v>
      </c>
      <c r="D22" s="13" t="s">
        <v>692</v>
      </c>
      <c r="E22" s="14">
        <v>45131</v>
      </c>
      <c r="F22" s="18">
        <v>1</v>
      </c>
      <c r="G22" s="18">
        <v>0.9304</v>
      </c>
      <c r="H22" s="18">
        <f t="shared" si="0"/>
        <v>-6.9599999999999995E-2</v>
      </c>
      <c r="I22" s="7" t="str">
        <f>VLOOKUP(B22,'Detailed Update'!B:I,6,FALSE)</f>
        <v xml:space="preserve">SEC </v>
      </c>
      <c r="J22" s="7" t="str">
        <f>VLOOKUP(B22,'Detailed Update'!B:I,7,FALSE)</f>
        <v>Central</v>
      </c>
      <c r="K22" s="7" t="str">
        <f>VLOOKUP(B22,'Detailed Update'!B:I,8,FALSE)</f>
        <v>Riyadh</v>
      </c>
      <c r="L22" s="17" t="s">
        <v>26</v>
      </c>
      <c r="M22" s="10">
        <f>VLOOKUP(B22,'Detailed Update'!B:T,11,FALSE)</f>
        <v>45619</v>
      </c>
      <c r="N22" s="10">
        <f>VLOOKUP(B22,'Detailed Update'!B:T,12,FALSE)</f>
        <v>45831</v>
      </c>
      <c r="O22" s="9">
        <f>VLOOKUP(B22,'Detailed Update'!B:T,13,FALSE)</f>
        <v>46387</v>
      </c>
      <c r="P22" s="7" t="str">
        <f>VLOOKUP(B22,'Detailed Update'!B:U,20,FALSE)</f>
        <v>Commissioing on Hold due to non-readiness of UG Contractor</v>
      </c>
    </row>
    <row r="23" spans="1:16" ht="22.15" customHeight="1">
      <c r="A23" s="7">
        <f t="shared" si="1"/>
        <v>20</v>
      </c>
      <c r="B23" s="155" t="s">
        <v>48</v>
      </c>
      <c r="C23" s="20" t="str">
        <f>VLOOKUP(B23,'Detailed Update'!B:C,2,FALSE)</f>
        <v>Reinf of 132KV Network of Baqaa</v>
      </c>
      <c r="D23" s="13" t="s">
        <v>693</v>
      </c>
      <c r="E23" s="14">
        <v>45238</v>
      </c>
      <c r="F23" s="18">
        <v>1</v>
      </c>
      <c r="G23" s="18">
        <v>0.93920000000000003</v>
      </c>
      <c r="H23" s="18">
        <f t="shared" si="0"/>
        <v>-6.0799999999999965E-2</v>
      </c>
      <c r="I23" s="7" t="str">
        <f>VLOOKUP(B23,'Detailed Update'!B:I,6,FALSE)</f>
        <v xml:space="preserve">SEC </v>
      </c>
      <c r="J23" s="7" t="str">
        <f>VLOOKUP(B23,'Detailed Update'!B:I,7,FALSE)</f>
        <v>Central</v>
      </c>
      <c r="K23" s="7" t="str">
        <f>VLOOKUP(B23,'Detailed Update'!B:I,8,FALSE)</f>
        <v>Riyadh</v>
      </c>
      <c r="L23" s="17" t="s">
        <v>26</v>
      </c>
      <c r="M23" s="10">
        <f>VLOOKUP(B23,'Detailed Update'!B:T,11,FALSE)</f>
        <v>45784</v>
      </c>
      <c r="N23" s="10">
        <f>VLOOKUP(B23,'Detailed Update'!B:T,12,FALSE)</f>
        <v>45981</v>
      </c>
      <c r="O23" s="9">
        <f>VLOOKUP(B23,'Detailed Update'!B:T,13,FALSE)</f>
        <v>46326</v>
      </c>
      <c r="P23" s="7" t="str">
        <f>VLOOKUP(B23,'Detailed Update'!B:U,20,FALSE)</f>
        <v>1.OHTL S/C &amp; D/C crossing - Delay in HOT permits 
2.Cutting point outage at TEE OFF location.
3.ERS System &amp; TEE- OFF Tower Installation 
4.Design Approval of Flood Protection</v>
      </c>
    </row>
    <row r="24" spans="1:16" ht="22.15" customHeight="1">
      <c r="A24" s="7">
        <f t="shared" si="1"/>
        <v>21</v>
      </c>
      <c r="B24" s="155" t="s">
        <v>49</v>
      </c>
      <c r="C24" s="20" t="str">
        <f>VLOOKUP(B24,'Detailed Update'!B:C,2,FALSE)</f>
        <v xml:space="preserve">300 MVAR STATCOM </v>
      </c>
      <c r="D24" s="13" t="s">
        <v>694</v>
      </c>
      <c r="E24" s="14">
        <v>45357</v>
      </c>
      <c r="F24" s="18">
        <v>0.86729999999999996</v>
      </c>
      <c r="G24" s="18">
        <v>0.71509999999999996</v>
      </c>
      <c r="H24" s="18">
        <f t="shared" si="0"/>
        <v>-0.1522</v>
      </c>
      <c r="I24" s="7" t="str">
        <f>VLOOKUP(B24,'Detailed Update'!B:I,6,FALSE)</f>
        <v xml:space="preserve">SEC </v>
      </c>
      <c r="J24" s="7" t="str">
        <f>VLOOKUP(B24,'Detailed Update'!B:I,7,FALSE)</f>
        <v>Central</v>
      </c>
      <c r="K24" s="7" t="str">
        <f>VLOOKUP(B24,'Detailed Update'!B:I,8,FALSE)</f>
        <v>Riyadh</v>
      </c>
      <c r="L24" s="17" t="s">
        <v>33</v>
      </c>
      <c r="M24" s="10">
        <f>VLOOKUP(B24,'Detailed Update'!B:T,11,FALSE)</f>
        <v>46087</v>
      </c>
      <c r="N24" s="10">
        <f>VLOOKUP(B24,'Detailed Update'!B:T,12,FALSE)</f>
        <v>46271</v>
      </c>
      <c r="O24" s="9">
        <f>VLOOKUP(B24,'Detailed Update'!B:T,13,FALSE)</f>
        <v>46315</v>
      </c>
      <c r="P24" s="7" t="str">
        <f>VLOOKUP(B24,'Detailed Update'!B:U,20,FALSE)</f>
        <v xml:space="preserve">1.Delay in delivery of AES scope material. (delay in these materials  ,impact the project completion )
2.Delay in 380 kv insulator (Lapp)
3.New fire pump-Delivery (change order),
4.Delay in delivery of MV grounding transformer </v>
      </c>
    </row>
    <row r="25" spans="1:16" ht="22.15" customHeight="1">
      <c r="A25" s="7">
        <f t="shared" si="1"/>
        <v>22</v>
      </c>
      <c r="B25" s="155" t="s">
        <v>51</v>
      </c>
      <c r="C25" s="20" t="str">
        <f>VLOOKUP(B25,'Detailed Update'!B:C,2,FALSE)</f>
        <v>NEW AL-ARED 380/132KV BSP</v>
      </c>
      <c r="D25" s="13" t="s">
        <v>695</v>
      </c>
      <c r="E25" s="14">
        <v>45218</v>
      </c>
      <c r="F25" s="18">
        <v>1</v>
      </c>
      <c r="G25" s="18">
        <v>0.95379999999999998</v>
      </c>
      <c r="H25" s="18">
        <f t="shared" si="0"/>
        <v>-4.6200000000000019E-2</v>
      </c>
      <c r="I25" s="7" t="str">
        <f>VLOOKUP(B25,'Detailed Update'!B:I,6,FALSE)</f>
        <v xml:space="preserve">SEC </v>
      </c>
      <c r="J25" s="7" t="str">
        <f>VLOOKUP(B25,'Detailed Update'!B:I,7,FALSE)</f>
        <v>Central</v>
      </c>
      <c r="K25" s="7" t="str">
        <f>VLOOKUP(B25,'Detailed Update'!B:I,8,FALSE)</f>
        <v>Riyadh</v>
      </c>
      <c r="L25" s="17" t="s">
        <v>33</v>
      </c>
      <c r="M25" s="10">
        <f>VLOOKUP(B25,'Detailed Update'!B:T,11,FALSE)</f>
        <v>45766</v>
      </c>
      <c r="N25" s="10">
        <f>VLOOKUP(B25,'Detailed Update'!B:T,12,FALSE)</f>
        <v>45888</v>
      </c>
      <c r="O25" s="9">
        <f>VLOOKUP(B25,'Detailed Update'!B:T,13,FALSE)</f>
        <v>46203</v>
      </c>
      <c r="P25" s="7" t="str">
        <f>VLOOKUP(B25,'Detailed Update'!B:U,20,FALSE)</f>
        <v>1.Slow Punch list - Transformers ,GIS, AES
2.Delay in SEC UG Cable Vendor - New Line( Circuits 3 )</v>
      </c>
    </row>
    <row r="26" spans="1:16" ht="22.15" customHeight="1">
      <c r="A26" s="7">
        <f t="shared" si="1"/>
        <v>23</v>
      </c>
      <c r="B26" s="155" t="s">
        <v>52</v>
      </c>
      <c r="C26" s="20" t="str">
        <f>VLOOKUP(B26,'Detailed Update'!B:C,2,FALSE)</f>
        <v>Reliablity Enh.for SS of 9011 in Sudair</v>
      </c>
      <c r="D26" s="13" t="s">
        <v>696</v>
      </c>
      <c r="E26" s="14">
        <v>46015</v>
      </c>
      <c r="F26" s="18">
        <v>0.57250000000000001</v>
      </c>
      <c r="G26" s="18">
        <v>0.24529999999999999</v>
      </c>
      <c r="H26" s="18">
        <f t="shared" si="0"/>
        <v>-0.32720000000000005</v>
      </c>
      <c r="I26" s="7" t="str">
        <f>VLOOKUP(B26,'Detailed Update'!B:I,6,FALSE)</f>
        <v>SEC</v>
      </c>
      <c r="J26" s="7" t="str">
        <f>VLOOKUP(B26,'Detailed Update'!B:I,7,FALSE)</f>
        <v>Central</v>
      </c>
      <c r="K26" s="7" t="str">
        <f>VLOOKUP(B26,'Detailed Update'!B:I,8,FALSE)</f>
        <v>Riyadh</v>
      </c>
      <c r="L26" s="17" t="s">
        <v>53</v>
      </c>
      <c r="M26" s="10">
        <f>VLOOKUP(B26,'Detailed Update'!B:T,11,FALSE)</f>
        <v>46349</v>
      </c>
      <c r="N26" s="10">
        <f>VLOOKUP(B26,'Detailed Update'!B:T,12,FALSE)</f>
        <v>46349</v>
      </c>
      <c r="O26" s="9">
        <f>VLOOKUP(B26,'Detailed Update'!B:T,13,FALSE)</f>
        <v>46498</v>
      </c>
      <c r="P26" s="7" t="str">
        <f>VLOOKUP(B26,'Detailed Update'!B:U,20,FALSE)</f>
        <v>Current issues
1.Delay in Plan &amp; Profile - OHTL
2.Delay in Plan &amp; Profile - UG Cable ( T- off Tower Location)
3.Delay in SE supply GIS Bays
4.Delay in Material :-  Tower, Hardware, Insulator
5. Delay in providing existing Design : Remote End, U/G 8500 to 8521, Basement &amp; Sleeves Details, Telecom Room, Control Room Layouts
6.Delay in Mobilization of Project Team OHTL Site Engr &amp; Project Engr, QA &amp; QC Civil &amp; Electrical
7. Unclear Shutdown for Project</v>
      </c>
    </row>
    <row r="27" spans="1:16" ht="22.15" customHeight="1">
      <c r="A27" s="7">
        <f t="shared" si="1"/>
        <v>24</v>
      </c>
      <c r="B27" s="155" t="s">
        <v>54</v>
      </c>
      <c r="C27" s="20" t="str">
        <f>VLOOKUP(B27,'Detailed Update'!B:C,2,FALSE)</f>
        <v>Al Shifa Housing 132/13.8KV SS</v>
      </c>
      <c r="D27" s="13" t="s">
        <v>697</v>
      </c>
      <c r="E27" s="14">
        <v>45313</v>
      </c>
      <c r="F27" s="18">
        <v>0.95369999999999999</v>
      </c>
      <c r="G27" s="18">
        <v>0.87660000000000005</v>
      </c>
      <c r="H27" s="18">
        <f t="shared" si="0"/>
        <v>-7.7099999999999946E-2</v>
      </c>
      <c r="I27" s="7" t="str">
        <f>VLOOKUP(B27,'Detailed Update'!B:I,6,FALSE)</f>
        <v xml:space="preserve">SEC </v>
      </c>
      <c r="J27" s="7" t="str">
        <f>VLOOKUP(B27,'Detailed Update'!B:I,7,FALSE)</f>
        <v>Central</v>
      </c>
      <c r="K27" s="7" t="str">
        <f>VLOOKUP(B27,'Detailed Update'!B:I,8,FALSE)</f>
        <v>Riyadh</v>
      </c>
      <c r="L27" s="17" t="s">
        <v>33</v>
      </c>
      <c r="M27" s="10">
        <f>VLOOKUP(B27,'Detailed Update'!B:T,11,FALSE)</f>
        <v>45983</v>
      </c>
      <c r="N27" s="10">
        <f>VLOOKUP(B27,'Detailed Update'!B:T,12,FALSE)</f>
        <v>46194</v>
      </c>
      <c r="O27" s="9">
        <f>VLOOKUP(B27,'Detailed Update'!B:T,13,FALSE)</f>
        <v>46251</v>
      </c>
      <c r="P27" s="7" t="str">
        <f>VLOOKUP(B27,'Detailed Update'!B:U,20,FALSE)</f>
        <v>1.Incomplete HV underground cable works under another contractor’s scope are impacting the substation energization activities.
2.STATCOM PQS approval remains pending with SEC/vendor, affecting material delivery and subsequent installation.
3.Delay in remote end (8131) works due to pending C1 work permit</v>
      </c>
    </row>
    <row r="28" spans="1:16" ht="22.15" customHeight="1">
      <c r="A28" s="7">
        <f t="shared" si="1"/>
        <v>25</v>
      </c>
      <c r="B28" s="155" t="s">
        <v>55</v>
      </c>
      <c r="C28" s="20" t="str">
        <f>VLOOKUP(B28,'Detailed Update'!B:C,2,FALSE)</f>
        <v>Shaqra Wind 380/132kV SS</v>
      </c>
      <c r="D28" s="13" t="s">
        <v>698</v>
      </c>
      <c r="E28" s="14">
        <v>45589</v>
      </c>
      <c r="F28" s="18">
        <v>1</v>
      </c>
      <c r="G28" s="18">
        <v>0.72040000000000004</v>
      </c>
      <c r="H28" s="18">
        <f t="shared" si="0"/>
        <v>-0.27959999999999996</v>
      </c>
      <c r="I28" s="7" t="str">
        <f>VLOOKUP(B28,'Detailed Update'!B:I,6,FALSE)</f>
        <v>SEC</v>
      </c>
      <c r="J28" s="7" t="str">
        <f>VLOOKUP(B28,'Detailed Update'!B:I,7,FALSE)</f>
        <v>Central</v>
      </c>
      <c r="K28" s="7" t="str">
        <f>VLOOKUP(B28,'Detailed Update'!B:I,8,FALSE)</f>
        <v>Riyadh</v>
      </c>
      <c r="L28" s="17" t="s">
        <v>53</v>
      </c>
      <c r="M28" s="10">
        <f>VLOOKUP(B28,'Detailed Update'!B:T,11,FALSE)</f>
        <v>46165</v>
      </c>
      <c r="N28" s="10">
        <f>VLOOKUP(B28,'Detailed Update'!B:T,12,FALSE)</f>
        <v>46165</v>
      </c>
      <c r="O28" s="9">
        <f>VLOOKUP(B28,'Detailed Update'!B:T,13,FALSE)</f>
        <v>46387</v>
      </c>
      <c r="P28" s="7" t="str">
        <f>VLOOKUP(B28,'Detailed Update'!B:U,20,FALSE)</f>
        <v>1-Delay in the delivery of 132kV and 380kV GIB and Hybrid GIS (SEC Direct purchase) beyond the scheduled dates, where the original plan was December 2025; however, only the 132kV GIB was delivered in end of May 2026, while the 380kV GIB and Hybrid GIS are still pending.
2-Delay in the supply of AC and DC panels from AES up to date.
3- Delay in obtaining ITP approvals for DSM and TFR systems AES prequalification to perform the FAT in AES factory.
4-Change order confirmation for the additional scope , which holding following activities (Civil work for Search facilities - Guard house - security building and along with all septic tank and water connections , HCIS stage 3 finalization and approval , Procurement of all  electrical , mechanical , security material related to this pending .
5-Delay in the approval of firefighting system designs due to changing multiple changes in the review process from SEC and adding new comments with each revision.
6- After approval of lightening panels design (MS Hawaa ) SEC insist to change the manufactural to new alternate as (MS hawaa )is currently suspended in the system 
7- Confirmation of EOT which submitted 9-Apr-26.</v>
      </c>
    </row>
    <row r="29" spans="1:16" ht="22.15" customHeight="1">
      <c r="A29" s="7">
        <f t="shared" si="1"/>
        <v>26</v>
      </c>
      <c r="B29" s="155" t="s">
        <v>56</v>
      </c>
      <c r="C29" s="20" t="str">
        <f>VLOOKUP(B29,'Detailed Update'!B:C,2,FALSE)</f>
        <v>Battery Energy (BESS) - Qaisumah</v>
      </c>
      <c r="D29" s="13" t="s">
        <v>686</v>
      </c>
      <c r="E29" s="14">
        <v>45642</v>
      </c>
      <c r="F29" s="18">
        <v>1</v>
      </c>
      <c r="G29" s="18">
        <v>0.98260000000000003</v>
      </c>
      <c r="H29" s="18">
        <f t="shared" si="0"/>
        <v>-1.7399999999999971E-2</v>
      </c>
      <c r="I29" s="7" t="str">
        <f>VLOOKUP(B29,'Detailed Update'!B:I,6,FALSE)</f>
        <v>SEC</v>
      </c>
      <c r="J29" s="7" t="str">
        <f>VLOOKUP(B29,'Detailed Update'!B:I,7,FALSE)</f>
        <v>Central</v>
      </c>
      <c r="K29" s="7" t="str">
        <f>VLOOKUP(B29,'Detailed Update'!B:I,8,FALSE)</f>
        <v>Riyadh</v>
      </c>
      <c r="L29" s="17" t="s">
        <v>53</v>
      </c>
      <c r="M29" s="10">
        <f>VLOOKUP(B29,'Detailed Update'!B:T,11,FALSE)</f>
        <v>46158</v>
      </c>
      <c r="N29" s="10">
        <f>VLOOKUP(B29,'Detailed Update'!B:T,12,FALSE)</f>
        <v>46158</v>
      </c>
      <c r="O29" s="9">
        <f>VLOOKUP(B29,'Detailed Update'!B:T,13,FALSE)</f>
        <v>46153</v>
      </c>
      <c r="P29" s="7" t="str">
        <f>VLOOKUP(B29,'Detailed Update'!B:U,20,FALSE)</f>
        <v>Energized.</v>
      </c>
    </row>
    <row r="30" spans="1:16" ht="22.15" customHeight="1">
      <c r="A30" s="7">
        <f t="shared" si="1"/>
        <v>27</v>
      </c>
      <c r="B30" s="155" t="s">
        <v>57</v>
      </c>
      <c r="C30" s="20" t="str">
        <f>VLOOKUP(B30,'Detailed Update'!B:C,2,FALSE)</f>
        <v xml:space="preserve">Battery Energy (BESS) - Dawadmi </v>
      </c>
      <c r="D30" s="13" t="s">
        <v>699</v>
      </c>
      <c r="E30" s="14">
        <v>45642</v>
      </c>
      <c r="F30" s="18">
        <v>1</v>
      </c>
      <c r="G30" s="18">
        <v>0.98</v>
      </c>
      <c r="H30" s="18">
        <f t="shared" si="0"/>
        <v>-2.0000000000000018E-2</v>
      </c>
      <c r="I30" s="7" t="str">
        <f>VLOOKUP(B30,'Detailed Update'!B:I,6,FALSE)</f>
        <v>SEC</v>
      </c>
      <c r="J30" s="7" t="str">
        <f>VLOOKUP(B30,'Detailed Update'!B:I,7,FALSE)</f>
        <v>Central</v>
      </c>
      <c r="K30" s="7" t="str">
        <f>VLOOKUP(B30,'Detailed Update'!B:I,8,FALSE)</f>
        <v>Riyadh</v>
      </c>
      <c r="L30" s="17" t="s">
        <v>53</v>
      </c>
      <c r="M30" s="10">
        <f>VLOOKUP(B30,'Detailed Update'!B:T,11,FALSE)</f>
        <v>46158</v>
      </c>
      <c r="N30" s="10">
        <f>VLOOKUP(B30,'Detailed Update'!B:T,12,FALSE)</f>
        <v>46158</v>
      </c>
      <c r="O30" s="9">
        <f>VLOOKUP(B30,'Detailed Update'!B:T,13,FALSE)</f>
        <v>46152</v>
      </c>
      <c r="P30" s="7" t="str">
        <f>VLOOKUP(B30,'Detailed Update'!B:U,20,FALSE)</f>
        <v>Energized.</v>
      </c>
    </row>
    <row r="31" spans="1:16" ht="22.15" customHeight="1">
      <c r="A31" s="7">
        <f t="shared" si="1"/>
        <v>28</v>
      </c>
      <c r="B31" s="155" t="s">
        <v>58</v>
      </c>
      <c r="C31" s="20" t="str">
        <f>VLOOKUP(B31,'Detailed Update'!B:C,2,FALSE)</f>
        <v>Battery Energy (BESS) - Airport</v>
      </c>
      <c r="D31" s="13" t="s">
        <v>700</v>
      </c>
      <c r="E31" s="14">
        <v>45642</v>
      </c>
      <c r="F31" s="18">
        <v>1</v>
      </c>
      <c r="G31" s="18">
        <v>0.98699999999999999</v>
      </c>
      <c r="H31" s="18">
        <f t="shared" si="0"/>
        <v>-1.3000000000000012E-2</v>
      </c>
      <c r="I31" s="7" t="str">
        <f>VLOOKUP(B31,'Detailed Update'!B:I,6,FALSE)</f>
        <v>SEC</v>
      </c>
      <c r="J31" s="7" t="str">
        <f>VLOOKUP(B31,'Detailed Update'!B:I,7,FALSE)</f>
        <v>Central</v>
      </c>
      <c r="K31" s="7" t="str">
        <f>VLOOKUP(B31,'Detailed Update'!B:I,8,FALSE)</f>
        <v>Riyadh</v>
      </c>
      <c r="L31" s="17" t="s">
        <v>53</v>
      </c>
      <c r="M31" s="10">
        <f>VLOOKUP(B31,'Detailed Update'!B:T,11,FALSE)</f>
        <v>46158</v>
      </c>
      <c r="N31" s="10">
        <f>VLOOKUP(B31,'Detailed Update'!B:T,12,FALSE)</f>
        <v>46158</v>
      </c>
      <c r="O31" s="9">
        <f>VLOOKUP(B31,'Detailed Update'!B:T,13,FALSE)</f>
        <v>46148</v>
      </c>
      <c r="P31" s="7" t="str">
        <f>VLOOKUP(B31,'Detailed Update'!B:U,20,FALSE)</f>
        <v>Energized.</v>
      </c>
    </row>
    <row r="32" spans="1:16" ht="22.15" customHeight="1">
      <c r="A32" s="7">
        <f t="shared" si="1"/>
        <v>29</v>
      </c>
      <c r="B32" s="155" t="s">
        <v>59</v>
      </c>
      <c r="C32" s="20" t="str">
        <f>VLOOKUP(B32,'Detailed Update'!B:C,2,FALSE)</f>
        <v>Battery Energy (BESS) - Jouf</v>
      </c>
      <c r="D32" s="13" t="s">
        <v>688</v>
      </c>
      <c r="E32" s="14">
        <v>45642</v>
      </c>
      <c r="F32" s="18">
        <v>1</v>
      </c>
      <c r="G32" s="18">
        <v>1</v>
      </c>
      <c r="H32" s="18">
        <f t="shared" si="0"/>
        <v>0</v>
      </c>
      <c r="I32" s="7" t="str">
        <f>VLOOKUP(B32,'Detailed Update'!B:I,6,FALSE)</f>
        <v>SEC</v>
      </c>
      <c r="J32" s="7" t="str">
        <f>VLOOKUP(B32,'Detailed Update'!B:I,7,FALSE)</f>
        <v>Central</v>
      </c>
      <c r="K32" s="7" t="str">
        <f>VLOOKUP(B32,'Detailed Update'!B:I,8,FALSE)</f>
        <v>Jouf</v>
      </c>
      <c r="L32" s="17" t="s">
        <v>53</v>
      </c>
      <c r="M32" s="10">
        <f>VLOOKUP(B32,'Detailed Update'!B:T,11,FALSE)</f>
        <v>46158</v>
      </c>
      <c r="N32" s="10">
        <f>VLOOKUP(B32,'Detailed Update'!B:T,12,FALSE)</f>
        <v>46158</v>
      </c>
      <c r="O32" s="9">
        <f>VLOOKUP(B32,'Detailed Update'!B:T,13,FALSE)</f>
        <v>46158</v>
      </c>
      <c r="P32" s="7" t="str">
        <f>VLOOKUP(B32,'Detailed Update'!B:U,20,FALSE)</f>
        <v>Energized.</v>
      </c>
    </row>
    <row r="33" spans="1:16" ht="22.15" customHeight="1">
      <c r="A33" s="7">
        <f t="shared" si="1"/>
        <v>30</v>
      </c>
      <c r="B33" s="155" t="s">
        <v>60</v>
      </c>
      <c r="C33" s="20" t="str">
        <f>VLOOKUP(B33,'Detailed Update'!B:C,2,FALSE)</f>
        <v>Construction of Hail-2 Substation for BESS</v>
      </c>
      <c r="D33" s="13" t="s">
        <v>687</v>
      </c>
      <c r="E33" s="14">
        <v>45841</v>
      </c>
      <c r="F33" s="18">
        <v>0.98680000000000001</v>
      </c>
      <c r="G33" s="18">
        <v>0.70740000000000003</v>
      </c>
      <c r="H33" s="18">
        <f t="shared" si="0"/>
        <v>-0.27939999999999998</v>
      </c>
      <c r="I33" s="7" t="str">
        <f>VLOOKUP(B33,'Detailed Update'!B:I,6,FALSE)</f>
        <v>SEC</v>
      </c>
      <c r="J33" s="7" t="str">
        <f>VLOOKUP(B33,'Detailed Update'!B:I,7,FALSE)</f>
        <v>Central</v>
      </c>
      <c r="K33" s="7" t="str">
        <f>VLOOKUP(B33,'Detailed Update'!B:I,8,FALSE)</f>
        <v>Hail</v>
      </c>
      <c r="L33" s="17" t="s">
        <v>53</v>
      </c>
      <c r="M33" s="10">
        <f>VLOOKUP(B33,'Detailed Update'!B:T,11,FALSE)</f>
        <v>46176</v>
      </c>
      <c r="N33" s="10">
        <f>VLOOKUP(B33,'Detailed Update'!B:T,12,FALSE)</f>
        <v>46176</v>
      </c>
      <c r="O33" s="9">
        <f>VLOOKUP(B33,'Detailed Update'!B:T,13,FALSE)</f>
        <v>46280</v>
      </c>
      <c r="P33" s="7" t="str">
        <f>VLOOKUP(B33,'Detailed Update'!B:U,20,FALSE)</f>
        <v>1-Delay in approving critical designs such as FF designs, &amp; Remote end AMI , with some submittals open for more than 3 months
2- Delay in design inputs has delayed grid studies submission &amp; approval cycles
3- Delay in Alfanar equipment delivery:
   - Auxiliary transformer
   - AC &amp; DC Panels
   - TFR &amp; DSM
   - Remote End AMI &amp; Metering
4- Delay in BESS Supplier fire fighting protion delivery (BESS gas pipes)
5- Delay in Firefighting pumps delivery
6- Delay in surge arrestors, and post insulators delivery
7- Delay in 33Kv SWGR termination kits delivery
8- Delay in HGIS Delivery: 1 out of 2 Bays delivered
9- Delay in UPS delivery</v>
      </c>
    </row>
    <row r="34" spans="1:16" ht="22.15" customHeight="1">
      <c r="A34" s="7">
        <f t="shared" si="1"/>
        <v>31</v>
      </c>
      <c r="B34" s="155" t="s">
        <v>61</v>
      </c>
      <c r="C34" s="20" t="str">
        <f>VLOOKUP(B34,'Detailed Update'!B:C,2,FALSE)</f>
        <v xml:space="preserve">Conv of Riyadh CC PP10 - Phase 2				</v>
      </c>
      <c r="D34" s="13" t="s">
        <v>701</v>
      </c>
      <c r="E34" s="14">
        <v>45785</v>
      </c>
      <c r="F34" s="18">
        <v>0.50019999999999998</v>
      </c>
      <c r="G34" s="18">
        <v>0.18679999999999999</v>
      </c>
      <c r="H34" s="18">
        <f t="shared" si="0"/>
        <v>-0.31340000000000001</v>
      </c>
      <c r="I34" s="7" t="str">
        <f>VLOOKUP(B34,'Detailed Update'!B:I,6,FALSE)</f>
        <v>SEC</v>
      </c>
      <c r="J34" s="7" t="str">
        <f>VLOOKUP(B34,'Detailed Update'!B:I,7,FALSE)</f>
        <v>Central</v>
      </c>
      <c r="K34" s="7" t="str">
        <f>VLOOKUP(B34,'Detailed Update'!B:I,8,FALSE)</f>
        <v>Riyadh</v>
      </c>
      <c r="L34" s="17" t="s">
        <v>53</v>
      </c>
      <c r="M34" s="10">
        <f>VLOOKUP(B34,'Detailed Update'!B:T,11,FALSE)</f>
        <v>46515</v>
      </c>
      <c r="N34" s="10">
        <f>VLOOKUP(B34,'Detailed Update'!B:T,12,FALSE)</f>
        <v>46515</v>
      </c>
      <c r="O34" s="9">
        <f>VLOOKUP(B34,'Detailed Update'!B:T,13,FALSE)</f>
        <v>46765</v>
      </c>
      <c r="P34" s="7" t="str">
        <f>VLOOKUP(B34,'Detailed Update'!B:U,20,FALSE)</f>
        <v>1.Base Design Approval : Disagreement with SE on interpretation of the Contract.
2.Engineering Review Cycle Delays : Agreed timelines for review are not being adhered.
3.Delivery durations for critical  (LLIs) exceed the Contractual timeline, creating a significant risk to meeting the contractual milestones.
4.Accelerated Dec 2026 completion requested by SE for GT 1st Fire.
5.Site Access Gate Permits &amp; Work Permit issues.</v>
      </c>
    </row>
    <row r="35" spans="1:16" ht="22.15" customHeight="1">
      <c r="A35" s="7">
        <f t="shared" si="1"/>
        <v>32</v>
      </c>
      <c r="B35" s="155" t="s">
        <v>62</v>
      </c>
      <c r="C35" s="20" t="str">
        <f>VLOOKUP(B35,'Detailed Update'!B:C,2,FALSE)</f>
        <v>380KV OHTL | MAWQAQ BSP CONNECTION</v>
      </c>
      <c r="D35" s="13" t="s">
        <v>691</v>
      </c>
      <c r="E35" s="14">
        <v>45897</v>
      </c>
      <c r="F35" s="18">
        <v>0.36120000000000002</v>
      </c>
      <c r="G35" s="18">
        <v>0.1333</v>
      </c>
      <c r="H35" s="18">
        <f t="shared" si="0"/>
        <v>-0.22790000000000002</v>
      </c>
      <c r="I35" s="7" t="str">
        <f>VLOOKUP(B35,'Detailed Update'!B:I,6,FALSE)</f>
        <v>SEC</v>
      </c>
      <c r="J35" s="7" t="str">
        <f>VLOOKUP(B35,'Detailed Update'!B:I,7,FALSE)</f>
        <v>Central</v>
      </c>
      <c r="K35" s="7" t="str">
        <f>VLOOKUP(B35,'Detailed Update'!B:I,8,FALSE)</f>
        <v>Riyadh</v>
      </c>
      <c r="L35" s="32" t="s">
        <v>53</v>
      </c>
      <c r="M35" s="10">
        <f>VLOOKUP(B35,'Detailed Update'!B:T,11,FALSE)</f>
        <v>46446</v>
      </c>
      <c r="N35" s="10">
        <f>VLOOKUP(B35,'Detailed Update'!B:T,12,FALSE)</f>
        <v>46446</v>
      </c>
      <c r="O35" s="9">
        <f>VLOOKUP(B35,'Detailed Update'!B:T,13,FALSE)</f>
        <v>46723</v>
      </c>
      <c r="P35" s="7" t="str">
        <f>VLOOKUP(B35,'Detailed Update'!B:U,20,FALSE)</f>
        <v xml:space="preserve">1) Revised Route with additional  change order.Revised Route under approval
2) Finalization of the route is pending for the portion that falls under KSRR.
3) Cost and time impact resulting from the increased transmission line route length and associated scope changes.
4) Delay in approval of plan and profile </v>
      </c>
    </row>
    <row r="36" spans="1:16" ht="22.15" customHeight="1">
      <c r="A36" s="7">
        <f t="shared" si="1"/>
        <v>33</v>
      </c>
      <c r="B36" s="155" t="s">
        <v>63</v>
      </c>
      <c r="C36" s="20" t="str">
        <f>VLOOKUP(B36,'Detailed Update'!B:C,2,FALSE)</f>
        <v>SMP|OPERATION &amp; PROF. SERVICES (HES&amp;HHU)</v>
      </c>
      <c r="D36" s="13" t="s">
        <v>702</v>
      </c>
      <c r="E36" s="14">
        <v>45853</v>
      </c>
      <c r="F36" s="18">
        <v>0.91</v>
      </c>
      <c r="G36" s="18">
        <v>0.91</v>
      </c>
      <c r="H36" s="18">
        <f t="shared" si="0"/>
        <v>0</v>
      </c>
      <c r="I36" s="7" t="str">
        <f>VLOOKUP(B36,'Detailed Update'!B:I,6,FALSE)</f>
        <v>SEC</v>
      </c>
      <c r="J36" s="7" t="str">
        <f>VLOOKUP(B36,'Detailed Update'!B:I,7,FALSE)</f>
        <v>Central</v>
      </c>
      <c r="K36" s="7" t="str">
        <f>VLOOKUP(B36,'Detailed Update'!B:I,8,FALSE)</f>
        <v>Riyadh</v>
      </c>
      <c r="L36" s="32" t="s">
        <v>53</v>
      </c>
      <c r="M36" s="10">
        <f>VLOOKUP(B36,'Detailed Update'!B:T,11,FALSE)</f>
        <v>46217</v>
      </c>
      <c r="N36" s="10">
        <f>VLOOKUP(B36,'Detailed Update'!B:T,12,FALSE)</f>
        <v>46309</v>
      </c>
      <c r="O36" s="9">
        <f>VLOOKUP(B36,'Detailed Update'!B:T,13,FALSE)</f>
        <v>46309</v>
      </c>
      <c r="P36" s="7" t="str">
        <f>VLOOKUP(B36,'Detailed Update'!B:U,20,FALSE)</f>
        <v>Extension of 1 quarter received</v>
      </c>
    </row>
    <row r="37" spans="1:16" ht="22.15" customHeight="1">
      <c r="A37" s="7">
        <f t="shared" si="1"/>
        <v>34</v>
      </c>
      <c r="B37" s="155" t="s">
        <v>64</v>
      </c>
      <c r="C37" s="20" t="str">
        <f>VLOOKUP(B37,'Detailed Update'!B:C,2,FALSE)</f>
        <v>132KV SS |CONST. SPORTS BOULEVARD-RIYADH</v>
      </c>
      <c r="D37" s="13" t="s">
        <v>703</v>
      </c>
      <c r="E37" s="14">
        <v>45882</v>
      </c>
      <c r="F37" s="18">
        <v>0.38269999999999998</v>
      </c>
      <c r="G37" s="18">
        <v>0.27039999999999997</v>
      </c>
      <c r="H37" s="18">
        <f t="shared" si="0"/>
        <v>-0.11230000000000001</v>
      </c>
      <c r="I37" s="7" t="str">
        <f>VLOOKUP(B37,'Detailed Update'!B:I,6,FALSE)</f>
        <v>SEC</v>
      </c>
      <c r="J37" s="7" t="str">
        <f>VLOOKUP(B37,'Detailed Update'!B:I,7,FALSE)</f>
        <v>Central</v>
      </c>
      <c r="K37" s="7" t="str">
        <f>VLOOKUP(B37,'Detailed Update'!B:I,8,FALSE)</f>
        <v>Riyadh</v>
      </c>
      <c r="L37" s="32" t="s">
        <v>53</v>
      </c>
      <c r="M37" s="10">
        <f>VLOOKUP(B37,'Detailed Update'!B:T,11,FALSE)</f>
        <v>46429</v>
      </c>
      <c r="N37" s="10">
        <f>VLOOKUP(B37,'Detailed Update'!B:T,12,FALSE)</f>
        <v>46429</v>
      </c>
      <c r="O37" s="9">
        <f>VLOOKUP(B37,'Detailed Update'!B:T,13,FALSE)</f>
        <v>46660</v>
      </c>
      <c r="P37" s="7" t="str">
        <f>VLOOKUP(B37,'Detailed Update'!B:U,20,FALSE)</f>
        <v>Delay in Site Handing Over. Not handed over yet</v>
      </c>
    </row>
    <row r="38" spans="1:16" ht="22.15" customHeight="1">
      <c r="A38" s="7">
        <f t="shared" si="1"/>
        <v>35</v>
      </c>
      <c r="B38" s="155" t="s">
        <v>65</v>
      </c>
      <c r="C38" s="20" t="str">
        <f>VLOOKUP(B38,'Detailed Update'!B:C,2,FALSE)</f>
        <v>HVDC-1 | COA-WOA | RUH-9022</v>
      </c>
      <c r="D38" s="13" t="s">
        <v>677</v>
      </c>
      <c r="E38" s="14">
        <v>45470</v>
      </c>
      <c r="F38" s="18">
        <v>0.93759999999999999</v>
      </c>
      <c r="G38" s="18">
        <v>0.87109999999999999</v>
      </c>
      <c r="H38" s="18">
        <f t="shared" si="0"/>
        <v>-6.6500000000000004E-2</v>
      </c>
      <c r="I38" s="7" t="str">
        <f>VLOOKUP(B38,'Detailed Update'!B:I,6,FALSE)</f>
        <v xml:space="preserve">SEC </v>
      </c>
      <c r="J38" s="7" t="str">
        <f>VLOOKUP(B38,'Detailed Update'!B:I,7,FALSE)</f>
        <v>Central</v>
      </c>
      <c r="K38" s="7" t="str">
        <f>VLOOKUP(B38,'Detailed Update'!B:I,8,FALSE)</f>
        <v>Riyadh</v>
      </c>
      <c r="L38" s="17" t="s">
        <v>53</v>
      </c>
      <c r="M38" s="10">
        <f>VLOOKUP(B38,'Detailed Update'!B:T,11,FALSE)</f>
        <v>46387</v>
      </c>
      <c r="N38" s="10">
        <f>VLOOKUP(B38,'Detailed Update'!B:T,12,FALSE)</f>
        <v>46387</v>
      </c>
      <c r="O38" s="9">
        <f>VLOOKUP(B38,'Detailed Update'!B:T,13,FALSE)</f>
        <v>46418</v>
      </c>
      <c r="P38" s="7" t="str">
        <f>VLOOKUP(B38,'Detailed Update'!B:U,20,FALSE)</f>
        <v>-</v>
      </c>
    </row>
    <row r="39" spans="1:16" ht="22.15" customHeight="1">
      <c r="A39" s="7">
        <f t="shared" si="1"/>
        <v>36</v>
      </c>
      <c r="B39" s="155" t="s">
        <v>66</v>
      </c>
      <c r="C39" s="20" t="str">
        <f>VLOOKUP(B39,'Detailed Update'!B:C,2,FALSE)</f>
        <v>HVDC-2 | COA-SOA | RUH-9041</v>
      </c>
      <c r="D39" s="13" t="s">
        <v>677</v>
      </c>
      <c r="E39" s="14">
        <v>45470</v>
      </c>
      <c r="F39" s="18">
        <v>0.91759999999999997</v>
      </c>
      <c r="G39" s="18">
        <v>0.83489999999999998</v>
      </c>
      <c r="H39" s="18">
        <f t="shared" si="0"/>
        <v>-8.2699999999999996E-2</v>
      </c>
      <c r="I39" s="7" t="str">
        <f>VLOOKUP(B39,'Detailed Update'!B:I,6,FALSE)</f>
        <v xml:space="preserve">SEC </v>
      </c>
      <c r="J39" s="7" t="str">
        <f>VLOOKUP(B39,'Detailed Update'!B:I,7,FALSE)</f>
        <v>Central</v>
      </c>
      <c r="K39" s="7" t="str">
        <f>VLOOKUP(B39,'Detailed Update'!B:I,8,FALSE)</f>
        <v>Riyadh</v>
      </c>
      <c r="L39" s="17" t="s">
        <v>53</v>
      </c>
      <c r="M39" s="10">
        <f>VLOOKUP(B39,'Detailed Update'!B:T,11,FALSE)</f>
        <v>46387</v>
      </c>
      <c r="N39" s="10">
        <f>VLOOKUP(B39,'Detailed Update'!B:T,12,FALSE)</f>
        <v>46387</v>
      </c>
      <c r="O39" s="9">
        <f>VLOOKUP(B39,'Detailed Update'!B:T,13,FALSE)</f>
        <v>46446</v>
      </c>
      <c r="P39" s="7" t="str">
        <f>VLOOKUP(B39,'Detailed Update'!B:U,20,FALSE)</f>
        <v>-</v>
      </c>
    </row>
    <row r="40" spans="1:16" ht="22.15" customHeight="1">
      <c r="A40" s="7">
        <f t="shared" si="1"/>
        <v>37</v>
      </c>
      <c r="B40" s="155" t="s">
        <v>67</v>
      </c>
      <c r="C40" s="20" t="str">
        <f>VLOOKUP(B40,'Detailed Update'!B:C,2,FALSE)</f>
        <v>SULYBIAH SS 8823 132/33KV</v>
      </c>
      <c r="D40" s="13" t="s">
        <v>704</v>
      </c>
      <c r="E40" s="14">
        <v>46047</v>
      </c>
      <c r="F40" s="18">
        <v>7.1800000000000003E-2</v>
      </c>
      <c r="G40" s="18">
        <v>4.9700000000000001E-2</v>
      </c>
      <c r="H40" s="18">
        <f t="shared" si="0"/>
        <v>-2.2100000000000002E-2</v>
      </c>
      <c r="I40" s="7" t="str">
        <f>VLOOKUP(B40,'Detailed Update'!B:I,6,FALSE)</f>
        <v>SEC</v>
      </c>
      <c r="J40" s="7" t="str">
        <f>VLOOKUP(B40,'Detailed Update'!B:I,7,FALSE)</f>
        <v>Central</v>
      </c>
      <c r="K40" s="7" t="str">
        <f>VLOOKUP(B40,'Detailed Update'!B:I,8,FALSE)</f>
        <v>Qassim</v>
      </c>
      <c r="L40" s="32" t="s">
        <v>53</v>
      </c>
      <c r="M40" s="10">
        <f>VLOOKUP(B40,'Detailed Update'!B:T,11,FALSE)</f>
        <v>46593</v>
      </c>
      <c r="N40" s="10">
        <f>VLOOKUP(B40,'Detailed Update'!B:T,12,FALSE)</f>
        <v>46593</v>
      </c>
      <c r="O40" s="9">
        <f>VLOOKUP(B40,'Detailed Update'!B:T,13,FALSE)</f>
        <v>46673</v>
      </c>
      <c r="P40" s="7" t="str">
        <f>VLOOKUP(B40,'Detailed Update'!B:U,20,FALSE)</f>
        <v>1. Delay in Receiving Design for GIS Package Supplied by SEC Vendor
2. Delay in soil investigation activities due to one corner of the substation located on farmland
3. Terminal compound 1 location changed
4. Repetition of soil investigation activities due to the client's rejection of the proposed vendor</v>
      </c>
    </row>
    <row r="41" spans="1:16" ht="22.15" customHeight="1">
      <c r="A41" s="7">
        <f t="shared" si="1"/>
        <v>38</v>
      </c>
      <c r="B41" s="155" t="s">
        <v>68</v>
      </c>
      <c r="C41" s="20" t="str">
        <f>VLOOKUP(B41,'Detailed Update'!B:C,2,FALSE)</f>
        <v>AL-DWADMI SS 8618 132/33KV</v>
      </c>
      <c r="D41" s="13" t="s">
        <v>705</v>
      </c>
      <c r="E41" s="14">
        <v>46036</v>
      </c>
      <c r="F41" s="18">
        <v>0.1174</v>
      </c>
      <c r="G41" s="18">
        <v>9.1800000000000007E-2</v>
      </c>
      <c r="H41" s="18">
        <f t="shared" si="0"/>
        <v>-2.5599999999999998E-2</v>
      </c>
      <c r="I41" s="7" t="str">
        <f>VLOOKUP(B41,'Detailed Update'!B:I,6,FALSE)</f>
        <v>SEC</v>
      </c>
      <c r="J41" s="7" t="str">
        <f>VLOOKUP(B41,'Detailed Update'!B:I,7,FALSE)</f>
        <v>Central</v>
      </c>
      <c r="K41" s="7" t="str">
        <f>VLOOKUP(B41,'Detailed Update'!B:I,8,FALSE)</f>
        <v>Riyadh</v>
      </c>
      <c r="L41" s="32" t="s">
        <v>53</v>
      </c>
      <c r="M41" s="10">
        <f>VLOOKUP(B41,'Detailed Update'!B:T,11,FALSE)</f>
        <v>46580</v>
      </c>
      <c r="N41" s="10">
        <f>VLOOKUP(B41,'Detailed Update'!B:T,12,FALSE)</f>
        <v>46580</v>
      </c>
      <c r="O41" s="9">
        <f>VLOOKUP(B41,'Detailed Update'!B:T,13,FALSE)</f>
        <v>46660</v>
      </c>
      <c r="P41" s="7" t="str">
        <f>VLOOKUP(B41,'Detailed Update'!B:U,20,FALSE)</f>
        <v xml:space="preserve">1.	Delay in approval of GEL
2.	Delay of Receiving Design for GIS Package Supplied by SEC (GIS Delivery delayed )
3.	Delay in municipality approval
4.	Delay in Issuance Of P.O Transformer </v>
      </c>
    </row>
    <row r="42" spans="1:16" ht="22.15" customHeight="1">
      <c r="A42" s="7">
        <f t="shared" si="1"/>
        <v>39</v>
      </c>
      <c r="B42" s="155" t="s">
        <v>69</v>
      </c>
      <c r="C42" s="20" t="str">
        <f>VLOOKUP(B42,'Detailed Update'!B:C,2,FALSE)</f>
        <v>NEW AL-GHADIR SS#8237 132/33K</v>
      </c>
      <c r="D42" s="13" t="s">
        <v>682</v>
      </c>
      <c r="E42" s="14">
        <v>46043</v>
      </c>
      <c r="F42" s="18">
        <v>0.10680000000000001</v>
      </c>
      <c r="G42" s="18">
        <v>6.8900000000000003E-2</v>
      </c>
      <c r="H42" s="18">
        <f t="shared" si="0"/>
        <v>-3.7900000000000003E-2</v>
      </c>
      <c r="I42" s="7" t="str">
        <f>VLOOKUP(B42,'Detailed Update'!B:I,6,FALSE)</f>
        <v>SEC</v>
      </c>
      <c r="J42" s="7" t="str">
        <f>VLOOKUP(B42,'Detailed Update'!B:I,7,FALSE)</f>
        <v>Central</v>
      </c>
      <c r="K42" s="7" t="str">
        <f>VLOOKUP(B42,'Detailed Update'!B:I,8,FALSE)</f>
        <v>Riyadh</v>
      </c>
      <c r="L42" s="32" t="s">
        <v>53</v>
      </c>
      <c r="M42" s="10">
        <f>VLOOKUP(B42,'Detailed Update'!B:T,11,FALSE)</f>
        <v>46651</v>
      </c>
      <c r="N42" s="10">
        <f>VLOOKUP(B42,'Detailed Update'!B:T,12,FALSE)</f>
        <v>46651</v>
      </c>
      <c r="O42" s="9">
        <f>VLOOKUP(B42,'Detailed Update'!B:T,13,FALSE)</f>
        <v>46681</v>
      </c>
      <c r="P42" s="7" t="str">
        <f>VLOOKUP(B42,'Detailed Update'!B:U,20,FALSE)</f>
        <v>-</v>
      </c>
    </row>
    <row r="43" spans="1:16" ht="22.15" customHeight="1">
      <c r="A43" s="7">
        <f t="shared" si="1"/>
        <v>40</v>
      </c>
      <c r="B43" s="155" t="s">
        <v>70</v>
      </c>
      <c r="C43" s="20" t="str">
        <f>VLOOKUP(B43,'Detailed Update'!B:C,2,FALSE)</f>
        <v>New Al- Wadi 132/13.8Kv  substation #8224 and its Connection in Riyadh City</v>
      </c>
      <c r="D43" s="13" t="s">
        <v>706</v>
      </c>
      <c r="E43" s="14">
        <v>46064</v>
      </c>
      <c r="F43" s="18">
        <v>5.1700000000000003E-2</v>
      </c>
      <c r="G43" s="18">
        <v>5.7099999999999998E-2</v>
      </c>
      <c r="H43" s="18">
        <f t="shared" si="0"/>
        <v>5.3999999999999951E-3</v>
      </c>
      <c r="I43" s="7" t="str">
        <f>VLOOKUP(B43,'Detailed Update'!B:I,6,FALSE)</f>
        <v>SEC-COA</v>
      </c>
      <c r="J43" s="7" t="str">
        <f>VLOOKUP(B43,'Detailed Update'!B:I,7,FALSE)</f>
        <v>Central</v>
      </c>
      <c r="K43" s="7" t="str">
        <f>VLOOKUP(B43,'Detailed Update'!B:I,8,FALSE)</f>
        <v>Riyadh</v>
      </c>
      <c r="L43" s="32" t="s">
        <v>53</v>
      </c>
      <c r="M43" s="10">
        <f>VLOOKUP(B43,'Detailed Update'!B:T,11,FALSE)</f>
        <v>46671</v>
      </c>
      <c r="N43" s="10">
        <f>VLOOKUP(B43,'Detailed Update'!B:T,12,FALSE)</f>
        <v>46671</v>
      </c>
      <c r="O43" s="9">
        <f>VLOOKUP(B43,'Detailed Update'!B:T,13,FALSE)</f>
        <v>46695</v>
      </c>
      <c r="P43" s="7" t="str">
        <f>VLOOKUP(B43,'Detailed Update'!B:U,20,FALSE)</f>
        <v>1- Civil construction and related engineering/design activities suspended due to site cavities discovered after Soil investigation report.
2- Under Ground cables radar scanning &amp; cable route layout submission.</v>
      </c>
    </row>
    <row r="44" spans="1:16" ht="22.15" customHeight="1">
      <c r="A44" s="4"/>
      <c r="B44" s="154"/>
      <c r="C44" s="5" t="s">
        <v>71</v>
      </c>
      <c r="D44" s="15"/>
      <c r="E44" s="15"/>
      <c r="F44" s="15"/>
      <c r="G44" s="15"/>
      <c r="H44" s="15"/>
      <c r="I44" s="4"/>
      <c r="J44" s="4"/>
      <c r="K44" s="4"/>
      <c r="L44" s="31"/>
      <c r="M44" s="6"/>
      <c r="N44" s="6"/>
      <c r="O44" s="12"/>
      <c r="P44" s="4"/>
    </row>
    <row r="45" spans="1:16" ht="22.15" customHeight="1">
      <c r="A45" s="7">
        <f>A43+1</f>
        <v>41</v>
      </c>
      <c r="B45" s="155" t="s">
        <v>141</v>
      </c>
      <c r="C45" s="20" t="str">
        <f>VLOOKUP(B45,'Detailed Update'!B:C,2,FALSE)</f>
        <v>UTHMANIYAH</v>
      </c>
      <c r="D45" s="13" t="s">
        <v>707</v>
      </c>
      <c r="E45" s="14">
        <f>VLOOKUP(B45,'Detailed Update'!B:D,3,FALSE)</f>
        <v>43884</v>
      </c>
      <c r="F45" s="18">
        <f>VLOOKUP(B45,'Detailed Update'!B:T,4,FALSE)</f>
        <v>1</v>
      </c>
      <c r="G45" s="18">
        <f>VLOOKUP(B45,'Detailed Update'!B:T,5,FALSE)</f>
        <v>0.99977499999999997</v>
      </c>
      <c r="H45" s="18">
        <f t="shared" ref="H45:H60" si="2">G45-F45</f>
        <v>-2.2500000000003073E-4</v>
      </c>
      <c r="I45" s="7" t="str">
        <f>VLOOKUP(B45,'Detailed Update'!B:I,6,FALSE)</f>
        <v>Aramco</v>
      </c>
      <c r="J45" s="7" t="str">
        <f>VLOOKUP(B45,'Detailed Update'!B:I,7,FALSE)</f>
        <v>Eastern</v>
      </c>
      <c r="K45" s="7" t="str">
        <f>VLOOKUP(B45,'Detailed Update'!B:I,8,FALSE)</f>
        <v>Dammam</v>
      </c>
      <c r="L45" s="17" t="s">
        <v>26</v>
      </c>
      <c r="M45" s="10">
        <f>VLOOKUP(B45,'Detailed Update'!B:T,11,FALSE)</f>
        <v>45134</v>
      </c>
      <c r="N45" s="10">
        <f>VLOOKUP(B45,'Detailed Update'!B:T,12,FALSE)</f>
        <v>45626</v>
      </c>
      <c r="O45" s="9">
        <f>VLOOKUP(B45,'Detailed Update'!B:T,13,FALSE)</f>
        <v>45550</v>
      </c>
      <c r="P45" s="7" t="str">
        <f>VLOOKUP(B45,'Detailed Update'!B:U,20,FALSE)</f>
        <v xml:space="preserve">All Certificates Recieved 
FAC not Not applicable/MCC </v>
      </c>
    </row>
    <row r="46" spans="1:16" ht="22.15" customHeight="1">
      <c r="A46" s="7">
        <f>A45+1</f>
        <v>42</v>
      </c>
      <c r="B46" s="155" t="s">
        <v>142</v>
      </c>
      <c r="C46" s="20" t="str">
        <f>VLOOKUP(B46,'Detailed Update'!B:C,2,FALSE)</f>
        <v>Ibn zahr Expn.</v>
      </c>
      <c r="D46" s="13" t="s">
        <v>708</v>
      </c>
      <c r="E46" s="14">
        <f>VLOOKUP(B46,'Detailed Update'!B:D,3,FALSE)</f>
        <v>44357</v>
      </c>
      <c r="F46" s="18">
        <f>VLOOKUP(B46,'Detailed Update'!B:T,4,FALSE)</f>
        <v>1</v>
      </c>
      <c r="G46" s="18">
        <f>VLOOKUP(B46,'Detailed Update'!B:T,5,FALSE)</f>
        <v>0.88294000000000006</v>
      </c>
      <c r="H46" s="18">
        <f t="shared" si="2"/>
        <v>-0.11705999999999994</v>
      </c>
      <c r="I46" s="7" t="str">
        <f>VLOOKUP(B46,'Detailed Update'!B:I,6,FALSE)</f>
        <v>SEC</v>
      </c>
      <c r="J46" s="7" t="str">
        <f>VLOOKUP(B46,'Detailed Update'!B:I,7,FALSE)</f>
        <v>Eastern</v>
      </c>
      <c r="K46" s="7" t="str">
        <f>VLOOKUP(B46,'Detailed Update'!B:I,8,FALSE)</f>
        <v>Dammam</v>
      </c>
      <c r="L46" s="17" t="s">
        <v>26</v>
      </c>
      <c r="M46" s="10">
        <f>VLOOKUP(B46,'Detailed Update'!B:T,11,FALSE)</f>
        <v>44814</v>
      </c>
      <c r="N46" s="10">
        <f>VLOOKUP(B46,'Detailed Update'!B:T,12,FALSE)</f>
        <v>45412</v>
      </c>
      <c r="O46" s="9">
        <f>VLOOKUP(B46,'Detailed Update'!B:T,13,FALSE)</f>
        <v>46331</v>
      </c>
      <c r="P46" s="7" t="str">
        <f>VLOOKUP(B46,'Detailed Update'!B:U,20,FALSE)</f>
        <v>-</v>
      </c>
    </row>
    <row r="47" spans="1:16" ht="22.15" customHeight="1">
      <c r="A47" s="7">
        <f t="shared" ref="A47:A62" si="3">A46+1</f>
        <v>43</v>
      </c>
      <c r="B47" s="155" t="s">
        <v>143</v>
      </c>
      <c r="C47" s="20" t="str">
        <f>VLOOKUP(B47,'Detailed Update'!B:C,2,FALSE)</f>
        <v>SWCC | BSP Portion</v>
      </c>
      <c r="D47" s="13" t="s">
        <v>709</v>
      </c>
      <c r="E47" s="14">
        <f>VLOOKUP(B47,'Detailed Update'!B:D,3,FALSE)</f>
        <v>44704</v>
      </c>
      <c r="F47" s="18">
        <f>VLOOKUP(B47,'Detailed Update'!B:T,4,FALSE)</f>
        <v>1.0000000000000002</v>
      </c>
      <c r="G47" s="18">
        <f>VLOOKUP(B47,'Detailed Update'!B:T,5,FALSE)</f>
        <v>0.98172199999999998</v>
      </c>
      <c r="H47" s="18">
        <f t="shared" si="2"/>
        <v>-1.8278000000000239E-2</v>
      </c>
      <c r="I47" s="7" t="str">
        <f>VLOOKUP(B47,'Detailed Update'!B:I,6,FALSE)</f>
        <v>SWCC</v>
      </c>
      <c r="J47" s="7" t="str">
        <f>VLOOKUP(B47,'Detailed Update'!B:I,7,FALSE)</f>
        <v>Eastern</v>
      </c>
      <c r="K47" s="7" t="str">
        <f>VLOOKUP(B47,'Detailed Update'!B:I,8,FALSE)</f>
        <v>Jubail</v>
      </c>
      <c r="L47" s="17" t="s">
        <v>33</v>
      </c>
      <c r="M47" s="10">
        <f>VLOOKUP(B47,'Detailed Update'!B:T,11,FALSE)</f>
        <v>45345</v>
      </c>
      <c r="N47" s="10">
        <f>VLOOKUP(B47,'Detailed Update'!B:T,12,FALSE)</f>
        <v>45345</v>
      </c>
      <c r="O47" s="9">
        <f>VLOOKUP(B47,'Detailed Update'!B:T,13,FALSE)</f>
        <v>46053</v>
      </c>
      <c r="P47" s="7" t="str">
        <f>VLOOKUP(B47,'Detailed Update'!B:U,20,FALSE)</f>
        <v>PAC Partially Recieved 
Waiting for final approval of Time Extension on Etimad For FAC</v>
      </c>
    </row>
    <row r="48" spans="1:16" ht="22.15" customHeight="1">
      <c r="A48" s="7">
        <f t="shared" si="3"/>
        <v>44</v>
      </c>
      <c r="B48" s="155" t="s">
        <v>144</v>
      </c>
      <c r="C48" s="20" t="str">
        <f>VLOOKUP(B48,'Detailed Update'!B:C,2,FALSE)</f>
        <v>SWCC | Solar Package</v>
      </c>
      <c r="D48" s="13" t="s">
        <v>708</v>
      </c>
      <c r="E48" s="14">
        <f>VLOOKUP(B48,'Detailed Update'!B:D,3,FALSE)</f>
        <v>45336</v>
      </c>
      <c r="F48" s="18">
        <f>VLOOKUP(B48,'Detailed Update'!B:T,4,FALSE)</f>
        <v>1.0000000000000002</v>
      </c>
      <c r="G48" s="18">
        <f>VLOOKUP(B48,'Detailed Update'!B:T,5,FALSE)</f>
        <v>0.90700000000000003</v>
      </c>
      <c r="H48" s="18">
        <f t="shared" si="2"/>
        <v>-9.3000000000000194E-2</v>
      </c>
      <c r="I48" s="7" t="str">
        <f>VLOOKUP(B48,'Detailed Update'!B:I,6,FALSE)</f>
        <v>SWCC</v>
      </c>
      <c r="J48" s="7" t="str">
        <f>VLOOKUP(B48,'Detailed Update'!B:I,7,FALSE)</f>
        <v>Eastern</v>
      </c>
      <c r="K48" s="7" t="str">
        <f>VLOOKUP(B48,'Detailed Update'!B:I,8,FALSE)</f>
        <v>Jubail</v>
      </c>
      <c r="L48" s="17" t="s">
        <v>33</v>
      </c>
      <c r="M48" s="10">
        <f>VLOOKUP(B48,'Detailed Update'!B:T,11,FALSE)</f>
        <v>45702</v>
      </c>
      <c r="N48" s="10">
        <f>VLOOKUP(B48,'Detailed Update'!B:T,12,FALSE)</f>
        <v>45702</v>
      </c>
      <c r="O48" s="9">
        <f>VLOOKUP(B48,'Detailed Update'!B:T,13,FALSE)</f>
        <v>46203</v>
      </c>
      <c r="P48" s="7" t="str">
        <f>VLOOKUP(B48,'Detailed Update'!B:U,20,FALSE)</f>
        <v>-</v>
      </c>
    </row>
    <row r="49" spans="1:16" ht="22.15" customHeight="1">
      <c r="A49" s="7">
        <f t="shared" si="3"/>
        <v>45</v>
      </c>
      <c r="B49" s="155" t="s">
        <v>145</v>
      </c>
      <c r="C49" s="20" t="str">
        <f>VLOOKUP(B49,'Detailed Update'!B:C,2,FALSE)</f>
        <v>Thuqbah BSP 380/115KV</v>
      </c>
      <c r="D49" s="13" t="s">
        <v>710</v>
      </c>
      <c r="E49" s="14">
        <f>VLOOKUP(B49,'Detailed Update'!B:D,3,FALSE)</f>
        <v>45218</v>
      </c>
      <c r="F49" s="18">
        <f>VLOOKUP(B49,'Detailed Update'!B:T,4,FALSE)</f>
        <v>0.98825000000000007</v>
      </c>
      <c r="G49" s="18">
        <f>VLOOKUP(B49,'Detailed Update'!B:T,5,FALSE)</f>
        <v>0.96606399999999992</v>
      </c>
      <c r="H49" s="18">
        <f t="shared" si="2"/>
        <v>-2.218600000000015E-2</v>
      </c>
      <c r="I49" s="7" t="str">
        <f>VLOOKUP(B49,'Detailed Update'!B:I,6,FALSE)</f>
        <v>SEC</v>
      </c>
      <c r="J49" s="7" t="str">
        <f>VLOOKUP(B49,'Detailed Update'!B:I,7,FALSE)</f>
        <v>Eastern</v>
      </c>
      <c r="K49" s="7" t="str">
        <f>VLOOKUP(B49,'Detailed Update'!B:I,8,FALSE)</f>
        <v>Thuqbah</v>
      </c>
      <c r="L49" s="17" t="s">
        <v>26</v>
      </c>
      <c r="M49" s="10">
        <f>VLOOKUP(B49,'Detailed Update'!B:T,11,FALSE)</f>
        <v>45766</v>
      </c>
      <c r="N49" s="10">
        <f>VLOOKUP(B49,'Detailed Update'!B:T,12,FALSE)</f>
        <v>46173</v>
      </c>
      <c r="O49" s="9">
        <f>VLOOKUP(B49,'Detailed Update'!B:T,13,FALSE)</f>
        <v>46173</v>
      </c>
      <c r="P49" s="7" t="str">
        <f>VLOOKUP(B49,'Detailed Update'!B:U,20,FALSE)</f>
        <v>-</v>
      </c>
    </row>
    <row r="50" spans="1:16" ht="22.15" customHeight="1">
      <c r="A50" s="7">
        <f t="shared" si="3"/>
        <v>46</v>
      </c>
      <c r="B50" s="155" t="s">
        <v>146</v>
      </c>
      <c r="C50" s="20" t="str">
        <f>VLOOKUP(B50,'Detailed Update'!B:C,2,FALSE)</f>
        <v>Repl. of Berry Gas Plant 230/115KV SS</v>
      </c>
      <c r="D50" s="13" t="s">
        <v>711</v>
      </c>
      <c r="E50" s="14">
        <f>VLOOKUP(B50,'Detailed Update'!B:D,3,FALSE)</f>
        <v>45431</v>
      </c>
      <c r="F50" s="18">
        <f>VLOOKUP(B50,'Detailed Update'!B:T,4,FALSE)</f>
        <v>0.92007822997613209</v>
      </c>
      <c r="G50" s="18">
        <f>VLOOKUP(B50,'Detailed Update'!B:T,5,FALSE)</f>
        <v>0.85511484299051621</v>
      </c>
      <c r="H50" s="18">
        <f t="shared" si="2"/>
        <v>-6.4963386985615879E-2</v>
      </c>
      <c r="I50" s="7" t="str">
        <f>VLOOKUP(B50,'Detailed Update'!B:I,6,FALSE)</f>
        <v>SEC</v>
      </c>
      <c r="J50" s="7" t="str">
        <f>VLOOKUP(B50,'Detailed Update'!B:I,7,FALSE)</f>
        <v>Eastern</v>
      </c>
      <c r="K50" s="7" t="str">
        <f>VLOOKUP(B50,'Detailed Update'!B:I,8,FALSE)</f>
        <v>Jubail</v>
      </c>
      <c r="L50" s="17" t="s">
        <v>33</v>
      </c>
      <c r="M50" s="10">
        <f>VLOOKUP(B50,'Detailed Update'!B:T,11,FALSE)</f>
        <v>46041</v>
      </c>
      <c r="N50" s="10">
        <f>VLOOKUP(B50,'Detailed Update'!B:T,12,FALSE)</f>
        <v>46041</v>
      </c>
      <c r="O50" s="9">
        <f>VLOOKUP(B50,'Detailed Update'!B:T,13,FALSE)</f>
        <v>46305</v>
      </c>
      <c r="P50" s="7" t="str">
        <f>VLOOKUP(B50,'Detailed Update'!B:U,20,FALSE)</f>
        <v>OHTL Portion after 11 months from SS which is shown here</v>
      </c>
    </row>
    <row r="51" spans="1:16" ht="22.15" customHeight="1">
      <c r="A51" s="7">
        <f t="shared" si="3"/>
        <v>47</v>
      </c>
      <c r="B51" s="157" t="s">
        <v>147</v>
      </c>
      <c r="C51" s="20" t="str">
        <f>VLOOKUP(B51,'Detailed Update'!B:C,2,FALSE)</f>
        <v>AL RAMES 380/115 KV BSP</v>
      </c>
      <c r="D51" s="13" t="s">
        <v>712</v>
      </c>
      <c r="E51" s="14">
        <f>VLOOKUP(B51,'Detailed Update'!B:D,3,FALSE)</f>
        <v>45218</v>
      </c>
      <c r="F51" s="18">
        <f>VLOOKUP(B51,'Detailed Update'!B:T,4,FALSE)</f>
        <v>0.99474530716400256</v>
      </c>
      <c r="G51" s="18">
        <f>VLOOKUP(B51,'Detailed Update'!B:T,5,FALSE)</f>
        <v>0.99269133105131191</v>
      </c>
      <c r="H51" s="18">
        <f t="shared" si="2"/>
        <v>-2.0539761126906475E-3</v>
      </c>
      <c r="I51" s="7" t="str">
        <f>VLOOKUP(B51,'Detailed Update'!B:I,6,FALSE)</f>
        <v xml:space="preserve">SEC </v>
      </c>
      <c r="J51" s="7" t="str">
        <f>VLOOKUP(B51,'Detailed Update'!B:I,7,FALSE)</f>
        <v>Eastern</v>
      </c>
      <c r="K51" s="7" t="str">
        <f>VLOOKUP(B51,'Detailed Update'!B:I,8,FALSE)</f>
        <v>Dammam</v>
      </c>
      <c r="L51" s="33" t="s">
        <v>26</v>
      </c>
      <c r="M51" s="10">
        <f>VLOOKUP(B51,'Detailed Update'!B:T,11,FALSE)</f>
        <v>45766</v>
      </c>
      <c r="N51" s="10">
        <f>VLOOKUP(B51,'Detailed Update'!B:T,12,FALSE)</f>
        <v>46356</v>
      </c>
      <c r="O51" s="9">
        <f>VLOOKUP(B51,'Detailed Update'!B:T,13,FALSE)</f>
        <v>46173</v>
      </c>
      <c r="P51" s="13" t="str">
        <f>VLOOKUP(B51,'Detailed Update'!B:U,20,FALSE)</f>
        <v>Expected TCC will be on 13 Dec 26 due to delay of FOC readiness (31 Aug 2026) / Disconnector Switch</v>
      </c>
    </row>
    <row r="52" spans="1:16" ht="22.15" customHeight="1">
      <c r="A52" s="7">
        <f t="shared" si="3"/>
        <v>48</v>
      </c>
      <c r="B52" s="157" t="s">
        <v>148</v>
      </c>
      <c r="C52" s="20" t="str">
        <f>VLOOKUP(B52,'Detailed Update'!B:C,2,FALSE)</f>
        <v>Ghazlan-3 BSP</v>
      </c>
      <c r="D52" s="13" t="s">
        <v>713</v>
      </c>
      <c r="E52" s="14">
        <f>VLOOKUP(B52,'Detailed Update'!B:D,3,FALSE)</f>
        <v>45697</v>
      </c>
      <c r="F52" s="18">
        <v>0.9415</v>
      </c>
      <c r="G52" s="18">
        <v>0.3488</v>
      </c>
      <c r="H52" s="18">
        <f t="shared" si="2"/>
        <v>-0.5927</v>
      </c>
      <c r="I52" s="7" t="str">
        <f>VLOOKUP(B52,'Detailed Update'!B:I,6,FALSE)</f>
        <v xml:space="preserve">SEC </v>
      </c>
      <c r="J52" s="7" t="str">
        <f>VLOOKUP(B52,'Detailed Update'!B:I,7,FALSE)</f>
        <v>Eastern</v>
      </c>
      <c r="K52" s="7" t="str">
        <f>VLOOKUP(B52,'Detailed Update'!B:I,8,FALSE)</f>
        <v>Ghazlan</v>
      </c>
      <c r="L52" s="33" t="s">
        <v>33</v>
      </c>
      <c r="M52" s="10">
        <f>VLOOKUP(B52,'Detailed Update'!B:T,11,FALSE)</f>
        <v>46212</v>
      </c>
      <c r="N52" s="10">
        <f>VLOOKUP(B52,'Detailed Update'!B:T,12,FALSE)</f>
        <v>46212</v>
      </c>
      <c r="O52" s="9">
        <f>VLOOKUP(B52,'Detailed Update'!B:T,13,FALSE)</f>
        <v>46500</v>
      </c>
      <c r="P52" s="13" t="str">
        <f>VLOOKUP(B52,'Detailed Update'!B:U,20,FALSE)</f>
        <v>Planned % is based on orginal baseline however we have a submitted revised schedule showing 80% used for internal reporting</v>
      </c>
    </row>
    <row r="53" spans="1:16" ht="22.15" customHeight="1">
      <c r="A53" s="7">
        <f t="shared" si="3"/>
        <v>49</v>
      </c>
      <c r="B53" s="157" t="s">
        <v>149</v>
      </c>
      <c r="C53" s="20" t="str">
        <f>VLOOKUP(B53,'Detailed Update'!B:C,2,FALSE)</f>
        <v>Nariyah BSP</v>
      </c>
      <c r="D53" s="13" t="s">
        <v>714</v>
      </c>
      <c r="E53" s="14">
        <f>VLOOKUP(B53,'Detailed Update'!B:D,3,FALSE)</f>
        <v>45715</v>
      </c>
      <c r="F53" s="18">
        <f>VLOOKUP(B53,'Detailed Update'!B:T,4,FALSE)</f>
        <v>0.95485600000000004</v>
      </c>
      <c r="G53" s="18">
        <f>VLOOKUP(B53,'Detailed Update'!B:T,5,FALSE)</f>
        <v>0.56828000000000001</v>
      </c>
      <c r="H53" s="18">
        <f t="shared" si="2"/>
        <v>-0.38657600000000003</v>
      </c>
      <c r="I53" s="7" t="str">
        <f>VLOOKUP(B53,'Detailed Update'!B:I,6,FALSE)</f>
        <v xml:space="preserve">SEC </v>
      </c>
      <c r="J53" s="7" t="str">
        <f>VLOOKUP(B53,'Detailed Update'!B:I,7,FALSE)</f>
        <v>Eastern</v>
      </c>
      <c r="K53" s="7" t="str">
        <f>VLOOKUP(B53,'Detailed Update'!B:I,8,FALSE)</f>
        <v>Nariyah</v>
      </c>
      <c r="L53" s="33" t="s">
        <v>53</v>
      </c>
      <c r="M53" s="10">
        <f>VLOOKUP(B53,'Detailed Update'!B:T,11,FALSE)</f>
        <v>46291</v>
      </c>
      <c r="N53" s="10">
        <f>VLOOKUP(B53,'Detailed Update'!B:T,12,FALSE)</f>
        <v>46291</v>
      </c>
      <c r="O53" s="9">
        <f>VLOOKUP(B53,'Detailed Update'!B:T,13,FALSE)</f>
        <v>46544</v>
      </c>
      <c r="P53" s="13" t="str">
        <f>VLOOKUP(B53,'Detailed Update'!B:U,20,FALSE)</f>
        <v>Delayed due to the delivery of GIS equipment Delayed 2times 
1st delay till 25-June-26
2nd Delay till 25-Aug-26</v>
      </c>
    </row>
    <row r="54" spans="1:16" ht="22.15" customHeight="1">
      <c r="A54" s="7">
        <f t="shared" si="3"/>
        <v>50</v>
      </c>
      <c r="B54" s="155" t="s">
        <v>150</v>
      </c>
      <c r="C54" s="20" t="str">
        <f>VLOOKUP(B54,'Detailed Update'!B:C,2,FALSE)</f>
        <v>Construction of King Saud Air Base Facilities</v>
      </c>
      <c r="D54" s="13" t="s">
        <v>710</v>
      </c>
      <c r="E54" s="14">
        <f>VLOOKUP(B54,'Detailed Update'!B:D,3,FALSE)</f>
        <v>45879</v>
      </c>
      <c r="F54" s="18">
        <f>VLOOKUP(B54,'Detailed Update'!B:T,4,FALSE)</f>
        <v>0.1757</v>
      </c>
      <c r="G54" s="18">
        <f>VLOOKUP(B54,'Detailed Update'!B:T,5,FALSE)</f>
        <v>0.12</v>
      </c>
      <c r="H54" s="18">
        <f t="shared" si="2"/>
        <v>-5.57E-2</v>
      </c>
      <c r="I54" s="7" t="str">
        <f>VLOOKUP(B54,'Detailed Update'!B:I,6,FALSE)</f>
        <v>RSAF</v>
      </c>
      <c r="J54" s="7" t="str">
        <f>VLOOKUP(B54,'Detailed Update'!B:I,7,FALSE)</f>
        <v>Eastern</v>
      </c>
      <c r="K54" s="7" t="str">
        <f>VLOOKUP(B54,'Detailed Update'!B:I,8,FALSE)</f>
        <v>Haffr Albatan</v>
      </c>
      <c r="L54" s="33" t="s">
        <v>53</v>
      </c>
      <c r="M54" s="10">
        <f>VLOOKUP(B54,'Detailed Update'!B:T,11,FALSE)</f>
        <v>46609</v>
      </c>
      <c r="N54" s="10">
        <f>VLOOKUP(B54,'Detailed Update'!B:T,12,FALSE)</f>
        <v>46609</v>
      </c>
      <c r="O54" s="9">
        <f>VLOOKUP(B54,'Detailed Update'!B:T,13,FALSE)</f>
        <v>46657</v>
      </c>
      <c r="P54" s="13" t="str">
        <f>VLOOKUP(B54,'Detailed Update'!B:U,20,FALSE)</f>
        <v>Only Scope Alfanar / There is no FAC only based on the 40 Months Completion</v>
      </c>
    </row>
    <row r="55" spans="1:16" ht="22.15" customHeight="1">
      <c r="A55" s="7">
        <f t="shared" si="3"/>
        <v>51</v>
      </c>
      <c r="B55" s="155" t="s">
        <v>151</v>
      </c>
      <c r="C55" s="20" t="str">
        <f>VLOOKUP(B55,'Detailed Update'!B:C,2,FALSE)</f>
        <v>230/115kV SS | JUBAIL SW REPLACEMENT</v>
      </c>
      <c r="D55" s="13" t="s">
        <v>707</v>
      </c>
      <c r="E55" s="14">
        <f>VLOOKUP(B55,'Detailed Update'!B:D,3,FALSE)</f>
        <v>45900</v>
      </c>
      <c r="F55" s="18">
        <f>VLOOKUP(B55,'Detailed Update'!B:T,4,FALSE)</f>
        <v>0.19689999999999999</v>
      </c>
      <c r="G55" s="18">
        <f>VLOOKUP(B55,'Detailed Update'!B:T,5,FALSE)</f>
        <v>0.126</v>
      </c>
      <c r="H55" s="18">
        <f t="shared" si="2"/>
        <v>-7.0899999999999991E-2</v>
      </c>
      <c r="I55" s="7" t="str">
        <f>VLOOKUP(B55,'Detailed Update'!B:I,6,FALSE)</f>
        <v xml:space="preserve">SEC </v>
      </c>
      <c r="J55" s="7" t="str">
        <f>VLOOKUP(B55,'Detailed Update'!B:I,7,FALSE)</f>
        <v>Eastern</v>
      </c>
      <c r="K55" s="7" t="str">
        <f>VLOOKUP(B55,'Detailed Update'!B:I,8,FALSE)</f>
        <v>Jubail</v>
      </c>
      <c r="L55" s="37" t="s">
        <v>53</v>
      </c>
      <c r="M55" s="10">
        <f>VLOOKUP(B55,'Detailed Update'!B:T,11,FALSE)</f>
        <v>46630</v>
      </c>
      <c r="N55" s="10">
        <f>VLOOKUP(B55,'Detailed Update'!B:T,12,FALSE)</f>
        <v>46630</v>
      </c>
      <c r="O55" s="9">
        <f>VLOOKUP(B55,'Detailed Update'!B:T,13,FALSE)</f>
        <v>46870</v>
      </c>
      <c r="P55" s="13" t="str">
        <f>VLOOKUP(B55,'Detailed Update'!B:U,20,FALSE)</f>
        <v>Delayed due to site accessibility issues and Water leakage incident</v>
      </c>
    </row>
    <row r="56" spans="1:16" ht="22.15" customHeight="1">
      <c r="A56" s="7">
        <f t="shared" si="3"/>
        <v>52</v>
      </c>
      <c r="B56" s="156" t="s">
        <v>122</v>
      </c>
      <c r="C56" s="20" t="str">
        <f>VLOOKUP(B56,'Detailed Update'!B:C,2,FALSE)</f>
        <v>EPC OF PRIMARY ELECTRICAL SUSBSTATION #3</v>
      </c>
      <c r="D56" s="13" t="s">
        <v>715</v>
      </c>
      <c r="E56" s="14">
        <f>VLOOKUP(B56,'Detailed Update'!B:D,3,FALSE)</f>
        <v>43884</v>
      </c>
      <c r="F56" s="18">
        <f>VLOOKUP(B56,'Detailed Update'!B:T,4,FALSE)</f>
        <v>1</v>
      </c>
      <c r="G56" s="18">
        <f>VLOOKUP(B56,'Detailed Update'!B:T,5,FALSE)</f>
        <v>1</v>
      </c>
      <c r="H56" s="18">
        <f t="shared" si="2"/>
        <v>0</v>
      </c>
      <c r="I56" s="7" t="str">
        <f>VLOOKUP(B56,'Detailed Update'!B:I,6,FALSE)</f>
        <v>RC</v>
      </c>
      <c r="J56" s="7" t="str">
        <f>VLOOKUP(B56,'Detailed Update'!B:I,7,FALSE)</f>
        <v>Eastern</v>
      </c>
      <c r="K56" s="7" t="str">
        <f>VLOOKUP(B56,'Detailed Update'!B:I,8,FALSE)</f>
        <v>Ras Al Khair</v>
      </c>
      <c r="L56" s="150" t="s">
        <v>26</v>
      </c>
      <c r="M56" s="10">
        <f>VLOOKUP(B56,'Detailed Update'!B:T,11,FALSE)</f>
        <v>44560</v>
      </c>
      <c r="N56" s="10">
        <f>VLOOKUP(B56,'Detailed Update'!B:T,12,FALSE)</f>
        <v>44560</v>
      </c>
      <c r="O56" s="9">
        <f>VLOOKUP(B56,'Detailed Update'!B:T,13,FALSE)</f>
        <v>44552</v>
      </c>
      <c r="P56" s="13" t="str">
        <f>VLOOKUP(B56,'Detailed Update'!B:U,20,FALSE)</f>
        <v xml:space="preserve">All Certificates Recieved </v>
      </c>
    </row>
    <row r="57" spans="1:16" ht="22.15" customHeight="1">
      <c r="A57" s="7">
        <f t="shared" si="3"/>
        <v>53</v>
      </c>
      <c r="B57" s="155" t="s">
        <v>124</v>
      </c>
      <c r="C57" s="20" t="str">
        <f>VLOOKUP(B57,'Detailed Update'!B:C,2,FALSE)</f>
        <v>SPARK 380/115/13.8KV BSP</v>
      </c>
      <c r="D57" s="13" t="s">
        <v>716</v>
      </c>
      <c r="E57" s="14">
        <f>VLOOKUP(B57,'Detailed Update'!B:D,3,FALSE)</f>
        <v>43435</v>
      </c>
      <c r="F57" s="18">
        <f>VLOOKUP(B57,'Detailed Update'!B:T,4,FALSE)</f>
        <v>1</v>
      </c>
      <c r="G57" s="18">
        <f>VLOOKUP(B57,'Detailed Update'!B:T,5,FALSE)</f>
        <v>1</v>
      </c>
      <c r="H57" s="18">
        <f t="shared" si="2"/>
        <v>0</v>
      </c>
      <c r="I57" s="7" t="str">
        <f>VLOOKUP(B57,'Detailed Update'!B:I,6,FALSE)</f>
        <v xml:space="preserve">SEC </v>
      </c>
      <c r="J57" s="7" t="str">
        <f>VLOOKUP(B57,'Detailed Update'!B:I,7,FALSE)</f>
        <v>Eastern</v>
      </c>
      <c r="K57" s="7" t="str">
        <f>VLOOKUP(B57,'Detailed Update'!B:I,8,FALSE)</f>
        <v>Abqaiq</v>
      </c>
      <c r="L57" s="150" t="s">
        <v>26</v>
      </c>
      <c r="M57" s="10">
        <f>VLOOKUP(B57,'Detailed Update'!B:T,11,FALSE)</f>
        <v>44104</v>
      </c>
      <c r="N57" s="10">
        <f>VLOOKUP(B57,'Detailed Update'!B:T,12,FALSE)</f>
        <v>44104</v>
      </c>
      <c r="O57" s="9">
        <f>VLOOKUP(B57,'Detailed Update'!B:T,13,FALSE)</f>
        <v>44316</v>
      </c>
      <c r="P57" s="13" t="str">
        <f>VLOOKUP(B57,'Detailed Update'!B:U,20,FALSE)</f>
        <v xml:space="preserve">All Certificates Recieved </v>
      </c>
    </row>
    <row r="58" spans="1:16" ht="22.15" customHeight="1">
      <c r="A58" s="7">
        <f t="shared" si="3"/>
        <v>54</v>
      </c>
      <c r="B58" s="155" t="s">
        <v>130</v>
      </c>
      <c r="C58" s="20" t="str">
        <f>VLOOKUP(B58,'Detailed Update'!B:C,2,FALSE)</f>
        <v>Construction Of Hawayah 380 KV S/S</v>
      </c>
      <c r="D58" s="13" t="s">
        <v>711</v>
      </c>
      <c r="E58" s="14">
        <f>VLOOKUP(B58,'Detailed Update'!B:D,3,FALSE)</f>
        <v>43853</v>
      </c>
      <c r="F58" s="18">
        <f>VLOOKUP(B58,'Detailed Update'!B:T,4,FALSE)</f>
        <v>1</v>
      </c>
      <c r="G58" s="18">
        <f>VLOOKUP(B58,'Detailed Update'!B:T,5,FALSE)</f>
        <v>1</v>
      </c>
      <c r="H58" s="18">
        <f t="shared" si="2"/>
        <v>0</v>
      </c>
      <c r="I58" s="7" t="str">
        <f>VLOOKUP(B58,'Detailed Update'!B:I,6,FALSE)</f>
        <v xml:space="preserve">SEC </v>
      </c>
      <c r="J58" s="7" t="str">
        <f>VLOOKUP(B58,'Detailed Update'!B:I,7,FALSE)</f>
        <v>Eastern</v>
      </c>
      <c r="K58" s="7" t="str">
        <f>VLOOKUP(B58,'Detailed Update'!B:I,8,FALSE)</f>
        <v>Huwyha</v>
      </c>
      <c r="L58" s="150" t="s">
        <v>53</v>
      </c>
      <c r="M58" s="10" t="str">
        <f>VLOOKUP(B58,'Detailed Update'!B:T,11,FALSE)</f>
        <v>HUW : 30-Jul-22
UQA : 30-Apr-23</v>
      </c>
      <c r="N58" s="10" t="str">
        <f>VLOOKUP(B58,'Detailed Update'!B:T,12,FALSE)</f>
        <v>HUW : 30-Jul-22
UQA : 30-Apr-23</v>
      </c>
      <c r="O58" s="9" t="str">
        <f>VLOOKUP(B58,'Detailed Update'!B:T,13,FALSE)</f>
        <v>HUW : 30-Sep-22
UQA :30-Aug-26</v>
      </c>
      <c r="P58" s="13" t="str">
        <f>VLOOKUP(B58,'Detailed Update'!B:U,20,FALSE)</f>
        <v>P1: All Certificates Recieved 
P2: No Certificates Recieved</v>
      </c>
    </row>
    <row r="59" spans="1:16" ht="22.15" customHeight="1">
      <c r="A59" s="7">
        <f t="shared" si="3"/>
        <v>55</v>
      </c>
      <c r="B59" s="155" t="s">
        <v>136</v>
      </c>
      <c r="C59" s="20" t="str">
        <f>VLOOKUP(B59,'Detailed Update'!B:C,2,FALSE)</f>
        <v>Construction of Temporary Rail Line (CO project of PE-181)</v>
      </c>
      <c r="D59" s="13" t="s">
        <v>715</v>
      </c>
      <c r="E59" s="14">
        <f>VLOOKUP(B59,'Detailed Update'!B:D,3,FALSE)</f>
        <v>0</v>
      </c>
      <c r="F59" s="18">
        <f>VLOOKUP(B59,'Detailed Update'!B:T,4,FALSE)</f>
        <v>1</v>
      </c>
      <c r="G59" s="18">
        <f>VLOOKUP(B59,'Detailed Update'!B:T,5,FALSE)</f>
        <v>1</v>
      </c>
      <c r="H59" s="18">
        <f t="shared" si="2"/>
        <v>0</v>
      </c>
      <c r="I59" s="7" t="str">
        <f>VLOOKUP(B59,'Detailed Update'!B:I,6,FALSE)</f>
        <v>RC</v>
      </c>
      <c r="J59" s="7" t="str">
        <f>VLOOKUP(B59,'Detailed Update'!B:I,7,FALSE)</f>
        <v>Eastern</v>
      </c>
      <c r="K59" s="7" t="str">
        <f>VLOOKUP(B59,'Detailed Update'!B:I,8,FALSE)</f>
        <v>Ras Al Khair</v>
      </c>
      <c r="L59" s="150" t="s">
        <v>26</v>
      </c>
      <c r="M59" s="10" t="str">
        <f>VLOOKUP(B59,'Detailed Update'!B:T,11,FALSE)</f>
        <v>NA</v>
      </c>
      <c r="N59" s="10" t="str">
        <f>VLOOKUP(B59,'Detailed Update'!B:T,12,FALSE)</f>
        <v>NA</v>
      </c>
      <c r="O59" s="9" t="str">
        <f>VLOOKUP(B59,'Detailed Update'!B:T,13,FALSE)</f>
        <v>NA</v>
      </c>
      <c r="P59" s="13" t="str">
        <f>VLOOKUP(B59,'Detailed Update'!B:U,20,FALSE)</f>
        <v xml:space="preserve">All Certificates Recieved </v>
      </c>
    </row>
    <row r="60" spans="1:16" ht="22.15" customHeight="1">
      <c r="A60" s="7">
        <f t="shared" si="3"/>
        <v>56</v>
      </c>
      <c r="B60" s="155" t="s">
        <v>138</v>
      </c>
      <c r="C60" s="20" t="str">
        <f>VLOOKUP(B60,'Detailed Update'!B:C,2,FALSE)</f>
        <v>JSWCC|OHTL Package</v>
      </c>
      <c r="D60" s="13" t="s">
        <v>711</v>
      </c>
      <c r="E60" s="14">
        <f>VLOOKUP(B60,'Detailed Update'!B:D,3,FALSE)</f>
        <v>44704</v>
      </c>
      <c r="F60" s="18">
        <f>VLOOKUP(B60,'Detailed Update'!B:T,4,FALSE)</f>
        <v>1</v>
      </c>
      <c r="G60" s="18">
        <f>VLOOKUP(B60,'Detailed Update'!B:T,5,FALSE)</f>
        <v>1</v>
      </c>
      <c r="H60" s="18">
        <f t="shared" si="2"/>
        <v>0</v>
      </c>
      <c r="I60" s="7" t="str">
        <f>VLOOKUP(B60,'Detailed Update'!B:I,6,FALSE)</f>
        <v>SWCC</v>
      </c>
      <c r="J60" s="7" t="str">
        <f>VLOOKUP(B60,'Detailed Update'!B:I,7,FALSE)</f>
        <v>Eastern</v>
      </c>
      <c r="K60" s="7" t="str">
        <f>VLOOKUP(B60,'Detailed Update'!B:I,8,FALSE)</f>
        <v>Jubail</v>
      </c>
      <c r="L60" s="150" t="s">
        <v>33</v>
      </c>
      <c r="M60" s="10">
        <f>VLOOKUP(B60,'Detailed Update'!B:T,11,FALSE)</f>
        <v>45345</v>
      </c>
      <c r="N60" s="10">
        <f>VLOOKUP(B60,'Detailed Update'!B:T,12,FALSE)</f>
        <v>45345</v>
      </c>
      <c r="O60" s="9">
        <f>VLOOKUP(B60,'Detailed Update'!B:T,13,FALSE)</f>
        <v>46053</v>
      </c>
      <c r="P60" s="13" t="str">
        <f>VLOOKUP(B60,'Detailed Update'!B:U,20,FALSE)</f>
        <v>PAC Partially Recieved 
Waiting for final approval of Time Extension on Etimad For FAC
Pending on PE-238</v>
      </c>
    </row>
    <row r="61" spans="1:16" ht="22.15" customHeight="1">
      <c r="A61" s="7">
        <f t="shared" si="3"/>
        <v>57</v>
      </c>
      <c r="B61" s="156" t="s">
        <v>152</v>
      </c>
      <c r="C61" s="20" t="str">
        <f>VLOOKUP(B61,'Detailed Update'!B:C,2,FALSE)</f>
        <v xml:space="preserve">Qulayyib 380 kV BSP </v>
      </c>
      <c r="D61" s="13" t="s">
        <v>700</v>
      </c>
      <c r="E61" s="14">
        <f>VLOOKUP(B61,'Detailed Update'!B:D,3,FALSE)</f>
        <v>46113</v>
      </c>
      <c r="F61" s="18">
        <f>VLOOKUP(B61,'Detailed Update'!B:T,4,FALSE)</f>
        <v>6.7430000000000004E-2</v>
      </c>
      <c r="G61" s="18">
        <f>VLOOKUP(B61,'Detailed Update'!B:T,5,FALSE)</f>
        <v>3.9980000000000002E-2</v>
      </c>
      <c r="H61" s="18">
        <f t="shared" ref="H61" si="4">G61-F61</f>
        <v>-2.7450000000000002E-2</v>
      </c>
      <c r="I61" s="7" t="str">
        <f>VLOOKUP(B61,'Detailed Update'!B:I,6,FALSE)</f>
        <v xml:space="preserve">MGC-Mutlaq Al Gowairi Company </v>
      </c>
      <c r="J61" s="7" t="str">
        <f>VLOOKUP(B61,'Detailed Update'!B:I,7,FALSE)</f>
        <v>Eastern</v>
      </c>
      <c r="K61" s="7" t="str">
        <f>VLOOKUP(B61,'Detailed Update'!B:I,8,FALSE)</f>
        <v>Qulayyib Area</v>
      </c>
      <c r="L61" s="151" t="s">
        <v>53</v>
      </c>
      <c r="M61" s="10">
        <f>VLOOKUP(B61,'Detailed Update'!B:T,11,FALSE)</f>
        <v>46905</v>
      </c>
      <c r="N61" s="10">
        <f>VLOOKUP(B61,'Detailed Update'!B:T,12,FALSE)</f>
        <v>46905</v>
      </c>
      <c r="O61" s="9">
        <f>VLOOKUP(B61,'Detailed Update'!B:T,13,FALSE)</f>
        <v>46943</v>
      </c>
      <c r="P61" s="13" t="str">
        <f>VLOOKUP(B61,'Detailed Update'!B:U,20,FALSE)</f>
        <v>-</v>
      </c>
    </row>
    <row r="62" spans="1:16" ht="22.15" customHeight="1">
      <c r="A62" s="7">
        <f t="shared" si="3"/>
        <v>58</v>
      </c>
      <c r="B62" s="354" t="s">
        <v>153</v>
      </c>
      <c r="C62" s="20" t="str">
        <f>VLOOKUP(B62,'Detailed Update'!B:C,2,FALSE)</f>
        <v>Construction of NEW VSC HVDC Overhead Transmission Line for EOA-COA Link 1</v>
      </c>
      <c r="D62" s="13" t="s">
        <v>711</v>
      </c>
      <c r="E62" s="14">
        <f>VLOOKUP(B62,'Detailed Update'!B:D,3,FALSE)</f>
        <v>46146</v>
      </c>
      <c r="F62" s="18">
        <f>VLOOKUP(B62,'Detailed Update'!B:T,4,FALSE)</f>
        <v>2.9387000000000003E-2</v>
      </c>
      <c r="G62" s="18">
        <f>VLOOKUP(B62,'Detailed Update'!B:T,5,FALSE)</f>
        <v>1.8270000000000002E-2</v>
      </c>
      <c r="H62" s="18">
        <f t="shared" ref="H62" si="5">G62-F62</f>
        <v>-1.1117000000000002E-2</v>
      </c>
      <c r="I62" s="7" t="str">
        <f>VLOOKUP(B62,'Detailed Update'!B:I,6,FALSE)</f>
        <v>SEC</v>
      </c>
      <c r="J62" s="7" t="str">
        <f>VLOOKUP(B62,'Detailed Update'!B:I,7,FALSE)</f>
        <v>Eastern</v>
      </c>
      <c r="K62" s="7" t="str">
        <f>VLOOKUP(B62,'Detailed Update'!B:I,8,FALSE)</f>
        <v>Nariyah</v>
      </c>
      <c r="L62" s="355" t="s">
        <v>53</v>
      </c>
      <c r="M62" s="10">
        <f>VLOOKUP(B62,'Detailed Update'!B:T,11,FALSE)</f>
        <v>47061</v>
      </c>
      <c r="N62" s="10">
        <f>VLOOKUP(B62,'Detailed Update'!B:T,12,FALSE)</f>
        <v>47061</v>
      </c>
      <c r="O62" s="9">
        <f>VLOOKUP(B62,'Detailed Update'!B:T,13,FALSE)</f>
        <v>47079</v>
      </c>
      <c r="P62" s="13" t="s">
        <v>154</v>
      </c>
    </row>
    <row r="63" spans="1:16" ht="22.15" customHeight="1">
      <c r="A63" s="4"/>
      <c r="B63" s="154"/>
      <c r="C63" s="5" t="s">
        <v>155</v>
      </c>
      <c r="D63" s="15"/>
      <c r="E63" s="15"/>
      <c r="F63" s="15"/>
      <c r="G63" s="15"/>
      <c r="H63" s="15"/>
      <c r="I63" s="4"/>
      <c r="J63" s="4"/>
      <c r="K63" s="4"/>
      <c r="L63" s="31"/>
      <c r="M63" s="6"/>
      <c r="N63" s="6"/>
      <c r="O63" s="12"/>
      <c r="P63" s="4"/>
    </row>
    <row r="64" spans="1:16" ht="22.15" customHeight="1">
      <c r="A64" s="7">
        <f>A62+1</f>
        <v>59</v>
      </c>
      <c r="B64" s="155" t="s">
        <v>156</v>
      </c>
      <c r="C64" s="20" t="str">
        <f>VLOOKUP(B64,'Detailed Update'!B:C,2,FALSE)</f>
        <v>Installation of Dynamic Reactive Power Compensation(DRPC) at Tabuk 380KV BSP</v>
      </c>
      <c r="D64" s="13" t="s">
        <v>717</v>
      </c>
      <c r="E64" s="14">
        <f>VLOOKUP(B64,'Detailed Update'!B:D,3,FALSE)</f>
        <v>44700</v>
      </c>
      <c r="F64" s="18">
        <f>VLOOKUP(B64,'Detailed Update'!B:T,4,FALSE)</f>
        <v>1</v>
      </c>
      <c r="G64" s="18">
        <f>VLOOKUP(B64,'Detailed Update'!B:T,5,FALSE)</f>
        <v>1</v>
      </c>
      <c r="H64" s="18">
        <f t="shared" ref="H64:H110" si="6">G64-F64</f>
        <v>0</v>
      </c>
      <c r="I64" s="7" t="str">
        <f>VLOOKUP(B64,'Detailed Update'!B:I,6,FALSE)</f>
        <v xml:space="preserve">SEC </v>
      </c>
      <c r="J64" s="7" t="str">
        <f>VLOOKUP(B64,'Detailed Update'!B:I,7,FALSE)</f>
        <v>Western</v>
      </c>
      <c r="K64" s="7" t="str">
        <f>VLOOKUP(B64,'Detailed Update'!B:I,8,FALSE)</f>
        <v>Tabuk</v>
      </c>
      <c r="L64" s="17" t="s">
        <v>53</v>
      </c>
      <c r="M64" s="10">
        <f>VLOOKUP(B64,'Detailed Update'!B:T,11,FALSE)</f>
        <v>45492</v>
      </c>
      <c r="N64" s="10">
        <f>VLOOKUP(B64,'Detailed Update'!B:T,12,FALSE)</f>
        <v>45777</v>
      </c>
      <c r="O64" s="9">
        <f>VLOOKUP(B64,'Detailed Update'!B:T,13,FALSE)</f>
        <v>45777</v>
      </c>
      <c r="P64" s="182" t="str">
        <f>VLOOKUP(B64,'Detailed Update'!B:U,20,FALSE)</f>
        <v>Energization done without TSC Panel, TCC received. Partial PAC (21-Jan-2026) also received; 
Balance PAC &amp; FAC upon delivery of remaining TSC Panel;
Alfanar requested for FAC invoice and under discussion with SEC.</v>
      </c>
    </row>
    <row r="65" spans="1:16" ht="22.15" customHeight="1">
      <c r="A65" s="7">
        <f>A64+1</f>
        <v>60</v>
      </c>
      <c r="B65" s="155" t="s">
        <v>157</v>
      </c>
      <c r="C65" s="20" t="str">
        <f>VLOOKUP(B65,'Detailed Update'!B:C,2,FALSE)</f>
        <v xml:space="preserve">Expansion of Existing Yanbu Central (YCNT) </v>
      </c>
      <c r="D65" s="13" t="s">
        <v>718</v>
      </c>
      <c r="E65" s="14">
        <f>VLOOKUP(B65,'Detailed Update'!B:D,3,FALSE)</f>
        <v>44598</v>
      </c>
      <c r="F65" s="18">
        <f>VLOOKUP(B65,'Detailed Update'!B:T,4,FALSE)</f>
        <v>1</v>
      </c>
      <c r="G65" s="18">
        <f>VLOOKUP(B65,'Detailed Update'!B:T,5,FALSE)</f>
        <v>0.98899999999999999</v>
      </c>
      <c r="H65" s="18">
        <f t="shared" si="6"/>
        <v>-1.100000000000001E-2</v>
      </c>
      <c r="I65" s="7" t="str">
        <f>VLOOKUP(B65,'Detailed Update'!B:I,6,FALSE)</f>
        <v xml:space="preserve">SEC </v>
      </c>
      <c r="J65" s="7" t="str">
        <f>VLOOKUP(B65,'Detailed Update'!B:I,7,FALSE)</f>
        <v>Western</v>
      </c>
      <c r="K65" s="7" t="str">
        <f>VLOOKUP(B65,'Detailed Update'!B:I,8,FALSE)</f>
        <v>Yanbu,Umluj&amp; Alwajh</v>
      </c>
      <c r="L65" s="17" t="s">
        <v>53</v>
      </c>
      <c r="M65" s="10">
        <f>VLOOKUP(B65,'Detailed Update'!B:T,11,FALSE)</f>
        <v>45297</v>
      </c>
      <c r="N65" s="10">
        <f>VLOOKUP(B65,'Detailed Update'!B:T,12,FALSE)</f>
        <v>45565</v>
      </c>
      <c r="O65" s="9">
        <f>VLOOKUP(B65,'Detailed Update'!B:T,13,FALSE)</f>
        <v>45565</v>
      </c>
      <c r="P65" s="182" t="str">
        <f>VLOOKUP(B65,'Detailed Update'!B:U,20,FALSE)</f>
        <v>PAC received, not yet energized due to SE shutdown issues for all the area</v>
      </c>
    </row>
    <row r="66" spans="1:16" ht="22.15" customHeight="1">
      <c r="A66" s="7">
        <f t="shared" ref="A66:A111" si="7">A65+1</f>
        <v>61</v>
      </c>
      <c r="B66" s="155" t="s">
        <v>158</v>
      </c>
      <c r="C66" s="20" t="str">
        <f>VLOOKUP(B66,'Detailed Update'!B:C,2,FALSE)</f>
        <v>Expansions of Existing MHD 380 KV BSP</v>
      </c>
      <c r="D66" s="13" t="s">
        <v>691</v>
      </c>
      <c r="E66" s="14">
        <f>VLOOKUP(B66,'Detailed Update'!B:D,3,FALSE)</f>
        <v>44868</v>
      </c>
      <c r="F66" s="18">
        <f>VLOOKUP(B66,'Detailed Update'!B:T,4,FALSE)</f>
        <v>1</v>
      </c>
      <c r="G66" s="18">
        <f>VLOOKUP(B66,'Detailed Update'!B:T,5,FALSE)</f>
        <v>0.99890000000000001</v>
      </c>
      <c r="H66" s="18">
        <f t="shared" si="6"/>
        <v>-1.0999999999999899E-3</v>
      </c>
      <c r="I66" s="7" t="str">
        <f>VLOOKUP(B66,'Detailed Update'!B:I,6,FALSE)</f>
        <v xml:space="preserve">SEC </v>
      </c>
      <c r="J66" s="7" t="str">
        <f>VLOOKUP(B66,'Detailed Update'!B:I,7,FALSE)</f>
        <v>Western</v>
      </c>
      <c r="K66" s="7" t="str">
        <f>VLOOKUP(B66,'Detailed Update'!B:I,8,FALSE)</f>
        <v>Madinah</v>
      </c>
      <c r="L66" s="17" t="s">
        <v>53</v>
      </c>
      <c r="M66" s="10">
        <f>VLOOKUP(B66,'Detailed Update'!B:T,11,FALSE)</f>
        <v>45415</v>
      </c>
      <c r="N66" s="10">
        <f>VLOOKUP(B66,'Detailed Update'!B:T,12,FALSE)</f>
        <v>45960</v>
      </c>
      <c r="O66" s="9">
        <f>VLOOKUP(B66,'Detailed Update'!B:T,13,FALSE)</f>
        <v>46021</v>
      </c>
      <c r="P66" s="182" t="str">
        <f>VLOOKUP(B66,'Detailed Update'!B:U,20,FALSE)</f>
        <v>As-built drawings under SEC review &amp; approval. FAC certification waiting from SE; Request for issuance of FAC / Commitment for Completion of Outstanding Work was submitted on 20-Jul-26.</v>
      </c>
    </row>
    <row r="67" spans="1:16" ht="22.15" customHeight="1">
      <c r="A67" s="7">
        <f t="shared" si="7"/>
        <v>62</v>
      </c>
      <c r="B67" s="155" t="s">
        <v>159</v>
      </c>
      <c r="C67" s="20" t="str">
        <f>VLOOKUP(B67,'Detailed Update'!B:C,2,FALSE)</f>
        <v>Taif East Governorate Project</v>
      </c>
      <c r="D67" s="13" t="s">
        <v>719</v>
      </c>
      <c r="E67" s="14">
        <f>VLOOKUP(B67,'Detailed Update'!B:D,3,FALSE)</f>
        <v>44882</v>
      </c>
      <c r="F67" s="18">
        <f>VLOOKUP(B67,'Detailed Update'!B:T,4,FALSE)</f>
        <v>1</v>
      </c>
      <c r="G67" s="18">
        <f>VLOOKUP(B67,'Detailed Update'!B:T,5,FALSE)</f>
        <v>0.9</v>
      </c>
      <c r="H67" s="18">
        <f t="shared" si="6"/>
        <v>-9.9999999999999978E-2</v>
      </c>
      <c r="I67" s="7" t="str">
        <f>VLOOKUP(B67,'Detailed Update'!B:I,6,FALSE)</f>
        <v xml:space="preserve">SEC </v>
      </c>
      <c r="J67" s="7" t="str">
        <f>VLOOKUP(B67,'Detailed Update'!B:I,7,FALSE)</f>
        <v>Western</v>
      </c>
      <c r="K67" s="7" t="str">
        <f>VLOOKUP(B67,'Detailed Update'!B:I,8,FALSE)</f>
        <v>Taif</v>
      </c>
      <c r="L67" s="17" t="s">
        <v>53</v>
      </c>
      <c r="M67" s="10">
        <f>VLOOKUP(B67,'Detailed Update'!B:T,11,FALSE)</f>
        <v>45399</v>
      </c>
      <c r="N67" s="10">
        <f>VLOOKUP(B67,'Detailed Update'!B:T,12,FALSE)</f>
        <v>45643</v>
      </c>
      <c r="O67" s="9">
        <f>VLOOKUP(B67,'Detailed Update'!B:T,13,FALSE)</f>
        <v>46295</v>
      </c>
      <c r="P67" s="182" t="str">
        <f>VLOOKUP(B67,'Detailed Update'!B:U,20,FALSE)</f>
        <v>1. EOT-1 Approved upto 14-Dec-24, EOT-2 submitted on 12th Aug 25, TCC upto 17th Jun 26. (Under SEC Approval). EOT to be resubmitted. 
2. SAS testing pending due to EWS V.O finalization and delivery (V.O)
3. OHTL Line readiness pending from SE, no clarity on readiness</v>
      </c>
    </row>
    <row r="68" spans="1:16" ht="22.15" customHeight="1">
      <c r="A68" s="7">
        <f t="shared" si="7"/>
        <v>63</v>
      </c>
      <c r="B68" s="155" t="s">
        <v>160</v>
      </c>
      <c r="C68" s="20" t="str">
        <f>VLOOKUP(B68,'Detailed Update'!B:C,2,FALSE)</f>
        <v>110/13.8KV  HARAZAT SUB JEDDAH</v>
      </c>
      <c r="D68" s="13" t="s">
        <v>720</v>
      </c>
      <c r="E68" s="14">
        <f>VLOOKUP(B68,'Detailed Update'!B:D,3,FALSE)</f>
        <v>45120</v>
      </c>
      <c r="F68" s="18">
        <f>VLOOKUP(B68,'Detailed Update'!B:T,4,FALSE)</f>
        <v>1</v>
      </c>
      <c r="G68" s="18">
        <f>VLOOKUP(B68,'Detailed Update'!B:T,5,FALSE)</f>
        <v>0.98409999999999997</v>
      </c>
      <c r="H68" s="18">
        <f t="shared" si="6"/>
        <v>-1.5900000000000025E-2</v>
      </c>
      <c r="I68" s="7" t="str">
        <f>VLOOKUP(B68,'Detailed Update'!B:I,6,FALSE)</f>
        <v>SEC</v>
      </c>
      <c r="J68" s="7" t="str">
        <f>VLOOKUP(B68,'Detailed Update'!B:I,7,FALSE)</f>
        <v>Western</v>
      </c>
      <c r="K68" s="7" t="str">
        <f>VLOOKUP(B68,'Detailed Update'!B:I,8,FALSE)</f>
        <v>Jeddah</v>
      </c>
      <c r="L68" s="17" t="s">
        <v>53</v>
      </c>
      <c r="M68" s="10">
        <f>VLOOKUP(B68,'Detailed Update'!B:T,11,FALSE)</f>
        <v>45609</v>
      </c>
      <c r="N68" s="10">
        <f>VLOOKUP(B68,'Detailed Update'!B:T,12,FALSE)</f>
        <v>45729</v>
      </c>
      <c r="O68" s="9">
        <f>VLOOKUP(B68,'Detailed Update'!B:T,13,FALSE)</f>
        <v>45867</v>
      </c>
      <c r="P68" s="183" t="str">
        <f>VLOOKUP(B68,'Detailed Update'!B:U,20,FALSE)</f>
        <v>Remote End Works:
1.  Installation of Telecom Panels completed, testing will be done, once line readiness from client.
 (Dependent on Line Readiness from Client)
2. Final Settings of Line Protection Panels. (Dependent on Line Readiness from Client)
Punchlist &amp; As built works are in progress, completion date 30-Sep-26.
 Punchlist:Total 309 nos, 295 Completed, 5 nos ready to close.
Asbuilt: 90% completed.</v>
      </c>
    </row>
    <row r="69" spans="1:16" ht="22.15" customHeight="1">
      <c r="A69" s="7">
        <f t="shared" si="7"/>
        <v>64</v>
      </c>
      <c r="B69" s="155" t="s">
        <v>161</v>
      </c>
      <c r="C69" s="20" t="str">
        <f>VLOOKUP(B69,'Detailed Update'!B:C,2,FALSE)</f>
        <v>Fadelah 110/13.8KV SS - JEDDAH</v>
      </c>
      <c r="D69" s="13" t="s">
        <v>721</v>
      </c>
      <c r="E69" s="14">
        <f>VLOOKUP(B69,'Detailed Update'!B:D,3,FALSE)</f>
        <v>45131</v>
      </c>
      <c r="F69" s="18">
        <f>VLOOKUP(B69,'Detailed Update'!B:T,4,FALSE)</f>
        <v>1</v>
      </c>
      <c r="G69" s="18">
        <f>VLOOKUP(B69,'Detailed Update'!B:T,5,FALSE)</f>
        <v>0.98419999999999996</v>
      </c>
      <c r="H69" s="18">
        <f t="shared" si="6"/>
        <v>-1.5800000000000036E-2</v>
      </c>
      <c r="I69" s="7" t="str">
        <f>VLOOKUP(B69,'Detailed Update'!B:I,6,FALSE)</f>
        <v xml:space="preserve">SEC </v>
      </c>
      <c r="J69" s="7" t="str">
        <f>VLOOKUP(B69,'Detailed Update'!B:I,7,FALSE)</f>
        <v>Western</v>
      </c>
      <c r="K69" s="7" t="str">
        <f>VLOOKUP(B69,'Detailed Update'!B:I,8,FALSE)</f>
        <v>Jeddah</v>
      </c>
      <c r="L69" s="17" t="s">
        <v>53</v>
      </c>
      <c r="M69" s="10">
        <f>VLOOKUP(B69,'Detailed Update'!B:T,11,FALSE)</f>
        <v>45620</v>
      </c>
      <c r="N69" s="10">
        <f>VLOOKUP(B69,'Detailed Update'!B:T,12,FALSE)</f>
        <v>45924</v>
      </c>
      <c r="O69" s="9">
        <f>VLOOKUP(B69,'Detailed Update'!B:T,13,FALSE)</f>
        <v>45834</v>
      </c>
      <c r="P69" s="184" t="str">
        <f>VLOOKUP(B69,'Detailed Update'!B:U,20,FALSE)</f>
        <v>1) Energization done with temporary line, (Permanent line readiness Dependent on Client).
2) AMI integration with WRCC. (Dependent on Line Readiness from Client).
3) Modon GIS extension bays (Shutdown -Relay setting ) 85% completed.
Punchlist &amp; As built works are in progress, completion date 30-Sep-26.
Punch points : Out of 10, 2 completed, 3 ready to close.
As built status: out of 12, 12 ready to close.</v>
      </c>
    </row>
    <row r="70" spans="1:16" ht="22.15" customHeight="1">
      <c r="A70" s="7">
        <f t="shared" si="7"/>
        <v>65</v>
      </c>
      <c r="B70" s="155" t="s">
        <v>162</v>
      </c>
      <c r="C70" s="20" t="str">
        <f>VLOOKUP(B70,'Detailed Update'!B:C,2,FALSE)</f>
        <v>HENAKIYAH BSP 380 KV</v>
      </c>
      <c r="D70" s="13" t="s">
        <v>719</v>
      </c>
      <c r="E70" s="14">
        <f>VLOOKUP(B70,'Detailed Update'!B:D,3,FALSE)</f>
        <v>44861</v>
      </c>
      <c r="F70" s="18">
        <f>VLOOKUP(B70,'Detailed Update'!B:T,4,FALSE)</f>
        <v>1</v>
      </c>
      <c r="G70" s="18">
        <f>VLOOKUP(B70,'Detailed Update'!B:T,5,FALSE)</f>
        <v>1</v>
      </c>
      <c r="H70" s="18">
        <f t="shared" si="6"/>
        <v>0</v>
      </c>
      <c r="I70" s="7" t="str">
        <f>VLOOKUP(B70,'Detailed Update'!B:I,6,FALSE)</f>
        <v>SEC</v>
      </c>
      <c r="J70" s="7" t="str">
        <f>VLOOKUP(B70,'Detailed Update'!B:I,7,FALSE)</f>
        <v>Western</v>
      </c>
      <c r="K70" s="7" t="str">
        <f>VLOOKUP(B70,'Detailed Update'!B:I,8,FALSE)</f>
        <v>Madinah</v>
      </c>
      <c r="L70" s="17" t="s">
        <v>53</v>
      </c>
      <c r="M70" s="10">
        <f>VLOOKUP(B70,'Detailed Update'!B:T,11,FALSE)</f>
        <v>45562</v>
      </c>
      <c r="N70" s="10">
        <f>VLOOKUP(B70,'Detailed Update'!B:T,12,FALSE)</f>
        <v>45657</v>
      </c>
      <c r="O70" s="9">
        <f>VLOOKUP(B70,'Detailed Update'!B:T,13,FALSE)</f>
        <v>45754</v>
      </c>
      <c r="P70" s="184" t="str">
        <f>VLOOKUP(B70,'Detailed Update'!B:U,20,FALSE)</f>
        <v>FAC received</v>
      </c>
    </row>
    <row r="71" spans="1:16" ht="22.15" customHeight="1">
      <c r="A71" s="7">
        <f t="shared" si="7"/>
        <v>66</v>
      </c>
      <c r="B71" s="155" t="s">
        <v>163</v>
      </c>
      <c r="C71" s="20" t="str">
        <f>VLOOKUP(B71,'Detailed Update'!B:C,2,FALSE)</f>
        <v>Sanabel con.at Jeddah</v>
      </c>
      <c r="D71" s="13" t="s">
        <v>722</v>
      </c>
      <c r="E71" s="14">
        <f>VLOOKUP(B71,'Detailed Update'!B:D,3,FALSE)</f>
        <v>44924</v>
      </c>
      <c r="F71" s="18">
        <f>VLOOKUP(B71,'Detailed Update'!B:T,4,FALSE)</f>
        <v>1</v>
      </c>
      <c r="G71" s="18">
        <f>VLOOKUP(B71,'Detailed Update'!B:T,5,FALSE)</f>
        <v>0.97499999999999998</v>
      </c>
      <c r="H71" s="18">
        <f t="shared" si="6"/>
        <v>-2.5000000000000022E-2</v>
      </c>
      <c r="I71" s="7" t="str">
        <f>VLOOKUP(B71,'Detailed Update'!B:I,6,FALSE)</f>
        <v>SEC</v>
      </c>
      <c r="J71" s="7" t="str">
        <f>VLOOKUP(B71,'Detailed Update'!B:I,7,FALSE)</f>
        <v>Western</v>
      </c>
      <c r="K71" s="7" t="str">
        <f>VLOOKUP(B71,'Detailed Update'!B:I,8,FALSE)</f>
        <v>Jeddah</v>
      </c>
      <c r="L71" s="17" t="s">
        <v>26</v>
      </c>
      <c r="M71" s="10">
        <f>VLOOKUP(B71,'Detailed Update'!B:T,11,FALSE)</f>
        <v>45594</v>
      </c>
      <c r="N71" s="10">
        <f>VLOOKUP(B71,'Detailed Update'!B:T,12,FALSE)</f>
        <v>45687</v>
      </c>
      <c r="O71" s="9">
        <f>VLOOKUP(B71,'Detailed Update'!B:T,13,FALSE)</f>
        <v>45992</v>
      </c>
      <c r="P71" s="184" t="str">
        <f>VLOOKUP(B71,'Detailed Update'!B:U,20,FALSE)</f>
        <v xml:space="preserve">SAS Configuration and testing pending, due to AES team mobilization pending </v>
      </c>
    </row>
    <row r="72" spans="1:16" ht="22.15" customHeight="1">
      <c r="A72" s="7">
        <f t="shared" si="7"/>
        <v>67</v>
      </c>
      <c r="B72" s="155" t="s">
        <v>164</v>
      </c>
      <c r="C72" s="20" t="str">
        <f>VLOOKUP(B72,'Detailed Update'!B:C,2,FALSE)</f>
        <v>Reinf. of Thuwal Town  KAUST 2</v>
      </c>
      <c r="D72" s="13" t="s">
        <v>722</v>
      </c>
      <c r="E72" s="14">
        <f>VLOOKUP(B72,'Detailed Update'!B:D,3,FALSE)</f>
        <v>44924</v>
      </c>
      <c r="F72" s="18">
        <f>VLOOKUP(B72,'Detailed Update'!B:T,4,FALSE)</f>
        <v>1</v>
      </c>
      <c r="G72" s="18">
        <f>VLOOKUP(B72,'Detailed Update'!B:T,5,FALSE)</f>
        <v>0.96960000000000002</v>
      </c>
      <c r="H72" s="18">
        <f t="shared" si="6"/>
        <v>-3.0399999999999983E-2</v>
      </c>
      <c r="I72" s="7" t="str">
        <f>VLOOKUP(B72,'Detailed Update'!B:I,6,FALSE)</f>
        <v xml:space="preserve">SEC </v>
      </c>
      <c r="J72" s="7" t="str">
        <f>VLOOKUP(B72,'Detailed Update'!B:I,7,FALSE)</f>
        <v>Western</v>
      </c>
      <c r="K72" s="7" t="str">
        <f>VLOOKUP(B72,'Detailed Update'!B:I,8,FALSE)</f>
        <v>Jeddah</v>
      </c>
      <c r="L72" s="17" t="s">
        <v>26</v>
      </c>
      <c r="M72" s="10">
        <f>VLOOKUP(B72,'Detailed Update'!B:T,11,FALSE)</f>
        <v>45533</v>
      </c>
      <c r="N72" s="10">
        <f>VLOOKUP(B72,'Detailed Update'!B:T,12,FALSE)</f>
        <v>45656</v>
      </c>
      <c r="O72" s="9">
        <f>VLOOKUP(B72,'Detailed Update'!B:T,13,FALSE)</f>
        <v>45992</v>
      </c>
      <c r="P72" s="184" t="str">
        <f>VLOOKUP(B72,'Detailed Update'!B:U,20,FALSE)</f>
        <v>SAS Configuration and testing pending</v>
      </c>
    </row>
    <row r="73" spans="1:16" ht="22.15" customHeight="1">
      <c r="A73" s="7">
        <f t="shared" si="7"/>
        <v>68</v>
      </c>
      <c r="B73" s="155" t="s">
        <v>165</v>
      </c>
      <c r="C73" s="20" t="str">
        <f>VLOOKUP(B73,'Detailed Update'!B:C,2,FALSE)</f>
        <v>Waly Alahad-4 110/13.8KV SS</v>
      </c>
      <c r="D73" s="13" t="s">
        <v>723</v>
      </c>
      <c r="E73" s="14">
        <f>VLOOKUP(B73,'Detailed Update'!B:D,3,FALSE)</f>
        <v>45218</v>
      </c>
      <c r="F73" s="18">
        <f>VLOOKUP(B73,'Detailed Update'!B:T,4,FALSE)</f>
        <v>1</v>
      </c>
      <c r="G73" s="18">
        <f>VLOOKUP(B73,'Detailed Update'!B:T,5,FALSE)</f>
        <v>0.94530000000000003</v>
      </c>
      <c r="H73" s="18">
        <f t="shared" si="6"/>
        <v>-5.4699999999999971E-2</v>
      </c>
      <c r="I73" s="7" t="str">
        <f>VLOOKUP(B73,'Detailed Update'!B:I,6,FALSE)</f>
        <v xml:space="preserve">SEC </v>
      </c>
      <c r="J73" s="7" t="str">
        <f>VLOOKUP(B73,'Detailed Update'!B:I,7,FALSE)</f>
        <v>Western</v>
      </c>
      <c r="K73" s="7" t="str">
        <f>VLOOKUP(B73,'Detailed Update'!B:I,8,FALSE)</f>
        <v>Makkah</v>
      </c>
      <c r="L73" s="17" t="s">
        <v>53</v>
      </c>
      <c r="M73" s="10">
        <f>VLOOKUP(B73,'Detailed Update'!B:T,11,FALSE)</f>
        <v>45707</v>
      </c>
      <c r="N73" s="10">
        <f>VLOOKUP(B73,'Detailed Update'!B:T,12,FALSE)</f>
        <v>45980</v>
      </c>
      <c r="O73" s="9">
        <f>VLOOKUP(B73,'Detailed Update'!B:T,13,FALSE)</f>
        <v>45980</v>
      </c>
      <c r="P73" s="184" t="str">
        <f>VLOOKUP(B73,'Detailed Update'!B:U,20,FALSE)</f>
        <v>1) Line readiness pending from SEC</v>
      </c>
    </row>
    <row r="74" spans="1:16" ht="22.15" customHeight="1">
      <c r="A74" s="7">
        <f t="shared" si="7"/>
        <v>69</v>
      </c>
      <c r="B74" s="155" t="s">
        <v>166</v>
      </c>
      <c r="C74" s="20" t="str">
        <f>VLOOKUP(B74,'Detailed Update'!B:C,2,FALSE)</f>
        <v>110KV SS - KAEC-3</v>
      </c>
      <c r="D74" s="13" t="s">
        <v>724</v>
      </c>
      <c r="E74" s="14">
        <f>VLOOKUP(B74,'Detailed Update'!B:D,3,FALSE)</f>
        <v>45442</v>
      </c>
      <c r="F74" s="18">
        <f>VLOOKUP(B74,'Detailed Update'!B:T,4,FALSE)</f>
        <v>1</v>
      </c>
      <c r="G74" s="18">
        <f>VLOOKUP(B74,'Detailed Update'!B:T,5,FALSE)</f>
        <v>0.99</v>
      </c>
      <c r="H74" s="18">
        <f t="shared" si="6"/>
        <v>-1.0000000000000009E-2</v>
      </c>
      <c r="I74" s="7" t="str">
        <f>VLOOKUP(B74,'Detailed Update'!B:I,6,FALSE)</f>
        <v>SEC</v>
      </c>
      <c r="J74" s="7" t="str">
        <f>VLOOKUP(B74,'Detailed Update'!B:I,7,FALSE)</f>
        <v>Western</v>
      </c>
      <c r="K74" s="7" t="str">
        <f>VLOOKUP(B74,'Detailed Update'!B:I,8,FALSE)</f>
        <v>Jeddah</v>
      </c>
      <c r="L74" s="17" t="s">
        <v>53</v>
      </c>
      <c r="M74" s="10">
        <f>VLOOKUP(B74,'Detailed Update'!B:T,11,FALSE)</f>
        <v>45991</v>
      </c>
      <c r="N74" s="10">
        <f>VLOOKUP(B74,'Detailed Update'!B:T,12,FALSE)</f>
        <v>45991</v>
      </c>
      <c r="O74" s="9">
        <f>VLOOKUP(B74,'Detailed Update'!B:T,13,FALSE)</f>
        <v>45991</v>
      </c>
      <c r="P74" s="184" t="str">
        <f>VLOOKUP(B74,'Detailed Update'!B:U,20,FALSE)</f>
        <v>TCC, PAC Received. FAC Letter Submitted to Client</v>
      </c>
    </row>
    <row r="75" spans="1:16" ht="22.15" customHeight="1">
      <c r="A75" s="7">
        <f t="shared" si="7"/>
        <v>70</v>
      </c>
      <c r="B75" s="155" t="s">
        <v>173</v>
      </c>
      <c r="C75" s="20" t="str">
        <f>VLOOKUP(B75,'Detailed Update'!B:C,2,FALSE)</f>
        <v>110KV SS - KAEC-2</v>
      </c>
      <c r="D75" s="13" t="s">
        <v>724</v>
      </c>
      <c r="E75" s="14">
        <f>VLOOKUP(B75,'Detailed Update'!B:D,3,FALSE)</f>
        <v>45442</v>
      </c>
      <c r="F75" s="18">
        <f>VLOOKUP(B75,'Detailed Update'!B:T,4,FALSE)</f>
        <v>1</v>
      </c>
      <c r="G75" s="18">
        <f>VLOOKUP(B75,'Detailed Update'!B:T,5,FALSE)</f>
        <v>1</v>
      </c>
      <c r="H75" s="18">
        <f t="shared" si="6"/>
        <v>0</v>
      </c>
      <c r="I75" s="7" t="str">
        <f>VLOOKUP(B75,'Detailed Update'!B:I,6,FALSE)</f>
        <v>SEC</v>
      </c>
      <c r="J75" s="7" t="str">
        <f>VLOOKUP(B75,'Detailed Update'!B:I,7,FALSE)</f>
        <v>Western</v>
      </c>
      <c r="K75" s="7" t="str">
        <f>VLOOKUP(B75,'Detailed Update'!B:I,8,FALSE)</f>
        <v>Jeddah</v>
      </c>
      <c r="L75" s="17" t="s">
        <v>53</v>
      </c>
      <c r="M75" s="10">
        <f>VLOOKUP(B75,'Detailed Update'!B:T,11,FALSE)</f>
        <v>45991</v>
      </c>
      <c r="N75" s="10">
        <f>VLOOKUP(B75,'Detailed Update'!B:T,12,FALSE)</f>
        <v>45991</v>
      </c>
      <c r="O75" s="10">
        <f>VLOOKUP(B75,'Detailed Update'!B:T,13,FALSE)</f>
        <v>45991</v>
      </c>
      <c r="P75" s="184" t="str">
        <f>VLOOKUP(B75,'Detailed Update'!B:U,20,FALSE)</f>
        <v>FAC received</v>
      </c>
    </row>
    <row r="76" spans="1:16" ht="22.15" customHeight="1">
      <c r="A76" s="7">
        <f t="shared" si="7"/>
        <v>71</v>
      </c>
      <c r="B76" s="155" t="s">
        <v>167</v>
      </c>
      <c r="C76" s="20" t="str">
        <f>VLOOKUP(B76,'Detailed Update'!B:C,2,FALSE)</f>
        <v>NG Taif</v>
      </c>
      <c r="D76" s="13" t="s">
        <v>691</v>
      </c>
      <c r="E76" s="14">
        <f>VLOOKUP(B76,'Detailed Update'!B:D,3,FALSE)</f>
        <v>43156</v>
      </c>
      <c r="F76" s="18">
        <f>VLOOKUP(B76,'Detailed Update'!B:T,4,FALSE)</f>
        <v>1</v>
      </c>
      <c r="G76" s="18">
        <f>VLOOKUP(B76,'Detailed Update'!B:T,5,FALSE)</f>
        <v>0.99650000000000005</v>
      </c>
      <c r="H76" s="18">
        <f t="shared" si="6"/>
        <v>-3.4999999999999476E-3</v>
      </c>
      <c r="I76" s="7" t="str">
        <f>VLOOKUP(B76,'Detailed Update'!B:I,6,FALSE)</f>
        <v>NG</v>
      </c>
      <c r="J76" s="7" t="str">
        <f>VLOOKUP(B76,'Detailed Update'!B:I,7,FALSE)</f>
        <v>Western</v>
      </c>
      <c r="K76" s="7" t="str">
        <f>VLOOKUP(B76,'Detailed Update'!B:I,8,FALSE)</f>
        <v>Taif</v>
      </c>
      <c r="L76" s="17" t="s">
        <v>33</v>
      </c>
      <c r="M76" s="10" t="str">
        <f>VLOOKUP(B76,'Detailed Update'!B:T,11,FALSE)</f>
        <v>NA</v>
      </c>
      <c r="N76" s="10" t="str">
        <f>VLOOKUP(B76,'Detailed Update'!B:T,12,FALSE)</f>
        <v>NA</v>
      </c>
      <c r="O76" s="10" t="str">
        <f>VLOOKUP(B76,'Detailed Update'!B:T,13,FALSE)</f>
        <v>NA</v>
      </c>
      <c r="P76" s="184" t="str">
        <f>VLOOKUP(B76,'Detailed Update'!B:U,20,FALSE)</f>
        <v>EOT: Contract amendment approved,PCC on 14th Jul 25, EOT-2 submitted on 4th Nov 25, with 8 months (PCC: 14th Mar 26), Under SEC approval
1) All cable ceiling end joints works replacing works in progress, expected compeltion by 30th May 26.
2) Remote end-1 final setting done, Remote end 2 final setting completion by 10th May.
3) HV Test and end to end test pending expected completion by 15th Jun and 30th Jun</v>
      </c>
    </row>
    <row r="77" spans="1:16" ht="22.15" customHeight="1">
      <c r="A77" s="7">
        <f t="shared" si="7"/>
        <v>72</v>
      </c>
      <c r="B77" s="155" t="s">
        <v>172</v>
      </c>
      <c r="C77" s="20" t="str">
        <f>VLOOKUP(B77,'Detailed Update'!B:C,2,FALSE)</f>
        <v>CONST KAR 380 110KV BSP</v>
      </c>
      <c r="D77" s="13" t="s">
        <v>725</v>
      </c>
      <c r="E77" s="14">
        <f>VLOOKUP(B77,'Detailed Update'!B:D,3,FALSE)</f>
        <v>45078</v>
      </c>
      <c r="F77" s="18">
        <f>VLOOKUP(B77,'Detailed Update'!B:T,4,FALSE)</f>
        <v>1</v>
      </c>
      <c r="G77" s="18">
        <f>VLOOKUP(B77,'Detailed Update'!B:T,5,FALSE)</f>
        <v>0.97940000000000005</v>
      </c>
      <c r="H77" s="18">
        <f t="shared" si="6"/>
        <v>-2.0599999999999952E-2</v>
      </c>
      <c r="I77" s="7" t="str">
        <f>VLOOKUP(B77,'Detailed Update'!B:I,6,FALSE)</f>
        <v>Masar</v>
      </c>
      <c r="J77" s="7" t="str">
        <f>VLOOKUP(B77,'Detailed Update'!B:I,7,FALSE)</f>
        <v>Western</v>
      </c>
      <c r="K77" s="7" t="str">
        <f>VLOOKUP(B77,'Detailed Update'!B:I,8,FALSE)</f>
        <v>Makkah</v>
      </c>
      <c r="L77" s="17" t="s">
        <v>26</v>
      </c>
      <c r="M77" s="10">
        <f>VLOOKUP(B77,'Detailed Update'!B:T,11,FALSE)</f>
        <v>45808</v>
      </c>
      <c r="N77" s="10">
        <f>VLOOKUP(B77,'Detailed Update'!B:T,12,FALSE)</f>
        <v>46022</v>
      </c>
      <c r="O77" s="9">
        <f>VLOOKUP(B77,'Detailed Update'!B:T,13,FALSE)</f>
        <v>46022</v>
      </c>
      <c r="P77" s="183" t="str">
        <f>VLOOKUP(B77,'Detailed Update'!B:U,20,FALSE)</f>
        <v xml:space="preserve">1.Close loop test completed
2. HVAC Testing:  Completed
3. FF &amp; FA Testing: All testing is completed and Remaining Final testing with ISD is in progress. 
4. C04 modification work will be started after Energization of C06 Feeder as per SEC instruction. This will required 2 months to complete the task.
5. TCC received
6. New Change Order (confrimed) i.e. Duct Bank for future Area.-Completed
7.End to end test in progress, Expected engization by Aug'26 end. </v>
      </c>
    </row>
    <row r="78" spans="1:16" ht="22.15" customHeight="1">
      <c r="A78" s="7">
        <f t="shared" si="7"/>
        <v>73</v>
      </c>
      <c r="B78" s="155" t="s">
        <v>176</v>
      </c>
      <c r="C78" s="20" t="str">
        <f>VLOOKUP(B78,'Detailed Update'!B:C,2,FALSE)</f>
        <v>HAMRA AL ASAD 110/13.8 KV SUB</v>
      </c>
      <c r="D78" s="13" t="s">
        <v>726</v>
      </c>
      <c r="E78" s="14">
        <f>VLOOKUP(B78,'Detailed Update'!B:D,3,FALSE)</f>
        <v>45133</v>
      </c>
      <c r="F78" s="18">
        <f>VLOOKUP(B78,'Detailed Update'!B:T,4,FALSE)</f>
        <v>1</v>
      </c>
      <c r="G78" s="18">
        <f>VLOOKUP(B78,'Detailed Update'!B:T,5,FALSE)</f>
        <v>0.99980000000000002</v>
      </c>
      <c r="H78" s="18">
        <f t="shared" si="6"/>
        <v>-1.9999999999997797E-4</v>
      </c>
      <c r="I78" s="7" t="str">
        <f>VLOOKUP(B78,'Detailed Update'!B:I,6,FALSE)</f>
        <v xml:space="preserve">SEC </v>
      </c>
      <c r="J78" s="7" t="str">
        <f>VLOOKUP(B78,'Detailed Update'!B:I,7,FALSE)</f>
        <v>Western</v>
      </c>
      <c r="K78" s="7" t="str">
        <f>VLOOKUP(B78,'Detailed Update'!B:I,8,FALSE)</f>
        <v>Madinah</v>
      </c>
      <c r="L78" s="17" t="s">
        <v>26</v>
      </c>
      <c r="M78" s="10">
        <f>VLOOKUP(B78,'Detailed Update'!B:T,11,FALSE)</f>
        <v>45622</v>
      </c>
      <c r="N78" s="10">
        <f>VLOOKUP(B78,'Detailed Update'!B:T,12,FALSE)</f>
        <v>45930</v>
      </c>
      <c r="O78" s="10">
        <f>VLOOKUP(B78,'Detailed Update'!B:T,13,FALSE)</f>
        <v>46163</v>
      </c>
      <c r="P78" s="184" t="str">
        <f>VLOOKUP(B78,'Detailed Update'!B:U,20,FALSE)</f>
        <v>1) TCC received on 21-May-26. PAC received on 30-Jul-26. (Energization done through the AZIZIA remote-end and TCC was obtained. Remaining interface works at the MICY remote end are ongoing and are expected to be completed by end of Aug 2026.)
2) Target is to energize both remaining feeders with remote end by 1st week of Sep. 2026</v>
      </c>
    </row>
    <row r="79" spans="1:16" ht="22.15" customHeight="1">
      <c r="A79" s="7">
        <f t="shared" si="7"/>
        <v>74</v>
      </c>
      <c r="B79" s="155" t="s">
        <v>177</v>
      </c>
      <c r="C79" s="20" t="str">
        <f>VLOOKUP(B79,'Detailed Update'!B:C,2,FALSE)</f>
        <v>Shoran-2 110/13.8 KV - Madinah</v>
      </c>
      <c r="D79" s="13" t="s">
        <v>726</v>
      </c>
      <c r="E79" s="14">
        <f>VLOOKUP(B79,'Detailed Update'!B:D,3,FALSE)</f>
        <v>45131</v>
      </c>
      <c r="F79" s="18">
        <f>VLOOKUP(B79,'Detailed Update'!B:T,4,FALSE)</f>
        <v>1</v>
      </c>
      <c r="G79" s="18">
        <f>VLOOKUP(B79,'Detailed Update'!B:T,5,FALSE)</f>
        <v>0.99250000000000005</v>
      </c>
      <c r="H79" s="18">
        <f t="shared" si="6"/>
        <v>-7.4999999999999512E-3</v>
      </c>
      <c r="I79" s="7" t="str">
        <f>VLOOKUP(B79,'Detailed Update'!B:I,6,FALSE)</f>
        <v xml:space="preserve">SEC </v>
      </c>
      <c r="J79" s="7" t="str">
        <f>VLOOKUP(B79,'Detailed Update'!B:I,7,FALSE)</f>
        <v>Western</v>
      </c>
      <c r="K79" s="7" t="str">
        <f>VLOOKUP(B79,'Detailed Update'!B:I,8,FALSE)</f>
        <v>Madinah</v>
      </c>
      <c r="L79" s="17" t="s">
        <v>33</v>
      </c>
      <c r="M79" s="10">
        <f>VLOOKUP(B79,'Detailed Update'!B:T,11,FALSE)</f>
        <v>45620</v>
      </c>
      <c r="N79" s="10">
        <f>VLOOKUP(B79,'Detailed Update'!B:T,12,FALSE)</f>
        <v>45620</v>
      </c>
      <c r="O79" s="9">
        <f>VLOOKUP(B79,'Detailed Update'!B:T,13,FALSE)</f>
        <v>46265</v>
      </c>
      <c r="P79" s="184" t="str">
        <f>VLOOKUP(B79,'Detailed Update'!B:U,20,FALSE)</f>
        <v xml:space="preserve">1) TCC is requested , still not issued. Readiness of UGC circuits have delayed energization of the substation and TCC issuance. 
2) Expected energization by end of Aug. 2026 if the UGC Feeders passed ongoing Tests by Cable contractor. </v>
      </c>
    </row>
    <row r="80" spans="1:16" ht="22.15" customHeight="1">
      <c r="A80" s="7">
        <f t="shared" si="7"/>
        <v>75</v>
      </c>
      <c r="B80" s="155" t="s">
        <v>186</v>
      </c>
      <c r="C80" s="20" t="str">
        <f>VLOOKUP(B80,'Detailed Update'!B:C,2,FALSE)</f>
        <v>110KV Salam Royal Palace</v>
      </c>
      <c r="D80" s="13" t="s">
        <v>727</v>
      </c>
      <c r="E80" s="14">
        <f>VLOOKUP(B80,'Detailed Update'!B:D,3,FALSE)</f>
        <v>45386</v>
      </c>
      <c r="F80" s="18">
        <f>VLOOKUP(B80,'Detailed Update'!B:T,4,FALSE)</f>
        <v>1</v>
      </c>
      <c r="G80" s="18">
        <f>VLOOKUP(B80,'Detailed Update'!B:T,5,FALSE)</f>
        <v>0.95899999999999996</v>
      </c>
      <c r="H80" s="18">
        <f t="shared" si="6"/>
        <v>-4.1000000000000036E-2</v>
      </c>
      <c r="I80" s="7" t="str">
        <f>VLOOKUP(B80,'Detailed Update'!B:I,6,FALSE)</f>
        <v xml:space="preserve">SEC </v>
      </c>
      <c r="J80" s="7" t="str">
        <f>VLOOKUP(B80,'Detailed Update'!B:I,7,FALSE)</f>
        <v>Western</v>
      </c>
      <c r="K80" s="7" t="str">
        <f>VLOOKUP(B80,'Detailed Update'!B:I,8,FALSE)</f>
        <v>Jeddah</v>
      </c>
      <c r="L80" s="17" t="s">
        <v>53</v>
      </c>
      <c r="M80" s="10">
        <f>VLOOKUP(B80,'Detailed Update'!B:T,11,FALSE)</f>
        <v>45934</v>
      </c>
      <c r="N80" s="10">
        <f>VLOOKUP(B80,'Detailed Update'!B:T,12,FALSE)</f>
        <v>45934</v>
      </c>
      <c r="O80" s="10">
        <f>VLOOKUP(B80,'Detailed Update'!B:T,13,FALSE)</f>
        <v>46037</v>
      </c>
      <c r="P80" s="184" t="str">
        <f>VLOOKUP(B80,'Detailed Update'!B:U,20,FALSE)</f>
        <v>1) EOT-1 Submitted on 13th Aug 25, with TCC date on 23rd Jul 26. Under SEC approval
2) Energization actual date 15th Jan 26</v>
      </c>
    </row>
    <row r="81" spans="1:16" ht="22.15" customHeight="1">
      <c r="A81" s="7">
        <f t="shared" si="7"/>
        <v>76</v>
      </c>
      <c r="B81" s="155" t="s">
        <v>168</v>
      </c>
      <c r="C81" s="20" t="str">
        <f>VLOOKUP(B81,'Detailed Update'!B:C,2,FALSE)</f>
        <v>UM-AL-JOUD BSP</v>
      </c>
      <c r="D81" s="13" t="s">
        <v>725</v>
      </c>
      <c r="E81" s="14">
        <f>VLOOKUP(B81,'Detailed Update'!B:D,3,FALSE)</f>
        <v>44812</v>
      </c>
      <c r="F81" s="18">
        <f>VLOOKUP(B81,'Detailed Update'!B:T,4,FALSE)</f>
        <v>1</v>
      </c>
      <c r="G81" s="18">
        <f>VLOOKUP(B81,'Detailed Update'!B:T,5,FALSE)</f>
        <v>0.88949999999999996</v>
      </c>
      <c r="H81" s="18">
        <f t="shared" si="6"/>
        <v>-0.11050000000000004</v>
      </c>
      <c r="I81" s="7" t="str">
        <f>VLOOKUP(B81,'Detailed Update'!B:I,6,FALSE)</f>
        <v>SEC</v>
      </c>
      <c r="J81" s="7" t="str">
        <f>VLOOKUP(B81,'Detailed Update'!B:I,7,FALSE)</f>
        <v>Western</v>
      </c>
      <c r="K81" s="7" t="str">
        <f>VLOOKUP(B81,'Detailed Update'!B:I,8,FALSE)</f>
        <v>Makkah</v>
      </c>
      <c r="L81" s="17" t="s">
        <v>33</v>
      </c>
      <c r="M81" s="10">
        <f>VLOOKUP(B81,'Detailed Update'!B:T,11,FALSE)</f>
        <v>45238</v>
      </c>
      <c r="N81" s="10">
        <f>VLOOKUP(B81,'Detailed Update'!B:T,12,FALSE)</f>
        <v>45695</v>
      </c>
      <c r="O81" s="9">
        <f>VLOOKUP(B81,'Detailed Update'!B:T,13,FALSE)</f>
        <v>46264</v>
      </c>
      <c r="P81" s="184" t="str">
        <f>VLOOKUP(B81,'Detailed Update'!B:U,20,FALSE)</f>
        <v>1) EOT-2 submitted to client on 8th Jan 25, Revised TCC date confirmation is pending by SEC (Due to no clarity in readiness of remote end i.e. Fahya SS). EOT-2 resubmitted on 14-June-26 for Revised TCC on 31-July-27. Once approved, TCC letter will be submitted.
2) Remote end protection desing approval pending from SEC. Holding the procurement of loose material &amp; modification work at remote end.
3) Protection scope for Fahya Substation is unknown: Due to which Design submission and approval for modification and procuring loose material is still not finalized
4) Restriction to work inside Rusifah Substation: No confirmation on Panel Installation is provided in Rusifah Substation due to limitations of space. Also, FOC cable pulling &amp; termination inside SS is on hold.
5) Testing of Fiber &amp; High Voltage cable is required to start. Waiting for SEC witness.
6) Shut down from SEC is required for Replacing Relay from Rushifah to Umaljoud. Still no clarity on shutdown also.</v>
      </c>
    </row>
    <row r="82" spans="1:16" ht="22.15" customHeight="1">
      <c r="A82" s="7">
        <f t="shared" si="7"/>
        <v>77</v>
      </c>
      <c r="B82" s="155" t="s">
        <v>169</v>
      </c>
      <c r="C82" s="20" t="str">
        <f>VLOOKUP(B82,'Detailed Update'!B:C,2,FALSE)</f>
        <v>MOWAIH PV 380/110V BSP</v>
      </c>
      <c r="D82" s="13" t="s">
        <v>728</v>
      </c>
      <c r="E82" s="14">
        <f>VLOOKUP(B82,'Detailed Update'!B:D,3,FALSE)</f>
        <v>45014</v>
      </c>
      <c r="F82" s="18">
        <f>VLOOKUP(B82,'Detailed Update'!B:T,4,FALSE)</f>
        <v>1</v>
      </c>
      <c r="G82" s="18">
        <f>VLOOKUP(B82,'Detailed Update'!B:T,5,FALSE)</f>
        <v>0.99</v>
      </c>
      <c r="H82" s="18">
        <f t="shared" si="6"/>
        <v>-1.0000000000000009E-2</v>
      </c>
      <c r="I82" s="7" t="str">
        <f>VLOOKUP(B82,'Detailed Update'!B:I,6,FALSE)</f>
        <v xml:space="preserve">SEC </v>
      </c>
      <c r="J82" s="7" t="str">
        <f>VLOOKUP(B82,'Detailed Update'!B:I,7,FALSE)</f>
        <v>Western</v>
      </c>
      <c r="K82" s="7" t="str">
        <f>VLOOKUP(B82,'Detailed Update'!B:I,8,FALSE)</f>
        <v>Taif</v>
      </c>
      <c r="L82" s="17" t="s">
        <v>33</v>
      </c>
      <c r="M82" s="10">
        <f>VLOOKUP(B82,'Detailed Update'!B:T,11,FALSE)</f>
        <v>45745</v>
      </c>
      <c r="N82" s="10">
        <f>VLOOKUP(B82,'Detailed Update'!B:T,12,FALSE)</f>
        <v>45961</v>
      </c>
      <c r="O82" s="9">
        <f>VLOOKUP(B82,'Detailed Update'!B:T,13,FALSE)</f>
        <v>46028</v>
      </c>
      <c r="P82" s="184" t="str">
        <f>VLOOKUP(B82,'Detailed Update'!B:U,20,FALSE)</f>
        <v>EOT is submitted with TCC and was approved on 21st Apr 26
Energization done, and TCC was received on 21st Apr 26</v>
      </c>
    </row>
    <row r="83" spans="1:16" ht="22.15" customHeight="1">
      <c r="A83" s="7">
        <f t="shared" si="7"/>
        <v>78</v>
      </c>
      <c r="B83" s="155" t="s">
        <v>170</v>
      </c>
      <c r="C83" s="20" t="str">
        <f>VLOOKUP(B83,'Detailed Update'!B:C,2,FALSE)</f>
        <v>110/33 KV ALMAHANI S/S IN TAIF</v>
      </c>
      <c r="D83" s="13" t="s">
        <v>729</v>
      </c>
      <c r="E83" s="14">
        <f>VLOOKUP(B83,'Detailed Update'!B:D,3,FALSE)</f>
        <v>45060</v>
      </c>
      <c r="F83" s="18">
        <f>VLOOKUP(B83,'Detailed Update'!B:T,4,FALSE)</f>
        <v>1</v>
      </c>
      <c r="G83" s="18">
        <f>VLOOKUP(B83,'Detailed Update'!B:T,5,FALSE)</f>
        <v>0.92300000000000004</v>
      </c>
      <c r="H83" s="18">
        <f t="shared" si="6"/>
        <v>-7.6999999999999957E-2</v>
      </c>
      <c r="I83" s="7" t="str">
        <f>VLOOKUP(B83,'Detailed Update'!B:I,6,FALSE)</f>
        <v>SEC</v>
      </c>
      <c r="J83" s="7" t="str">
        <f>VLOOKUP(B83,'Detailed Update'!B:I,7,FALSE)</f>
        <v>Western</v>
      </c>
      <c r="K83" s="7" t="str">
        <f>VLOOKUP(B83,'Detailed Update'!B:I,8,FALSE)</f>
        <v>Taif</v>
      </c>
      <c r="L83" s="17" t="s">
        <v>33</v>
      </c>
      <c r="M83" s="10">
        <f>VLOOKUP(B83,'Detailed Update'!B:T,11,FALSE)</f>
        <v>45671</v>
      </c>
      <c r="N83" s="10">
        <f>VLOOKUP(B83,'Detailed Update'!B:T,12,FALSE)</f>
        <v>45991</v>
      </c>
      <c r="O83" s="9">
        <f>VLOOKUP(B83,'Detailed Update'!B:T,13,FALSE)</f>
        <v>46325</v>
      </c>
      <c r="P83" s="184" t="str">
        <f>VLOOKUP(B83,'Detailed Update'!B:U,20,FALSE)</f>
        <v xml:space="preserve">EOT: EOT submitted TCC upto 30-Nov-26. Under SEC approval.
1) delay in final setting approval for SWGR and Capacitor bank and line protection delaying open loop Tests
2) Delayed HV kit for GIS HV test (was scheduled by Jul-26) now rescheduled to 20-Aug-26
3) Delayed installations of the (HV Terminations, CSE, MV Terminations) pending subcontractor. (PO Under finalization with SCD)
4) Delayed open loop tests for the major equipment due to non-availability of SAS engineer. (Will be mobilized after Approval of final settings)
5) OHTL Line readinees (AL-mahani to MAHD), No clarity on the completion by other contractor. </v>
      </c>
    </row>
    <row r="84" spans="1:16" ht="22.15" customHeight="1">
      <c r="A84" s="7">
        <f t="shared" si="7"/>
        <v>79</v>
      </c>
      <c r="B84" s="157" t="s">
        <v>171</v>
      </c>
      <c r="C84" s="20" t="str">
        <f>VLOOKUP(B84,'Detailed Update'!B:C,2,FALSE)</f>
        <v>EXT. OF THE EXIS. THAGEF &amp;ADAM</v>
      </c>
      <c r="D84" s="13" t="s">
        <v>730</v>
      </c>
      <c r="E84" s="14">
        <f>VLOOKUP(B84,'Detailed Update'!B:D,3,FALSE)</f>
        <v>45060</v>
      </c>
      <c r="F84" s="18">
        <f>VLOOKUP(B84,'Detailed Update'!B:T,4,FALSE)</f>
        <v>1</v>
      </c>
      <c r="G84" s="18">
        <f>VLOOKUP(B84,'Detailed Update'!B:T,5,FALSE)</f>
        <v>0.86629999999999996</v>
      </c>
      <c r="H84" s="18">
        <f t="shared" si="6"/>
        <v>-0.13370000000000004</v>
      </c>
      <c r="I84" s="7" t="str">
        <f>VLOOKUP(B84,'Detailed Update'!B:I,6,FALSE)</f>
        <v xml:space="preserve">SEC </v>
      </c>
      <c r="J84" s="7" t="str">
        <f>VLOOKUP(B84,'Detailed Update'!B:I,7,FALSE)</f>
        <v>Western</v>
      </c>
      <c r="K84" s="7" t="str">
        <f>VLOOKUP(B84,'Detailed Update'!B:I,8,FALSE)</f>
        <v>Taif</v>
      </c>
      <c r="L84" s="17" t="s">
        <v>33</v>
      </c>
      <c r="M84" s="10">
        <f>VLOOKUP(B84,'Detailed Update'!B:T,11,FALSE)</f>
        <v>45671</v>
      </c>
      <c r="N84" s="10">
        <f>VLOOKUP(B84,'Detailed Update'!B:T,12,FALSE)</f>
        <v>45944</v>
      </c>
      <c r="O84" s="9">
        <f>VLOOKUP(B84,'Detailed Update'!B:T,13,FALSE)</f>
        <v>46356</v>
      </c>
      <c r="P84" s="184" t="str">
        <f>VLOOKUP(B84,'Detailed Update'!B:U,20,FALSE)</f>
        <v>EOT: EOT-2 submitted with TCC date of  27-Jul-26. (Under SEC Approval)
1) AES Control panel (Mosaic and Annciator) detail design still under approval &amp; no clarity on FAT date. (expected by Sep-26).
2) Missing BCU units for ADAM LCC (Hyundai), Provided by AES (Purchased from SIEMENS) Delayed since Feb-26, Latest provided date by AES is by Oct-26
3) Loose materials are required from AES for Protection, LCC Panels. To be compatible with existing systems and proceed commissioning activities
4) Delayed delivery of the PC Workstation (EWS) and the PO is still under Finalization with SCD
4) No Clarity of OHTL Line readiness.</v>
      </c>
    </row>
    <row r="85" spans="1:16" ht="22.15" customHeight="1">
      <c r="A85" s="7">
        <f t="shared" si="7"/>
        <v>80</v>
      </c>
      <c r="B85" s="155" t="s">
        <v>174</v>
      </c>
      <c r="C85" s="20" t="str">
        <f>VLOOKUP(B85,'Detailed Update'!B:C,2,FALSE)</f>
        <v>SEC Smart Distribution Control Centre</v>
      </c>
      <c r="D85" s="13" t="s">
        <v>680</v>
      </c>
      <c r="E85" s="14">
        <f>VLOOKUP(B85,'Detailed Update'!B:D,3,FALSE)</f>
        <v>45498</v>
      </c>
      <c r="F85" s="18">
        <f>VLOOKUP(B85,'Detailed Update'!B:T,4,FALSE)</f>
        <v>0.98309999999999997</v>
      </c>
      <c r="G85" s="18">
        <f>VLOOKUP(B85,'Detailed Update'!B:T,5,FALSE)</f>
        <v>0.90210000000000001</v>
      </c>
      <c r="H85" s="18">
        <f t="shared" si="6"/>
        <v>-8.0999999999999961E-2</v>
      </c>
      <c r="I85" s="7" t="str">
        <f>VLOOKUP(B85,'Detailed Update'!B:I,6,FALSE)</f>
        <v>SEC</v>
      </c>
      <c r="J85" s="7" t="str">
        <f>VLOOKUP(B85,'Detailed Update'!B:I,7,FALSE)</f>
        <v>Western</v>
      </c>
      <c r="K85" s="7" t="str">
        <f>VLOOKUP(B85,'Detailed Update'!B:I,8,FALSE)</f>
        <v>Jeddah</v>
      </c>
      <c r="L85" s="17" t="s">
        <v>53</v>
      </c>
      <c r="M85" s="10">
        <f>VLOOKUP(B85,'Detailed Update'!B:T,11,FALSE)</f>
        <v>46228</v>
      </c>
      <c r="N85" s="10">
        <f>VLOOKUP(B85,'Detailed Update'!B:T,12,FALSE)</f>
        <v>46228</v>
      </c>
      <c r="O85" s="9">
        <f>VLOOKUP(B85,'Detailed Update'!B:T,13,FALSE)</f>
        <v>46387</v>
      </c>
      <c r="P85" s="184" t="str">
        <f>VLOOKUP(B85,'Detailed Update'!B:U,20,FALSE)</f>
        <v xml:space="preserve">1. SLD Submission for Downstream : CET/NARI Shortage on Manpower where current manpower is 28 and plan to be 39  by  31-Jul-26 , Target Completion Madinah : 05-Sep-26 , Jeddah :06-Oct-26 ,Makkah : 06-Oct-26 ,Abha :03-Sep-26 , Jizan : 16-Sep-26.
2. Abha ADMS System Crash: SLD NDesigner application crashed during implementation activities in Abha, resulting in delays to SLD preparation, submission, and validation activities.
3. Cyber Security Audit : Audit plan not yet Approved by SE and the PO (Third Party) has not been issued by NARI (affecting Cutover). The audit requires approximately 10 weeks after PO issuance.
4. NARI End-to-End Testing Team : A dedicated NARI team is required to focus exclusively on End-to-End testing activities. A total of nine engineers are expected to be mobilized by the  31 July 2026.
5. Delay in Telecom Panel Local Test for Remote End (MADINAH LDC).
6. Delay delivery of DWDM (PO issued to AES) – waiting the final confirmation for the recent traffic plan in Madina, Abha &amp; Jizan.
7.  All Submittal under review with FEC / HSSE.
8. Requirements from STC connectivity regarding IP Telephone (SIP) services.
9.1 ICT reviewer’s new comments regarding the passive scope and Beit Al Anzima rejection._x000B_9.2 ICT rejected the material in Rev-02 although no comments were received in Rev-01._x000B_9.3 The material has already been delivered and installed on site.
9.4 The ICT reviewer has been rejecting every submitted versions without providing any specific technical comments or justified reasons, Also rejecting both of the approved  Design Consultant and the Contractor. This repeated rejection practice is causing significant delays to the project and directly impacting the implementation and activation of critical ICT services, including Internet connectivity, IP Telephony, and system integrations. </v>
      </c>
    </row>
    <row r="86" spans="1:16" ht="22.15" customHeight="1">
      <c r="A86" s="7">
        <f t="shared" si="7"/>
        <v>81</v>
      </c>
      <c r="B86" s="155" t="s">
        <v>175</v>
      </c>
      <c r="C86" s="20" t="str">
        <f>VLOOKUP(B86,'Detailed Update'!B:C,2,FALSE)</f>
        <v>Exp. of YCNT BSP for Power to Neom</v>
      </c>
      <c r="D86" s="13" t="s">
        <v>718</v>
      </c>
      <c r="E86" s="14">
        <f>VLOOKUP(B86,'Detailed Update'!B:D,3,FALSE)</f>
        <v>45139</v>
      </c>
      <c r="F86" s="18">
        <f>VLOOKUP(B86,'Detailed Update'!B:T,4,FALSE)</f>
        <v>0.93379999999999996</v>
      </c>
      <c r="G86" s="18">
        <f>VLOOKUP(B86,'Detailed Update'!B:T,5,FALSE)</f>
        <v>0.95079999999999998</v>
      </c>
      <c r="H86" s="18">
        <f t="shared" si="6"/>
        <v>1.7000000000000015E-2</v>
      </c>
      <c r="I86" s="7" t="str">
        <f>VLOOKUP(B86,'Detailed Update'!B:I,6,FALSE)</f>
        <v>NEOM / SEC</v>
      </c>
      <c r="J86" s="7" t="str">
        <f>VLOOKUP(B86,'Detailed Update'!B:I,7,FALSE)</f>
        <v>Western</v>
      </c>
      <c r="K86" s="7" t="str">
        <f>VLOOKUP(B86,'Detailed Update'!B:I,8,FALSE)</f>
        <v>Yanbu</v>
      </c>
      <c r="L86" s="17" t="s">
        <v>53</v>
      </c>
      <c r="M86" s="10">
        <f>VLOOKUP(B86,'Detailed Update'!B:T,11,FALSE)</f>
        <v>46357</v>
      </c>
      <c r="N86" s="10">
        <f>VLOOKUP(B86,'Detailed Update'!B:T,12,FALSE)</f>
        <v>46357</v>
      </c>
      <c r="O86" s="9">
        <f>VLOOKUP(B86,'Detailed Update'!B:T,13,FALSE)</f>
        <v>46357</v>
      </c>
      <c r="P86" s="184" t="str">
        <f>VLOOKUP(B86,'Detailed Update'!B:U,20,FALSE)</f>
        <v>1) 2 Nos GIS breakers damaged due to heavy wind (Fell down, no major damage), need to close the issues with GE Team, Breakers are sent to France Factory to get the repaired materials expected Repaired materials delivery by End of Sep-26.
2) HV Test Equipment delivery pending from GE, due to lack of equipment (Used for other site)</v>
      </c>
    </row>
    <row r="87" spans="1:16" ht="22.15" customHeight="1">
      <c r="A87" s="7">
        <f t="shared" si="7"/>
        <v>82</v>
      </c>
      <c r="B87" s="155" t="s">
        <v>178</v>
      </c>
      <c r="C87" s="20" t="str">
        <f>VLOOKUP(B87,'Detailed Update'!B:C,2,FALSE)</f>
        <v>Airport C (KAIA) Interconnection REINF.</v>
      </c>
      <c r="D87" s="13" t="s">
        <v>729</v>
      </c>
      <c r="E87" s="14">
        <f>VLOOKUP(B87,'Detailed Update'!B:D,3,FALSE)</f>
        <v>45231</v>
      </c>
      <c r="F87" s="18">
        <f>VLOOKUP(B87,'Detailed Update'!B:T,4,FALSE)</f>
        <v>1</v>
      </c>
      <c r="G87" s="18">
        <f>VLOOKUP(B87,'Detailed Update'!B:T,5,FALSE)</f>
        <v>0.83989999999999998</v>
      </c>
      <c r="H87" s="18">
        <f t="shared" si="6"/>
        <v>-0.16010000000000002</v>
      </c>
      <c r="I87" s="7" t="str">
        <f>VLOOKUP(B87,'Detailed Update'!B:I,6,FALSE)</f>
        <v xml:space="preserve">SEC </v>
      </c>
      <c r="J87" s="7" t="str">
        <f>VLOOKUP(B87,'Detailed Update'!B:I,7,FALSE)</f>
        <v>Western</v>
      </c>
      <c r="K87" s="7" t="str">
        <f>VLOOKUP(B87,'Detailed Update'!B:I,8,FALSE)</f>
        <v>Jeddah</v>
      </c>
      <c r="L87" s="17" t="s">
        <v>53</v>
      </c>
      <c r="M87" s="10">
        <f>VLOOKUP(B87,'Detailed Update'!B:T,11,FALSE)</f>
        <v>46054</v>
      </c>
      <c r="N87" s="10">
        <f>VLOOKUP(B87,'Detailed Update'!B:T,12,FALSE)</f>
        <v>46054</v>
      </c>
      <c r="O87" s="9">
        <f>VLOOKUP(B87,'Detailed Update'!B:T,13,FALSE)</f>
        <v>46054</v>
      </c>
      <c r="P87" s="357" t="str">
        <f>VLOOKUP(B87,'Detailed Update'!B:U,20,FALSE)</f>
        <v>1) TCC Received on 09-Aug-26 as per Contractual TCC Date i.e. 01-Feb-26.
2) Remaining work cannot be proceeded due to HV Cable issue from SE. Project currently onhold from SE so manpower to be demobilized accordingly. 
3) CSD refused to start T&amp;C Activities because of the unavailability of existing HV cable from SE. 
4) Change order (Approx.. 47 million) submitted to SE for additional HV cable work. Waiting for their approval.</v>
      </c>
    </row>
    <row r="88" spans="1:16" ht="22.15" customHeight="1">
      <c r="A88" s="7">
        <f t="shared" si="7"/>
        <v>83</v>
      </c>
      <c r="B88" s="155" t="s">
        <v>179</v>
      </c>
      <c r="C88" s="20" t="str">
        <f>VLOOKUP(B88,'Detailed Update'!B:C,2,FALSE)</f>
        <v>Interconnection of AJM-1 (New Jamoom)</v>
      </c>
      <c r="D88" s="13" t="s">
        <v>722</v>
      </c>
      <c r="E88" s="14">
        <f>VLOOKUP(B88,'Detailed Update'!B:D,3,FALSE)</f>
        <v>45299</v>
      </c>
      <c r="F88" s="18">
        <f>VLOOKUP(B88,'Detailed Update'!B:T,4,FALSE)</f>
        <v>1</v>
      </c>
      <c r="G88" s="18">
        <f>VLOOKUP(B88,'Detailed Update'!B:T,5,FALSE)</f>
        <v>0.9052</v>
      </c>
      <c r="H88" s="18">
        <f t="shared" si="6"/>
        <v>-9.4799999999999995E-2</v>
      </c>
      <c r="I88" s="7" t="str">
        <f>VLOOKUP(B88,'Detailed Update'!B:I,6,FALSE)</f>
        <v xml:space="preserve">SEC </v>
      </c>
      <c r="J88" s="7" t="str">
        <f>VLOOKUP(B88,'Detailed Update'!B:I,7,FALSE)</f>
        <v>Western</v>
      </c>
      <c r="K88" s="7" t="str">
        <f>VLOOKUP(B88,'Detailed Update'!B:I,8,FALSE)</f>
        <v>Makkah</v>
      </c>
      <c r="L88" s="17" t="s">
        <v>53</v>
      </c>
      <c r="M88" s="10">
        <f>VLOOKUP(B88,'Detailed Update'!B:T,11,FALSE)</f>
        <v>46120</v>
      </c>
      <c r="N88" s="10">
        <f>VLOOKUP(B88,'Detailed Update'!B:T,12,FALSE)</f>
        <v>46120</v>
      </c>
      <c r="O88" s="9">
        <f>VLOOKUP(B88,'Detailed Update'!B:T,13,FALSE)</f>
        <v>46120</v>
      </c>
      <c r="P88" s="184" t="str">
        <f>VLOOKUP(B88,'Detailed Update'!B:U,20,FALSE)</f>
        <v xml:space="preserve">1) T.C.C received. 
2)Shutdown required for Connecting existing GIS to new GIS bay, expected in Aug-26.
</v>
      </c>
    </row>
    <row r="89" spans="1:16" ht="22.15" customHeight="1">
      <c r="A89" s="7">
        <f t="shared" si="7"/>
        <v>84</v>
      </c>
      <c r="B89" s="155" t="s">
        <v>180</v>
      </c>
      <c r="C89" s="20" t="str">
        <f>VLOOKUP(B89,'Detailed Update'!B:C,2,FALSE)</f>
        <v>Expansion of Mowaih PV 380kV BSP</v>
      </c>
      <c r="D89" s="13" t="s">
        <v>731</v>
      </c>
      <c r="E89" s="14">
        <f>VLOOKUP(B89,'Detailed Update'!B:D,3,FALSE)</f>
        <v>45551</v>
      </c>
      <c r="F89" s="18">
        <f>VLOOKUP(B89,'Detailed Update'!B:T,4,FALSE)</f>
        <v>1</v>
      </c>
      <c r="G89" s="18">
        <v>0.89</v>
      </c>
      <c r="H89" s="18">
        <f t="shared" si="6"/>
        <v>-0.10999999999999999</v>
      </c>
      <c r="I89" s="7" t="str">
        <f>VLOOKUP(B89,'Detailed Update'!B:I,6,FALSE)</f>
        <v xml:space="preserve">SEC </v>
      </c>
      <c r="J89" s="7" t="str">
        <f>VLOOKUP(B89,'Detailed Update'!B:I,7,FALSE)</f>
        <v>Western</v>
      </c>
      <c r="K89" s="7" t="str">
        <f>VLOOKUP(B89,'Detailed Update'!B:I,8,FALSE)</f>
        <v>Mowaih</v>
      </c>
      <c r="L89" s="17" t="s">
        <v>33</v>
      </c>
      <c r="M89" s="10">
        <f>VLOOKUP(B89,'Detailed Update'!B:T,11,FALSE)</f>
        <v>45946</v>
      </c>
      <c r="N89" s="10">
        <f>VLOOKUP(B89,'Detailed Update'!B:T,12,FALSE)</f>
        <v>45946</v>
      </c>
      <c r="O89" s="9">
        <f>VLOOKUP(B89,'Detailed Update'!B:T,13,FALSE)</f>
        <v>46264</v>
      </c>
      <c r="P89" s="184" t="str">
        <f>VLOOKUP(B89,'Detailed Update'!B:U,20,FALSE)</f>
        <v>1) EOT-1 submitted on 16th Oct 25, with TCC Date on 27-5-26. Rejected by SEC on 21-Oct-25, Resubmitted, under approval with SE. 
2) TCC delayed by SE, Due to SE-MOD time extension approval
2) 48 V DC system: FAT done delivery delayed expected delivery in Sep-26
3) Remote End Substations are not ready</v>
      </c>
    </row>
    <row r="90" spans="1:16" ht="22.15" customHeight="1">
      <c r="A90" s="7">
        <f t="shared" si="7"/>
        <v>85</v>
      </c>
      <c r="B90" s="155" t="s">
        <v>181</v>
      </c>
      <c r="C90" s="20" t="str">
        <f>VLOOKUP(B90,'Detailed Update'!B:C,2,FALSE)</f>
        <v>110kV SS Kar-2</v>
      </c>
      <c r="D90" s="13" t="s">
        <v>725</v>
      </c>
      <c r="E90" s="14">
        <f>VLOOKUP(B90,'Detailed Update'!B:D,3,FALSE)</f>
        <v>45532</v>
      </c>
      <c r="F90" s="18">
        <f>VLOOKUP(B90,'Detailed Update'!B:T,4,FALSE)</f>
        <v>0.93</v>
      </c>
      <c r="G90" s="18">
        <f>VLOOKUP(B90,'Detailed Update'!B:T,5,FALSE)</f>
        <v>0.9</v>
      </c>
      <c r="H90" s="18">
        <f t="shared" si="6"/>
        <v>-3.0000000000000027E-2</v>
      </c>
      <c r="I90" s="7" t="str">
        <f>VLOOKUP(B90,'Detailed Update'!B:I,6,FALSE)</f>
        <v>Masar</v>
      </c>
      <c r="J90" s="7" t="str">
        <f>VLOOKUP(B90,'Detailed Update'!B:I,7,FALSE)</f>
        <v>Western</v>
      </c>
      <c r="K90" s="7" t="str">
        <f>VLOOKUP(B90,'Detailed Update'!B:I,8,FALSE)</f>
        <v>Makkah</v>
      </c>
      <c r="L90" s="17" t="s">
        <v>33</v>
      </c>
      <c r="M90" s="10">
        <f>VLOOKUP(B90,'Detailed Update'!B:T,11,FALSE)</f>
        <v>46139</v>
      </c>
      <c r="N90" s="10">
        <f>VLOOKUP(B90,'Detailed Update'!B:T,12,FALSE)</f>
        <v>46323</v>
      </c>
      <c r="O90" s="9">
        <f>VLOOKUP(B90,'Detailed Update'!B:T,13,FALSE)</f>
        <v>46323</v>
      </c>
      <c r="P90" s="184" t="str">
        <f>VLOOKUP(B90,'Detailed Update'!B:U,20,FALSE)</f>
        <v>1) Delay in Mechanical materials i.e.  HVAC system (PACU), Expected material delivery by Mid Aug-26 due to current Geo-political instability.</v>
      </c>
    </row>
    <row r="91" spans="1:16" ht="22.15" customHeight="1">
      <c r="A91" s="7">
        <f t="shared" si="7"/>
        <v>86</v>
      </c>
      <c r="B91" s="155" t="s">
        <v>182</v>
      </c>
      <c r="C91" s="20" t="str">
        <f>VLOOKUP(B91,'Detailed Update'!B:C,2,FALSE)</f>
        <v>132/13.8KV Sub Industrial City Tabuk</v>
      </c>
      <c r="D91" s="13" t="s">
        <v>717</v>
      </c>
      <c r="E91" s="14">
        <f>VLOOKUP(B91,'Detailed Update'!B:D,3,FALSE)</f>
        <v>45321</v>
      </c>
      <c r="F91" s="18">
        <f>VLOOKUP(B91,'Detailed Update'!B:T,4,FALSE)</f>
        <v>0.98060000000000003</v>
      </c>
      <c r="G91" s="18">
        <f>VLOOKUP(B91,'Detailed Update'!B:T,5,FALSE)</f>
        <v>0.98309999999999997</v>
      </c>
      <c r="H91" s="18">
        <f t="shared" si="6"/>
        <v>2.4999999999999467E-3</v>
      </c>
      <c r="I91" s="7" t="str">
        <f>VLOOKUP(B91,'Detailed Update'!B:I,6,FALSE)</f>
        <v>MODON</v>
      </c>
      <c r="J91" s="7" t="str">
        <f>VLOOKUP(B91,'Detailed Update'!B:I,7,FALSE)</f>
        <v>Western</v>
      </c>
      <c r="K91" s="7" t="str">
        <f>VLOOKUP(B91,'Detailed Update'!B:I,8,FALSE)</f>
        <v>Tabuk</v>
      </c>
      <c r="L91" s="17" t="s">
        <v>53</v>
      </c>
      <c r="M91" s="10" t="str">
        <f>VLOOKUP(B91,'Detailed Update'!B:T,11,FALSE)</f>
        <v>NA</v>
      </c>
      <c r="N91" s="10" t="str">
        <f>VLOOKUP(B91,'Detailed Update'!B:T,12,FALSE)</f>
        <v>NA</v>
      </c>
      <c r="O91" s="10" t="str">
        <f>VLOOKUP(B91,'Detailed Update'!B:T,13,FALSE)</f>
        <v>NA</v>
      </c>
      <c r="P91" s="184" t="str">
        <f>VLOOKUP(B91,'Detailed Update'!B:U,20,FALSE)</f>
        <v>Critical Issues: OLT &amp; CLT Completed and final testing like trip test, end to end test ongoing. However, PAC form signed after mutual site visit from SE, MODON &amp; Alfanar. All pending works to be completed to target energization.</v>
      </c>
    </row>
    <row r="92" spans="1:16" ht="22.15" customHeight="1">
      <c r="A92" s="7">
        <f t="shared" si="7"/>
        <v>87</v>
      </c>
      <c r="B92" s="155" t="s">
        <v>183</v>
      </c>
      <c r="C92" s="20" t="str">
        <f>VLOOKUP(B92,'Detailed Update'!B:C,2,FALSE)</f>
        <v xml:space="preserve">110KV Salam Royal </v>
      </c>
      <c r="D92" s="13" t="s">
        <v>732</v>
      </c>
      <c r="E92" s="14">
        <f>VLOOKUP(B92,'Detailed Update'!B:D,3,FALSE)</f>
        <v>46153</v>
      </c>
      <c r="F92" s="18">
        <f>VLOOKUP(B92,'Detailed Update'!B:T,4,FALSE)</f>
        <v>0.1002</v>
      </c>
      <c r="G92" s="18">
        <f>VLOOKUP(B92,'Detailed Update'!B:T,5,FALSE)</f>
        <v>0.1933</v>
      </c>
      <c r="H92" s="18">
        <f t="shared" si="6"/>
        <v>9.3100000000000002E-2</v>
      </c>
      <c r="I92" s="7" t="str">
        <f>VLOOKUP(B92,'Detailed Update'!B:I,6,FALSE)</f>
        <v xml:space="preserve">SEC </v>
      </c>
      <c r="J92" s="7" t="str">
        <f>VLOOKUP(B92,'Detailed Update'!B:I,7,FALSE)</f>
        <v>Western</v>
      </c>
      <c r="K92" s="7" t="str">
        <f>VLOOKUP(B92,'Detailed Update'!B:I,8,FALSE)</f>
        <v>Jeddah</v>
      </c>
      <c r="L92" s="17" t="s">
        <v>53</v>
      </c>
      <c r="M92" s="10">
        <f>VLOOKUP(B92,'Detailed Update'!B:T,11,FALSE)</f>
        <v>46701</v>
      </c>
      <c r="N92" s="10">
        <f>VLOOKUP(B92,'Detailed Update'!B:T,12,FALSE)</f>
        <v>46701</v>
      </c>
      <c r="O92" s="10">
        <f>VLOOKUP(B92,'Detailed Update'!B:T,13,FALSE)</f>
        <v>46701</v>
      </c>
      <c r="P92" s="184" t="str">
        <f>VLOOKUP(B92,'Detailed Update'!B:U,20,FALSE)</f>
        <v>1) Baldia Permit required to avoid any delay in civil activities. Discussion under process.
2) AES to expedite submission of remaining Telecom drawings &amp; also to close SE comments for submitted drawings to avoid any delay in material delivery.
3) AES to expedite to close SE comments for Protection Relay List to avoid any delay in material delivery. Protection Detail Design to be submitted.
4) AES to expedite submission of Switchgear Detail Design.</v>
      </c>
    </row>
    <row r="93" spans="1:16" ht="22.15" customHeight="1">
      <c r="A93" s="7">
        <f t="shared" si="7"/>
        <v>88</v>
      </c>
      <c r="B93" s="155" t="s">
        <v>184</v>
      </c>
      <c r="C93" s="20" t="str">
        <f>VLOOKUP(B93,'Detailed Update'!B:C,2,FALSE)</f>
        <v>Const of Southern 380KV BSP | Al Ula</v>
      </c>
      <c r="D93" s="13" t="s">
        <v>733</v>
      </c>
      <c r="E93" s="14">
        <f>VLOOKUP(B93,'Detailed Update'!B:D,3,FALSE)</f>
        <v>45299</v>
      </c>
      <c r="F93" s="18">
        <f>VLOOKUP(B93,'Detailed Update'!B:T,4,FALSE)</f>
        <v>0.98640000000000005</v>
      </c>
      <c r="G93" s="18">
        <f>VLOOKUP(B93,'Detailed Update'!B:T,5,FALSE)</f>
        <v>0.96150000000000002</v>
      </c>
      <c r="H93" s="18">
        <f t="shared" si="6"/>
        <v>-2.4900000000000033E-2</v>
      </c>
      <c r="I93" s="7" t="str">
        <f>VLOOKUP(B93,'Detailed Update'!B:I,6,FALSE)</f>
        <v xml:space="preserve">SEC </v>
      </c>
      <c r="J93" s="7" t="str">
        <f>VLOOKUP(B93,'Detailed Update'!B:I,7,FALSE)</f>
        <v>Western</v>
      </c>
      <c r="K93" s="7" t="str">
        <f>VLOOKUP(B93,'Detailed Update'!B:I,8,FALSE)</f>
        <v>Al Ula</v>
      </c>
      <c r="L93" s="17" t="s">
        <v>33</v>
      </c>
      <c r="M93" s="10">
        <f>VLOOKUP(B93,'Detailed Update'!B:T,11,FALSE)</f>
        <v>46030</v>
      </c>
      <c r="N93" s="10">
        <f>VLOOKUP(B93,'Detailed Update'!B:T,12,FALSE)</f>
        <v>46203</v>
      </c>
      <c r="O93" s="9">
        <f>VLOOKUP(B93,'Detailed Update'!B:T,13,FALSE)</f>
        <v>46203</v>
      </c>
      <c r="P93" s="184" t="str">
        <f>VLOOKUP(B93,'Detailed Update'!B:U,20,FALSE)</f>
        <v>1) TCC received. 
2) External road: Road marking
3) Testing 85% completed.
4)Finishing work and punch points in progress.</v>
      </c>
    </row>
    <row r="94" spans="1:16" ht="22.15" customHeight="1">
      <c r="A94" s="7">
        <f t="shared" si="7"/>
        <v>89</v>
      </c>
      <c r="B94" s="155" t="s">
        <v>185</v>
      </c>
      <c r="C94" s="20" t="str">
        <f>VLOOKUP(B94,'Detailed Update'!B:C,2,FALSE)</f>
        <v xml:space="preserve">Expansion of Tabuk BSP &amp; Duba BSP </v>
      </c>
      <c r="D94" s="13" t="s">
        <v>717</v>
      </c>
      <c r="E94" s="14">
        <f>VLOOKUP(B94,'Detailed Update'!B:D,3,FALSE)</f>
        <v>45305</v>
      </c>
      <c r="F94" s="18">
        <f>VLOOKUP(B94,'Detailed Update'!B:T,4,FALSE)</f>
        <v>0.92230000000000001</v>
      </c>
      <c r="G94" s="18">
        <f>VLOOKUP(B94,'Detailed Update'!B:T,5,FALSE)</f>
        <v>0.91979999999999995</v>
      </c>
      <c r="H94" s="18">
        <f t="shared" si="6"/>
        <v>-2.5000000000000577E-3</v>
      </c>
      <c r="I94" s="7" t="str">
        <f>VLOOKUP(B94,'Detailed Update'!B:I,6,FALSE)</f>
        <v xml:space="preserve">SEC </v>
      </c>
      <c r="J94" s="7" t="str">
        <f>VLOOKUP(B94,'Detailed Update'!B:I,7,FALSE)</f>
        <v>Western</v>
      </c>
      <c r="K94" s="7" t="str">
        <f>VLOOKUP(B94,'Detailed Update'!B:I,8,FALSE)</f>
        <v>Tabuk &amp; Duba</v>
      </c>
      <c r="L94" s="17" t="s">
        <v>33</v>
      </c>
      <c r="M94" s="10">
        <f>VLOOKUP(B94,'Detailed Update'!B:T,11,FALSE)</f>
        <v>46036</v>
      </c>
      <c r="N94" s="10">
        <f>VLOOKUP(B94,'Detailed Update'!B:T,12,FALSE)</f>
        <v>46356</v>
      </c>
      <c r="O94" s="9">
        <f>VLOOKUP(B94,'Detailed Update'!B:T,13,FALSE)</f>
        <v>46356</v>
      </c>
      <c r="P94" s="184" t="str">
        <f>VLOOKUP(B94,'Detailed Update'!B:U,20,FALSE)</f>
        <v>EOT: EOT approved with revised TCC date of 30-Nov-26.
1) Duba BSP: C5 Dia. SEC granted outage on 30-Apr-26. Dismantling of Reactor, dismantling civil foundation removal completed &amp; construction of new foundation under progress &amp; to be completed before 28-Sep-26. Energization as per revised TCC 30-Nov-26.
2) Tabuk BSP C02 Dia: Outage for bus-bar coupling submitted to SE, however SE informed outage will not be received during current season due to peak load. Expected outage will be around Sep’26. Hence, TCC Request submitted to SE for C02 Dia &amp; under review</v>
      </c>
    </row>
    <row r="95" spans="1:16" ht="22.15" customHeight="1">
      <c r="A95" s="7">
        <f t="shared" si="7"/>
        <v>90</v>
      </c>
      <c r="B95" s="155" t="s">
        <v>187</v>
      </c>
      <c r="C95" s="20" t="str">
        <f>VLOOKUP(B95,'Detailed Update'!B:C,2,FALSE)</f>
        <v>HVDC-4 | COA-WOA | JED-HHR1</v>
      </c>
      <c r="D95" s="13" t="s">
        <v>721</v>
      </c>
      <c r="E95" s="14">
        <f>VLOOKUP(B95,'Detailed Update'!B:D,3,FALSE)</f>
        <v>45470</v>
      </c>
      <c r="F95" s="18">
        <f>VLOOKUP(B95,'Detailed Update'!B:T,4,FALSE)</f>
        <v>0.97170000000000001</v>
      </c>
      <c r="G95" s="18">
        <f>VLOOKUP(B95,'Detailed Update'!B:T,5,FALSE)</f>
        <v>0.94340000000000002</v>
      </c>
      <c r="H95" s="18">
        <f t="shared" si="6"/>
        <v>-2.8299999999999992E-2</v>
      </c>
      <c r="I95" s="7" t="str">
        <f>VLOOKUP(B95,'Detailed Update'!B:I,6,FALSE)</f>
        <v xml:space="preserve">SEC </v>
      </c>
      <c r="J95" s="7" t="str">
        <f>VLOOKUP(B95,'Detailed Update'!B:I,7,FALSE)</f>
        <v>Western</v>
      </c>
      <c r="K95" s="7" t="str">
        <f>VLOOKUP(B95,'Detailed Update'!B:I,8,FALSE)</f>
        <v>Jeddah</v>
      </c>
      <c r="L95" s="17" t="s">
        <v>53</v>
      </c>
      <c r="M95" s="10">
        <f>VLOOKUP(B95,'Detailed Update'!B:T,11,FALSE)</f>
        <v>46387</v>
      </c>
      <c r="N95" s="10">
        <f>VLOOKUP(B95,'Detailed Update'!B:T,12,FALSE)</f>
        <v>46387</v>
      </c>
      <c r="O95" s="9">
        <f>VLOOKUP(B95,'Detailed Update'!B:T,13,FALSE)</f>
        <v>46408</v>
      </c>
      <c r="P95" s="184" t="str">
        <f>VLOOKUP(B95,'Detailed Update'!B:U,20,FALSE)</f>
        <v>1) Remote end works.
2) Pole 1 &amp; Pole 2 valve hall equipment installation.
3) Pending materials delivery (CET partial materials and FF Materials).</v>
      </c>
    </row>
    <row r="96" spans="1:16" ht="22.15" customHeight="1">
      <c r="A96" s="7">
        <f t="shared" si="7"/>
        <v>91</v>
      </c>
      <c r="B96" s="155" t="s">
        <v>189</v>
      </c>
      <c r="C96" s="20" t="str">
        <f>VLOOKUP(B96,'Detailed Update'!B:C,2,FALSE)</f>
        <v>Stage-2 HVDC OHTL COA-WOA</v>
      </c>
      <c r="D96" s="13" t="s">
        <v>734</v>
      </c>
      <c r="E96" s="14">
        <f>VLOOKUP(B96,'Detailed Update'!B:D,3,FALSE)</f>
        <v>45526</v>
      </c>
      <c r="F96" s="18">
        <f>VLOOKUP(B96,'Detailed Update'!B:T,4,FALSE)</f>
        <v>0.96299999999999997</v>
      </c>
      <c r="G96" s="18">
        <f>VLOOKUP(B96,'Detailed Update'!B:T,5,FALSE)</f>
        <v>0.82</v>
      </c>
      <c r="H96" s="18">
        <f t="shared" si="6"/>
        <v>-0.14300000000000002</v>
      </c>
      <c r="I96" s="7" t="str">
        <f>VLOOKUP(B96,'Detailed Update'!B:I,6,FALSE)</f>
        <v xml:space="preserve">SEC </v>
      </c>
      <c r="J96" s="7" t="str">
        <f>VLOOKUP(B96,'Detailed Update'!B:I,7,FALSE)</f>
        <v>Western</v>
      </c>
      <c r="K96" s="7" t="str">
        <f>VLOOKUP(B96,'Detailed Update'!B:I,8,FALSE)</f>
        <v>Jeddah</v>
      </c>
      <c r="L96" s="17" t="s">
        <v>53</v>
      </c>
      <c r="M96" s="10">
        <f>VLOOKUP(B96,'Detailed Update'!B:T,11,FALSE)</f>
        <v>46256</v>
      </c>
      <c r="N96" s="10">
        <f>VLOOKUP(B96,'Detailed Update'!B:T,12,FALSE)</f>
        <v>46387</v>
      </c>
      <c r="O96" s="9">
        <f>VLOOKUP(B96,'Detailed Update'!B:T,13,FALSE)</f>
        <v>46440</v>
      </c>
      <c r="P96" s="184" t="str">
        <f>VLOOKUP(B96,'Detailed Update'!B:U,20,FALSE)</f>
        <v>1) EOT has been submitted to SE on 07-Jul-26 with TCC date 22-Jan-27 under approval with SE.
2) Variation order for increase of Route length is in under approval stage with Rev TCC date 31-Dec-26.
3) Proposed FAT for remaining Combined Towers tentatively by 10-Aug which will affect TCC by 5 Months.
4) Delay in delivery of E &amp; D SPL Tower material (Proposed date by supplier Nov-26).
5) The outage for the diversion scope is expected to occur in October 2026, which is expected to delay the TCC completion to Feb 2027.</v>
      </c>
    </row>
    <row r="97" spans="1:16" ht="22.15" customHeight="1">
      <c r="A97" s="7">
        <f t="shared" si="7"/>
        <v>92</v>
      </c>
      <c r="B97" s="155" t="s">
        <v>190</v>
      </c>
      <c r="C97" s="20" t="str">
        <f>VLOOKUP(B97,'Detailed Update'!B:C,2,FALSE)</f>
        <v>SEC | 132KKV OHTL Tabuk</v>
      </c>
      <c r="D97" s="13" t="s">
        <v>735</v>
      </c>
      <c r="E97" s="14">
        <f>VLOOKUP(B97,'Detailed Update'!B:D,3,FALSE)</f>
        <v>45601</v>
      </c>
      <c r="F97" s="18">
        <f>VLOOKUP(B97,'Detailed Update'!B:T,4,FALSE)</f>
        <v>0.995</v>
      </c>
      <c r="G97" s="18">
        <f>VLOOKUP(B97,'Detailed Update'!B:T,5,FALSE)</f>
        <v>0.94930000000000003</v>
      </c>
      <c r="H97" s="18">
        <f t="shared" si="6"/>
        <v>-4.5699999999999963E-2</v>
      </c>
      <c r="I97" s="7" t="str">
        <f>VLOOKUP(B97,'Detailed Update'!B:I,6,FALSE)</f>
        <v xml:space="preserve">SEC </v>
      </c>
      <c r="J97" s="7" t="str">
        <f>VLOOKUP(B97,'Detailed Update'!B:I,7,FALSE)</f>
        <v>Western</v>
      </c>
      <c r="K97" s="7" t="str">
        <f>VLOOKUP(B97,'Detailed Update'!B:I,8,FALSE)</f>
        <v>Tabuk</v>
      </c>
      <c r="L97" s="17" t="s">
        <v>26</v>
      </c>
      <c r="M97" s="10">
        <f>VLOOKUP(B97,'Detailed Update'!B:T,11,FALSE)</f>
        <v>46117</v>
      </c>
      <c r="N97" s="10">
        <f>VLOOKUP(B97,'Detailed Update'!B:T,12,FALSE)</f>
        <v>46178</v>
      </c>
      <c r="O97" s="9">
        <f>VLOOKUP(B97,'Detailed Update'!B:T,13,FALSE)</f>
        <v>46236</v>
      </c>
      <c r="P97" s="184" t="str">
        <f>VLOOKUP(B97,'Detailed Update'!B:U,20,FALSE)</f>
        <v>1)TCC Received on 02-Aug-26
2)Acceleration in Mechanical works inside Tunnel Buhaira  BSP
3) Acceleration in Access road &amp; Structure Pad final layer</v>
      </c>
    </row>
    <row r="98" spans="1:16" ht="22.15" customHeight="1">
      <c r="A98" s="7">
        <f t="shared" si="7"/>
        <v>93</v>
      </c>
      <c r="B98" s="155" t="s">
        <v>191</v>
      </c>
      <c r="C98" s="20" t="str">
        <f>VLOOKUP(B98,'Detailed Update'!B:C,2,FALSE)</f>
        <v>UMM AL-QURA CEMENT OHTL</v>
      </c>
      <c r="D98" s="13" t="s">
        <v>736</v>
      </c>
      <c r="E98" s="14">
        <f>VLOOKUP(B98,'Detailed Update'!B:D,3,FALSE)</f>
        <v>45601</v>
      </c>
      <c r="F98" s="18">
        <f>VLOOKUP(B98,'Detailed Update'!B:T,4,FALSE)</f>
        <v>1</v>
      </c>
      <c r="G98" s="18">
        <f>VLOOKUP(B98,'Detailed Update'!B:T,5,FALSE)</f>
        <v>0.74550000000000005</v>
      </c>
      <c r="H98" s="18">
        <f>G98-F98</f>
        <v>-0.25449999999999995</v>
      </c>
      <c r="I98" s="7" t="str">
        <f>VLOOKUP(B98,'Detailed Update'!B:I,6,FALSE)</f>
        <v xml:space="preserve">SEC </v>
      </c>
      <c r="J98" s="7" t="str">
        <f>VLOOKUP(B98,'Detailed Update'!B:I,7,FALSE)</f>
        <v>Western</v>
      </c>
      <c r="K98" s="7" t="str">
        <f>VLOOKUP(B98,'Detailed Update'!B:I,8,FALSE)</f>
        <v>Makkah</v>
      </c>
      <c r="L98" s="17" t="s">
        <v>33</v>
      </c>
      <c r="M98" s="10">
        <f>VLOOKUP(B98,'Detailed Update'!B:T,11,FALSE)</f>
        <v>46086</v>
      </c>
      <c r="N98" s="10">
        <f>VLOOKUP(B98,'Detailed Update'!B:T,12,FALSE)</f>
        <v>46086</v>
      </c>
      <c r="O98" s="9">
        <f>VLOOKUP(B98,'Detailed Update'!B:T,13,FALSE)</f>
        <v>46352</v>
      </c>
      <c r="P98" s="357" t="str">
        <f>VLOOKUP(B98,'Detailed Update'!B:U,20,FALSE)</f>
        <v>1)Slow Rate in Tower Erection &amp; Stringing Works
2)Change order and EOT approvals to be expedited for new revised milestones.</v>
      </c>
    </row>
    <row r="99" spans="1:16" ht="22.15" customHeight="1">
      <c r="A99" s="7">
        <f t="shared" si="7"/>
        <v>94</v>
      </c>
      <c r="B99" s="155" t="s">
        <v>192</v>
      </c>
      <c r="C99" s="20" t="str">
        <f>VLOOKUP(B99,'Detailed Update'!B:C,2,FALSE)</f>
        <v>110KV OHTL FOR MAADEN-AL MAHAD</v>
      </c>
      <c r="D99" s="13" t="s">
        <v>722</v>
      </c>
      <c r="E99" s="14">
        <f>VLOOKUP(B99,'Detailed Update'!B:D,3,FALSE)</f>
        <v>45648</v>
      </c>
      <c r="F99" s="18">
        <f>VLOOKUP(B99,'Detailed Update'!B:T,4,FALSE)</f>
        <v>0.99829999999999997</v>
      </c>
      <c r="G99" s="18">
        <f>VLOOKUP(B99,'Detailed Update'!B:T,5,FALSE)</f>
        <v>0.69359999999999999</v>
      </c>
      <c r="H99" s="18">
        <f t="shared" si="6"/>
        <v>-0.30469999999999997</v>
      </c>
      <c r="I99" s="7" t="str">
        <f>VLOOKUP(B99,'Detailed Update'!B:I,6,FALSE)</f>
        <v xml:space="preserve">SEC </v>
      </c>
      <c r="J99" s="7" t="str">
        <f>VLOOKUP(B99,'Detailed Update'!B:I,7,FALSE)</f>
        <v>Western</v>
      </c>
      <c r="K99" s="7" t="str">
        <f>VLOOKUP(B99,'Detailed Update'!B:I,8,FALSE)</f>
        <v>Madinah</v>
      </c>
      <c r="L99" s="17" t="s">
        <v>53</v>
      </c>
      <c r="M99" s="10">
        <f>VLOOKUP(B99,'Detailed Update'!B:T,11,FALSE)</f>
        <v>46164</v>
      </c>
      <c r="N99" s="10">
        <f>VLOOKUP(B99,'Detailed Update'!B:T,12,FALSE)</f>
        <v>46164</v>
      </c>
      <c r="O99" s="9">
        <f>VLOOKUP(B99,'Detailed Update'!B:T,13,FALSE)</f>
        <v>46387</v>
      </c>
      <c r="P99" s="357" t="str">
        <f>VLOOKUP(B99,'Detailed Update'!B:U,20,FALSE)</f>
        <v>1) Revised EOT Submitted to SEC on 21-Jun-26 with TCC date 10-Mar-27 under approval with SEC
2) SE notified of Required route deviation due to future plans for a factory, required reworks (Dismantling of erected towers) &amp; additional qty.
3) Foundation concrete works delayed due to late delivery of concrete.
4) Angle Towers erection should expedite to avoid further delay in stringing works					
5) Delay in Commencement of Stringing works due to Tower shortage material</v>
      </c>
    </row>
    <row r="100" spans="1:16" ht="22.15" customHeight="1">
      <c r="A100" s="7">
        <f t="shared" si="7"/>
        <v>95</v>
      </c>
      <c r="B100" s="155" t="s">
        <v>193</v>
      </c>
      <c r="C100" s="20" t="str">
        <f>VLOOKUP(B100,'Detailed Update'!B:C,2,FALSE)</f>
        <v>Battery Energy (BESS) -Rabigh</v>
      </c>
      <c r="D100" s="13" t="s">
        <v>737</v>
      </c>
      <c r="E100" s="14">
        <f>VLOOKUP(B100,'Detailed Update'!B:D,3,FALSE)</f>
        <v>45642</v>
      </c>
      <c r="F100" s="18">
        <f>VLOOKUP(B100,'Detailed Update'!B:T,4,FALSE)</f>
        <v>1</v>
      </c>
      <c r="G100" s="18">
        <f>VLOOKUP(B100,'Detailed Update'!B:T,5,FALSE)</f>
        <v>0.98670000000000002</v>
      </c>
      <c r="H100" s="18">
        <f t="shared" si="6"/>
        <v>-1.3299999999999979E-2</v>
      </c>
      <c r="I100" s="7" t="str">
        <f>VLOOKUP(B100,'Detailed Update'!B:I,6,FALSE)</f>
        <v xml:space="preserve">SEC </v>
      </c>
      <c r="J100" s="7" t="str">
        <f>VLOOKUP(B100,'Detailed Update'!B:I,7,FALSE)</f>
        <v>Western</v>
      </c>
      <c r="K100" s="7" t="str">
        <f>VLOOKUP(B100,'Detailed Update'!B:I,8,FALSE)</f>
        <v>Rabigh</v>
      </c>
      <c r="L100" s="17" t="s">
        <v>53</v>
      </c>
      <c r="M100" s="10">
        <f>VLOOKUP(B100,'Detailed Update'!B:T,11,FALSE)</f>
        <v>46158</v>
      </c>
      <c r="N100" s="10">
        <f>VLOOKUP(B100,'Detailed Update'!B:T,12,FALSE)</f>
        <v>46158</v>
      </c>
      <c r="O100" s="9">
        <f>VLOOKUP(B100,'Detailed Update'!B:T,13,FALSE)</f>
        <v>46152</v>
      </c>
      <c r="P100" s="184" t="str">
        <f>VLOOKUP(B100,'Detailed Update'!B:U,20,FALSE)</f>
        <v>Energization done</v>
      </c>
    </row>
    <row r="101" spans="1:16" ht="22.15" customHeight="1">
      <c r="A101" s="7">
        <f t="shared" si="7"/>
        <v>96</v>
      </c>
      <c r="B101" s="155" t="s">
        <v>194</v>
      </c>
      <c r="C101" s="20" t="str">
        <f>VLOOKUP(B101,'Detailed Update'!B:C,2,FALSE)</f>
        <v>Arafat SS</v>
      </c>
      <c r="D101" s="13" t="s">
        <v>738</v>
      </c>
      <c r="E101" s="14">
        <f>VLOOKUP(B101,'Detailed Update'!B:D,3,FALSE)</f>
        <v>45726</v>
      </c>
      <c r="F101" s="18">
        <f>VLOOKUP(B101,'Detailed Update'!B:T,4,FALSE)</f>
        <v>0.87060000000000004</v>
      </c>
      <c r="G101" s="18">
        <f>VLOOKUP(B101,'Detailed Update'!B:T,5,FALSE)</f>
        <v>0.70509999999999995</v>
      </c>
      <c r="H101" s="18">
        <f t="shared" si="6"/>
        <v>-0.16550000000000009</v>
      </c>
      <c r="I101" s="7" t="str">
        <f>VLOOKUP(B101,'Detailed Update'!B:I,6,FALSE)</f>
        <v xml:space="preserve">SEC </v>
      </c>
      <c r="J101" s="7" t="str">
        <f>VLOOKUP(B101,'Detailed Update'!B:I,7,FALSE)</f>
        <v>Western</v>
      </c>
      <c r="K101" s="7" t="str">
        <f>VLOOKUP(B101,'Detailed Update'!B:I,8,FALSE)</f>
        <v>Makkah</v>
      </c>
      <c r="L101" s="17" t="s">
        <v>53</v>
      </c>
      <c r="M101" s="10">
        <f>VLOOKUP(B101,'Detailed Update'!B:T,11,FALSE)</f>
        <v>46275</v>
      </c>
      <c r="N101" s="10">
        <f>VLOOKUP(B101,'Detailed Update'!B:T,12,FALSE)</f>
        <v>46275</v>
      </c>
      <c r="O101" s="9">
        <f>VLOOKUP(B101,'Detailed Update'!B:T,13,FALSE)</f>
        <v>46336</v>
      </c>
      <c r="P101" s="357" t="str">
        <f>VLOOKUP(B101,'Detailed Update'!B:U,20,FALSE)</f>
        <v>1. EOT submitted on  20-May-26 with TCC upto 8-Oct-26, SE comments received on 4th Jun 26 need to be resubmit the EOT.
2. Shutdown required from SE by Oct-26.</v>
      </c>
    </row>
    <row r="102" spans="1:16" ht="22.15" customHeight="1">
      <c r="A102" s="7">
        <f t="shared" si="7"/>
        <v>97</v>
      </c>
      <c r="B102" s="157" t="s">
        <v>195</v>
      </c>
      <c r="C102" s="20" t="str">
        <f>VLOOKUP(B102,'Detailed Update'!B:C,2,FALSE)</f>
        <v>Construction of Tabuk Substation for BESS</v>
      </c>
      <c r="D102" s="13" t="s">
        <v>739</v>
      </c>
      <c r="E102" s="14">
        <f>VLOOKUP(B102,'Detailed Update'!B:D,3,FALSE)</f>
        <v>45841</v>
      </c>
      <c r="F102" s="18">
        <f>VLOOKUP(B102,'Detailed Update'!B:T,4,FALSE)</f>
        <v>1</v>
      </c>
      <c r="G102" s="18">
        <f>VLOOKUP(B102,'Detailed Update'!B:T,5,FALSE)</f>
        <v>0.75419999999999998</v>
      </c>
      <c r="H102" s="18">
        <f t="shared" si="6"/>
        <v>-0.24580000000000002</v>
      </c>
      <c r="I102" s="7" t="str">
        <f>VLOOKUP(B102,'Detailed Update'!B:I,6,FALSE)</f>
        <v xml:space="preserve">SEC </v>
      </c>
      <c r="J102" s="7" t="str">
        <f>VLOOKUP(B102,'Detailed Update'!B:I,7,FALSE)</f>
        <v>Western</v>
      </c>
      <c r="K102" s="7" t="str">
        <f>VLOOKUP(B102,'Detailed Update'!B:I,8,FALSE)</f>
        <v>Tabuk</v>
      </c>
      <c r="L102" s="17" t="s">
        <v>53</v>
      </c>
      <c r="M102" s="10">
        <f>VLOOKUP(B102,'Detailed Update'!B:T,11,FALSE)</f>
        <v>46176</v>
      </c>
      <c r="N102" s="10">
        <f>VLOOKUP(B102,'Detailed Update'!B:T,12,FALSE)</f>
        <v>46176</v>
      </c>
      <c r="O102" s="9">
        <f>VLOOKUP(B102,'Detailed Update'!B:T,13,FALSE)</f>
        <v>46273</v>
      </c>
      <c r="P102" s="357" t="str">
        <f>VLOOKUP(B102,'Detailed Update'!B:U,20,FALSE)</f>
        <v xml:space="preserve">1. Approval Detailed Design for switchgear, ACDB &amp; PDMS
2. Delay in Delivering HGIS from Hitachi for second bay 
3. Delay in Delivering for 125v DC System
4. Approval for FEED package
5. Delay in Inputs for Grid Studies from BYD 
6. FAT confirmation for Auxiliary Transformer, Lighting Panels, ACDB, DSM, TFR
7. PDC Support required for approval of DSM &amp; TFR.
8. AMI DESIGN APPROVAL
9. FIBER OPTIC ROUTE PLAN.
10. BASE DESIGN APPROVAL FOR TRANSFORMER.
11. DELIOVERY CONFRIATION OF FIRE PUMP MATERIAL </v>
      </c>
    </row>
    <row r="103" spans="1:16" ht="22.15" customHeight="1">
      <c r="A103" s="7">
        <f t="shared" si="7"/>
        <v>98</v>
      </c>
      <c r="B103" s="157" t="s">
        <v>196</v>
      </c>
      <c r="C103" s="20" t="str">
        <f>VLOOKUP(B103,'Detailed Update'!B:C,2,FALSE)</f>
        <v>CONSTRUCTION OF ALWESSAM TAIF 110/13.SKV SUBSTATION IN TAIF</v>
      </c>
      <c r="D103" s="13" t="s">
        <v>740</v>
      </c>
      <c r="E103" s="14">
        <f>VLOOKUP(B103,'Detailed Update'!B:D,3,FALSE)</f>
        <v>45860</v>
      </c>
      <c r="F103" s="18">
        <f>VLOOKUP(B103,'Detailed Update'!B:T,4,FALSE)</f>
        <v>0.55449999999999999</v>
      </c>
      <c r="G103" s="18">
        <f>VLOOKUP(B103,'Detailed Update'!B:T,5,FALSE)</f>
        <v>0.2641</v>
      </c>
      <c r="H103" s="18">
        <f t="shared" si="6"/>
        <v>-0.29039999999999999</v>
      </c>
      <c r="I103" s="7" t="str">
        <f>VLOOKUP(B103,'Detailed Update'!B:I,6,FALSE)</f>
        <v xml:space="preserve">SEC </v>
      </c>
      <c r="J103" s="7" t="str">
        <f>VLOOKUP(B103,'Detailed Update'!B:I,7,FALSE)</f>
        <v>Western</v>
      </c>
      <c r="K103" s="7" t="str">
        <f>VLOOKUP(B103,'Detailed Update'!B:I,8,FALSE)</f>
        <v>Taif</v>
      </c>
      <c r="L103" s="17" t="s">
        <v>53</v>
      </c>
      <c r="M103" s="10">
        <f>VLOOKUP(B103,'Detailed Update'!B:T,11,FALSE)</f>
        <v>46409</v>
      </c>
      <c r="N103" s="10">
        <f>VLOOKUP(B103,'Detailed Update'!B:T,12,FALSE)</f>
        <v>46409</v>
      </c>
      <c r="O103" s="9">
        <f>VLOOKUP(B103,'Detailed Update'!B:T,13,FALSE)</f>
        <v>46568</v>
      </c>
      <c r="P103" s="184" t="str">
        <f>VLOOKUP(B103,'Detailed Update'!B:U,20,FALSE)</f>
        <v>1) Delay notification sent to SEC, Due to delay in issuance of construction permit &amp; delay in design (08 Months)
2) Steel binding work &amp; formwork for Main Building wall in progress 
3) Structural design approval needs to be expedited</v>
      </c>
    </row>
    <row r="104" spans="1:16" ht="22.15" customHeight="1">
      <c r="A104" s="7">
        <f t="shared" si="7"/>
        <v>99</v>
      </c>
      <c r="B104" s="159" t="s">
        <v>197</v>
      </c>
      <c r="C104" s="20" t="str">
        <f>VLOOKUP(B104,'Detailed Update'!B:C,2,FALSE)</f>
        <v>CONSTRUCTION OF A NEW 132/13.8KV SUBSTATION RABIAH TABUK (RBTBK) &amp; ITS 132KV INTERCONNECTION IN TABUK</v>
      </c>
      <c r="D104" s="13" t="s">
        <v>717</v>
      </c>
      <c r="E104" s="14">
        <f>VLOOKUP(B104,'Detailed Update'!B:D,3,FALSE)</f>
        <v>45911</v>
      </c>
      <c r="F104" s="18">
        <f>VLOOKUP(B104,'Detailed Update'!B:T,4,FALSE)</f>
        <v>0.35830000000000001</v>
      </c>
      <c r="G104" s="18">
        <f>VLOOKUP(B104,'Detailed Update'!B:T,5,FALSE)</f>
        <v>0.313</v>
      </c>
      <c r="H104" s="18">
        <f t="shared" si="6"/>
        <v>-4.5300000000000007E-2</v>
      </c>
      <c r="I104" s="7" t="str">
        <f>VLOOKUP(B104,'Detailed Update'!B:I,6,FALSE)</f>
        <v xml:space="preserve">SEC </v>
      </c>
      <c r="J104" s="7" t="str">
        <f>VLOOKUP(B104,'Detailed Update'!B:I,7,FALSE)</f>
        <v>Western</v>
      </c>
      <c r="K104" s="7" t="str">
        <f>VLOOKUP(B104,'Detailed Update'!B:I,8,FALSE)</f>
        <v>Tabuk</v>
      </c>
      <c r="L104" s="17" t="s">
        <v>53</v>
      </c>
      <c r="M104" s="10">
        <f>VLOOKUP(B104,'Detailed Update'!B:T,11,FALSE)</f>
        <v>46457</v>
      </c>
      <c r="N104" s="10">
        <f>VLOOKUP(B104,'Detailed Update'!B:T,12,FALSE)</f>
        <v>46457</v>
      </c>
      <c r="O104" s="9">
        <f>VLOOKUP(B104,'Detailed Update'!B:T,13,FALSE)</f>
        <v>46610</v>
      </c>
      <c r="P104" s="184" t="str">
        <f>VLOOKUP(B104,'Detailed Update'!B:U,20,FALSE)</f>
        <v>1) Delay in commencement of OHTL works due to SE E&amp;DD's new requirements and involvement of SE S&amp;SD.
2) Power Transformer delivery requires advancement by at least two months to meet the energization target. The supplier is not agreeing to/confirming the expected FAT and delivery dates before Dec-26. Due to the current global situation, the supplier has indicated that the FAT/delivery may be delayed until Jan./Feb. 2027.
3) Delay in submission and approval of Remote End design and drawings due to delay from SE in providing the existing data.
4) OHTL Line Strings have a long delivery lead time, and SE has been requested to provide the material on a borrowing basis from the SE store, subject to availability.
5) Delay in OHTL Tower works.</v>
      </c>
    </row>
    <row r="105" spans="1:16" ht="22.15" customHeight="1">
      <c r="A105" s="7">
        <f t="shared" si="7"/>
        <v>100</v>
      </c>
      <c r="B105" s="159" t="s">
        <v>198</v>
      </c>
      <c r="C105" s="20" t="str">
        <f>VLOOKUP(B105,'Detailed Update'!B:C,2,FALSE)</f>
        <v>CONSTRUCTION OF A NEW 110/13.8 kV SUBSTATION Al-Arfa (ARFA-G) IN TAIF UNDER GRANT SCHEMES PROGRAM</v>
      </c>
      <c r="D105" s="13" t="s">
        <v>720</v>
      </c>
      <c r="E105" s="14">
        <f>VLOOKUP(B105,'Detailed Update'!B:D,3,FALSE)</f>
        <v>45937</v>
      </c>
      <c r="F105" s="18">
        <f>VLOOKUP(B105,'Detailed Update'!B:T,4,FALSE)</f>
        <v>0.3826</v>
      </c>
      <c r="G105" s="18">
        <f>VLOOKUP(B105,'Detailed Update'!B:T,5,FALSE)</f>
        <v>0.2291</v>
      </c>
      <c r="H105" s="18">
        <f t="shared" si="6"/>
        <v>-0.1535</v>
      </c>
      <c r="I105" s="7" t="str">
        <f>VLOOKUP(B105,'Detailed Update'!B:I,6,FALSE)</f>
        <v xml:space="preserve">SEC </v>
      </c>
      <c r="J105" s="7" t="str">
        <f>VLOOKUP(B105,'Detailed Update'!B:I,7,FALSE)</f>
        <v>Western</v>
      </c>
      <c r="K105" s="7" t="str">
        <f>VLOOKUP(B105,'Detailed Update'!B:I,8,FALSE)</f>
        <v>Taif</v>
      </c>
      <c r="L105" s="17" t="s">
        <v>53</v>
      </c>
      <c r="M105" s="10">
        <f>VLOOKUP(B105,'Detailed Update'!B:T,11,FALSE)</f>
        <v>46484</v>
      </c>
      <c r="N105" s="10">
        <f>VLOOKUP(B105,'Detailed Update'!B:T,12,FALSE)</f>
        <v>46484</v>
      </c>
      <c r="O105" s="9">
        <f>VLOOKUP(B105,'Detailed Update'!B:T,13,FALSE)</f>
        <v>46573</v>
      </c>
      <c r="P105" s="184" t="str">
        <f>VLOOKUP(B105,'Detailed Update'!B:U,20,FALSE)</f>
        <v xml:space="preserve">1) Construction Sub Structure forecast completion date: 23-Sep-26.
2) Construction Super Structure forecast completion date: 26-Nov-26.                   </v>
      </c>
    </row>
    <row r="106" spans="1:16" ht="22.15" customHeight="1">
      <c r="A106" s="7">
        <f t="shared" si="7"/>
        <v>101</v>
      </c>
      <c r="B106" s="159" t="s">
        <v>199</v>
      </c>
      <c r="C106" s="20" t="str">
        <f>VLOOKUP(B106,'Detailed Update'!B:C,2,FALSE)</f>
        <v>Installation of New STATCOM ±300MV AR At 132kV Level At Northern BSP</v>
      </c>
      <c r="D106" s="13" t="s">
        <v>733</v>
      </c>
      <c r="E106" s="14">
        <f>VLOOKUP(B106,'Detailed Update'!B:D,3,FALSE)</f>
        <v>45959</v>
      </c>
      <c r="F106" s="18">
        <f>VLOOKUP(B106,'Detailed Update'!B:T,4,FALSE)</f>
        <v>0.20019999999999999</v>
      </c>
      <c r="G106" s="18">
        <f>VLOOKUP(B106,'Detailed Update'!B:T,5,FALSE)</f>
        <v>0.14510000000000001</v>
      </c>
      <c r="H106" s="18">
        <f t="shared" si="6"/>
        <v>-5.5099999999999982E-2</v>
      </c>
      <c r="I106" s="7" t="str">
        <f>VLOOKUP(B106,'Detailed Update'!B:I,6,FALSE)</f>
        <v xml:space="preserve">SEC </v>
      </c>
      <c r="J106" s="7" t="str">
        <f>VLOOKUP(B106,'Detailed Update'!B:I,7,FALSE)</f>
        <v>Western</v>
      </c>
      <c r="K106" s="7" t="str">
        <f>VLOOKUP(B106,'Detailed Update'!B:I,8,FALSE)</f>
        <v>Al Ula</v>
      </c>
      <c r="L106" s="17" t="s">
        <v>53</v>
      </c>
      <c r="M106" s="10">
        <f>VLOOKUP(B106,'Detailed Update'!B:T,11,FALSE)</f>
        <v>46963</v>
      </c>
      <c r="N106" s="10">
        <f>VLOOKUP(B106,'Detailed Update'!B:T,12,FALSE)</f>
        <v>46963</v>
      </c>
      <c r="O106" s="9">
        <f>VLOOKUP(B106,'Detailed Update'!B:T,13,FALSE)</f>
        <v>46883</v>
      </c>
      <c r="P106" s="184" t="str">
        <f>VLOOKUP(B106,'Detailed Update'!B:U,20,FALSE)</f>
        <v>1) Vendor finalization is pending for Lightning Protection, HVAC, and Cable Trays; respective design approvals/offers are under process. DPOs for Post Insulator and Crane are with SCD.
2) STATCOM Building foundation works are delayed due to delay in finalization of the STATCOM Building Architectural &amp; Precast drawings (inputs) by the designer (DAR).</v>
      </c>
    </row>
    <row r="107" spans="1:16" ht="54">
      <c r="A107" s="7">
        <f t="shared" si="7"/>
        <v>102</v>
      </c>
      <c r="B107" s="159" t="s">
        <v>200</v>
      </c>
      <c r="C107" s="20" t="str">
        <f>VLOOKUP(B107,'Detailed Update'!B:C,2,FALSE)</f>
        <v>CONSTRUCTION OF A NEW 110KV D/C OHTL FOR A NEW 110/13.8KV SUBSTATION Al-Arfa (ARFA-G) IN TAIF UNDER GRANT SCHEMES PROGRAM</v>
      </c>
      <c r="D107" s="13" t="s">
        <v>720</v>
      </c>
      <c r="E107" s="14">
        <f>VLOOKUP(B107,'Detailed Update'!B:D,3,FALSE)</f>
        <v>45946</v>
      </c>
      <c r="F107" s="18">
        <v>0.5121</v>
      </c>
      <c r="G107" s="18">
        <v>0.1983</v>
      </c>
      <c r="H107" s="18">
        <f t="shared" si="6"/>
        <v>-0.31379999999999997</v>
      </c>
      <c r="I107" s="7" t="str">
        <f>VLOOKUP(B107,'Detailed Update'!B:I,6,FALSE)</f>
        <v xml:space="preserve">SEC </v>
      </c>
      <c r="J107" s="7" t="str">
        <f>VLOOKUP(B107,'Detailed Update'!B:I,7,FALSE)</f>
        <v>Western</v>
      </c>
      <c r="K107" s="7" t="str">
        <f>VLOOKUP(B107,'Detailed Update'!B:I,8,FALSE)</f>
        <v>Taif</v>
      </c>
      <c r="L107" s="17" t="s">
        <v>53</v>
      </c>
      <c r="M107" s="10">
        <f>VLOOKUP(B107,'Detailed Update'!B:T,11,FALSE)</f>
        <v>46462</v>
      </c>
      <c r="N107" s="10">
        <f>VLOOKUP(B107,'Detailed Update'!B:T,12,FALSE)</f>
        <v>46462</v>
      </c>
      <c r="O107" s="9">
        <f>VLOOKUP(B107,'Detailed Update'!B:T,13,FALSE)</f>
        <v>46584</v>
      </c>
      <c r="P107" s="357" t="str">
        <f>VLOOKUP(B107,'Detailed Update'!B:U,20,FALSE)</f>
        <v>1) Delay in GAFM for Insulator. 
2) Delay in GAFM for Hardware Fittings.
3) Delay in Soil investigation and Foundation work Design.</v>
      </c>
    </row>
    <row r="108" spans="1:16" ht="22.15" customHeight="1">
      <c r="A108" s="7">
        <f t="shared" si="7"/>
        <v>103</v>
      </c>
      <c r="B108" s="159" t="s">
        <v>201</v>
      </c>
      <c r="C108" s="20" t="str">
        <f>VLOOKUP(B108,'Detailed Update'!B:C,2,FALSE)</f>
        <v xml:space="preserve">CONSTRUCTION OF A NEW SUBSTATION KHR-1 380/110 KV BSP &amp; EXP OF EXISTING MHR BSP UNDER
RENEWABLE ENERGY </v>
      </c>
      <c r="D108" s="13" t="s">
        <v>741</v>
      </c>
      <c r="E108" s="14">
        <f>VLOOKUP(B108,'Detailed Update'!B:D,3,FALSE)</f>
        <v>45959</v>
      </c>
      <c r="F108" s="18">
        <f>VLOOKUP(B108,'Detailed Update'!B:T,4,FALSE)</f>
        <v>0.2581</v>
      </c>
      <c r="G108" s="18">
        <f>VLOOKUP(B108,'Detailed Update'!B:T,5,FALSE)</f>
        <v>0.25829999999999997</v>
      </c>
      <c r="H108" s="18">
        <f t="shared" si="6"/>
        <v>1.9999999999997797E-4</v>
      </c>
      <c r="I108" s="7" t="str">
        <f>VLOOKUP(B108,'Detailed Update'!B:I,6,FALSE)</f>
        <v xml:space="preserve">SEC </v>
      </c>
      <c r="J108" s="7" t="str">
        <f>VLOOKUP(B108,'Detailed Update'!B:I,7,FALSE)</f>
        <v>Western</v>
      </c>
      <c r="K108" s="7" t="str">
        <f>VLOOKUP(B108,'Detailed Update'!B:I,8,FALSE)</f>
        <v>Taif</v>
      </c>
      <c r="L108" s="17" t="s">
        <v>53</v>
      </c>
      <c r="M108" s="10">
        <f>VLOOKUP(B108,'Detailed Update'!B:T,11,FALSE)</f>
        <v>46597</v>
      </c>
      <c r="N108" s="10">
        <f>VLOOKUP(B108,'Detailed Update'!B:T,12,FALSE)</f>
        <v>46597</v>
      </c>
      <c r="O108" s="9">
        <f>VLOOKUP(B108,'Detailed Update'!B:T,13,FALSE)</f>
        <v>46597</v>
      </c>
      <c r="P108" s="184" t="str">
        <f>VLOOKUP(B108,'Detailed Update'!B:U,20,FALSE)</f>
        <v>1) P.O issued for GIS in expansion scope to Hitachi,BD modified after site visit and proposal of reactor location and GIB routing under review
2) Reactors BD with tbea, trench china Bushing under sec review waiting confirmation of delivery date
3) Substructure 110kv building-2  not yet approved.  
4) NGR P.O issuance pending due toNGR study</v>
      </c>
    </row>
    <row r="109" spans="1:16" ht="22.15" customHeight="1">
      <c r="A109" s="7">
        <f t="shared" si="7"/>
        <v>104</v>
      </c>
      <c r="B109" s="159" t="s">
        <v>202</v>
      </c>
      <c r="C109" s="20" t="str">
        <f>VLOOKUP(B109,'Detailed Update'!B:C,2,FALSE)</f>
        <v>CONSTRUCTION OF A NEW SUBSTATION KHR-2 380/110 KV BSP UNDER RENEWABLE ENERGY POWER PLANT (WOA)</v>
      </c>
      <c r="D109" s="13" t="s">
        <v>724</v>
      </c>
      <c r="E109" s="14">
        <f>VLOOKUP(B109,'Detailed Update'!B:D,3,FALSE)</f>
        <v>45959</v>
      </c>
      <c r="F109" s="18">
        <f>VLOOKUP(B109,'Detailed Update'!B:T,4,FALSE)</f>
        <v>0.25850000000000001</v>
      </c>
      <c r="G109" s="18">
        <f>VLOOKUP(B109,'Detailed Update'!B:T,5,FALSE)</f>
        <v>0.255</v>
      </c>
      <c r="H109" s="18">
        <f t="shared" si="6"/>
        <v>-3.5000000000000031E-3</v>
      </c>
      <c r="I109" s="7" t="str">
        <f>VLOOKUP(B109,'Detailed Update'!B:I,6,FALSE)</f>
        <v xml:space="preserve">SEC </v>
      </c>
      <c r="J109" s="7" t="str">
        <f>VLOOKUP(B109,'Detailed Update'!B:I,7,FALSE)</f>
        <v>Western</v>
      </c>
      <c r="K109" s="7" t="str">
        <f>VLOOKUP(B109,'Detailed Update'!B:I,8,FALSE)</f>
        <v>Taif</v>
      </c>
      <c r="L109" s="17" t="s">
        <v>53</v>
      </c>
      <c r="M109" s="10">
        <f>VLOOKUP(B109,'Detailed Update'!B:T,11,FALSE)</f>
        <v>46597</v>
      </c>
      <c r="N109" s="10">
        <f>VLOOKUP(B109,'Detailed Update'!B:T,12,FALSE)</f>
        <v>46597</v>
      </c>
      <c r="O109" s="9">
        <f>VLOOKUP(B109,'Detailed Update'!B:T,13,FALSE)</f>
        <v>46597</v>
      </c>
      <c r="P109" s="184" t="str">
        <f>VLOOKUP(B109,'Detailed Update'!B:U,20,FALSE)</f>
        <v>1) Reactors BD with tbea, TEBA as unified desing with SEC, but now changed the BD format it will take one month to modify, it will impact GAFM issues and delivery - TBEA confirmed to deliver equipment within time limit of PO issued.
2) Control Room Building Slab completed</v>
      </c>
    </row>
    <row r="110" spans="1:16" ht="22.15" customHeight="1">
      <c r="A110" s="7">
        <f t="shared" si="7"/>
        <v>105</v>
      </c>
      <c r="B110" s="159" t="s">
        <v>203</v>
      </c>
      <c r="C110" s="20" t="str">
        <f>VLOOKUP(B110,'Detailed Update'!B:C,2,FALSE)</f>
        <v>AL JAMOOM 110/33/13.8KV SUBSTATION (Te3830)</v>
      </c>
      <c r="D110" s="13" t="s">
        <v>725</v>
      </c>
      <c r="E110" s="14">
        <f>VLOOKUP(B110,'Detailed Update'!B:D,3,FALSE)</f>
        <v>46037</v>
      </c>
      <c r="F110" s="18">
        <f>VLOOKUP(B110,'Detailed Update'!B:T,4,FALSE)</f>
        <v>0.02</v>
      </c>
      <c r="G110" s="18">
        <f>VLOOKUP(B110,'Detailed Update'!B:T,5,FALSE)</f>
        <v>0.01</v>
      </c>
      <c r="H110" s="18">
        <f t="shared" si="6"/>
        <v>-0.01</v>
      </c>
      <c r="I110" s="7" t="str">
        <f>VLOOKUP(B110,'Detailed Update'!B:I,6,FALSE)</f>
        <v xml:space="preserve">SEC </v>
      </c>
      <c r="J110" s="7" t="str">
        <f>VLOOKUP(B110,'Detailed Update'!B:I,7,FALSE)</f>
        <v>Western</v>
      </c>
      <c r="K110" s="7" t="str">
        <f>VLOOKUP(B110,'Detailed Update'!B:I,8,FALSE)</f>
        <v>Makkah</v>
      </c>
      <c r="L110" s="17" t="s">
        <v>53</v>
      </c>
      <c r="M110" s="10">
        <f>VLOOKUP(B110,'Detailed Update'!B:T,11,FALSE)</f>
        <v>46583</v>
      </c>
      <c r="N110" s="10">
        <f>VLOOKUP(B110,'Detailed Update'!B:T,12,FALSE)</f>
        <v>46583</v>
      </c>
      <c r="O110" s="9">
        <f>VLOOKUP(B110,'Detailed Update'!B:T,13,FALSE)</f>
        <v>46736</v>
      </c>
      <c r="P110" s="184" t="str">
        <f>VLOOKUP(B110,'Detailed Update'!B:U,20,FALSE)</f>
        <v>1) SE delayed in site hand over and still site co-ordinate not yet confirmed by SE. It will impact the design submission and site commencing works.
2) Delay in issuing BD for main equipment 
3) Delay in engineering Phase</v>
      </c>
    </row>
    <row r="111" spans="1:16" ht="22.15" customHeight="1">
      <c r="A111" s="7">
        <f t="shared" si="7"/>
        <v>106</v>
      </c>
      <c r="B111" s="159" t="s">
        <v>204</v>
      </c>
      <c r="C111" s="20" t="str">
        <f>VLOOKUP(B111,'Detailed Update'!B:C,2,FALSE)</f>
        <v>CONSTRUCTION OF HENAKIYAH-3 PV</v>
      </c>
      <c r="D111" s="13"/>
      <c r="E111" s="14">
        <f>VLOOKUP(B111,'Detailed Update'!B:D,3,FALSE)</f>
        <v>46147</v>
      </c>
      <c r="F111" s="18">
        <f>VLOOKUP(B111,'Detailed Update'!B:T,4,FALSE)</f>
        <v>6.5199999999999994E-2</v>
      </c>
      <c r="G111" s="18">
        <f>VLOOKUP(B111,'Detailed Update'!B:T,5,FALSE)</f>
        <v>6.3399999999999998E-2</v>
      </c>
      <c r="H111" s="18">
        <f t="shared" ref="H111" si="8">G111-F111</f>
        <v>-1.799999999999996E-3</v>
      </c>
      <c r="I111" s="7" t="str">
        <f>VLOOKUP(B111,'Detailed Update'!B:I,6,FALSE)</f>
        <v xml:space="preserve">SEC </v>
      </c>
      <c r="J111" s="7" t="str">
        <f>VLOOKUP(B111,'Detailed Update'!B:I,7,FALSE)</f>
        <v>Western</v>
      </c>
      <c r="K111" s="7" t="str">
        <f>VLOOKUP(B111,'Detailed Update'!B:I,8,FALSE)</f>
        <v>Madinah</v>
      </c>
      <c r="L111" s="17" t="s">
        <v>53</v>
      </c>
      <c r="M111" s="10">
        <f>VLOOKUP(B111,'Detailed Update'!B:T,11,FALSE)</f>
        <v>46878</v>
      </c>
      <c r="N111" s="10">
        <f>VLOOKUP(B111,'Detailed Update'!B:T,12,FALSE)</f>
        <v>46878</v>
      </c>
      <c r="O111" s="9">
        <f>VLOOKUP(B111,'Detailed Update'!B:T,13,FALSE)</f>
        <v>46878</v>
      </c>
      <c r="P111" s="184" t="str">
        <f>VLOOKUP(B111,'Detailed Update'!B:U,20,FALSE)</f>
        <v>1)BL submitted to SE for Approval
2) GLO Approval 
3) delay in site office preparations and mobilization</v>
      </c>
    </row>
    <row r="112" spans="1:16" ht="22.15" customHeight="1">
      <c r="A112" s="4"/>
      <c r="B112" s="154"/>
      <c r="C112" s="5" t="s">
        <v>205</v>
      </c>
      <c r="D112" s="15"/>
      <c r="E112" s="15"/>
      <c r="F112" s="15"/>
      <c r="G112" s="15"/>
      <c r="H112" s="15"/>
      <c r="I112" s="15"/>
      <c r="J112" s="4"/>
      <c r="K112" s="4"/>
      <c r="L112" s="34"/>
      <c r="M112" s="6"/>
      <c r="N112" s="6"/>
      <c r="O112" s="12"/>
      <c r="P112" s="180"/>
    </row>
    <row r="113" spans="1:16" ht="22.15" customHeight="1">
      <c r="A113" s="7">
        <f>A111+1</f>
        <v>107</v>
      </c>
      <c r="B113" s="155" t="s">
        <v>206</v>
      </c>
      <c r="C113" s="20" t="str">
        <f>VLOOKUP(B113,'Detailed Update'!B:C,2,FALSE)</f>
        <v>2X25 MVAR 33KV STATCOM</v>
      </c>
      <c r="D113" s="13" t="s">
        <v>742</v>
      </c>
      <c r="E113" s="14">
        <f>VLOOKUP(B113,'Detailed Update'!B:D,3,FALSE)</f>
        <v>45323</v>
      </c>
      <c r="F113" s="18">
        <f>VLOOKUP(B113,'Detailed Update'!B:T,4,FALSE)</f>
        <v>1</v>
      </c>
      <c r="G113" s="18">
        <f>VLOOKUP(B113,'Detailed Update'!B:T,5,FALSE)</f>
        <v>0.99790000000000001</v>
      </c>
      <c r="H113" s="18">
        <f t="shared" ref="H113:H143" si="9">G113-F113</f>
        <v>-2.0999999999999908E-3</v>
      </c>
      <c r="I113" s="7" t="str">
        <f>VLOOKUP(B113,'Detailed Update'!B:I,6,FALSE)</f>
        <v xml:space="preserve">SEC </v>
      </c>
      <c r="J113" s="7" t="str">
        <f>VLOOKUP(B113,'Detailed Update'!B:I,7,FALSE)</f>
        <v>Southern</v>
      </c>
      <c r="K113" s="7" t="str">
        <f>VLOOKUP(B113,'Detailed Update'!B:I,8,FALSE)</f>
        <v>Al Baha</v>
      </c>
      <c r="L113" s="17" t="str">
        <f>_xlfn.XLOOKUP(B113,'Detailed Update'!B:B,'Detailed Update'!K:K)</f>
        <v>Under Approval</v>
      </c>
      <c r="M113" s="10">
        <f>VLOOKUP(B113,'Detailed Update'!B:T,11,FALSE)</f>
        <v>45931</v>
      </c>
      <c r="N113" s="10">
        <f>VLOOKUP(B113,'Detailed Update'!B:T,12,FALSE)</f>
        <v>45931</v>
      </c>
      <c r="O113" s="363">
        <f>VLOOKUP(B113,'Detailed Update'!B:T,13,FALSE)</f>
        <v>46051</v>
      </c>
      <c r="P113" s="362" t="str">
        <f>_xlfn.XLOOKUP(B113,'Detailed Update'!B:B,'Detailed Update'!U:U)</f>
        <v>TCC Certificate Received, working on Punch list &amp; As-Buildt ongoing</v>
      </c>
    </row>
    <row r="114" spans="1:16" ht="22.15" customHeight="1">
      <c r="A114" s="7">
        <f>A113+1</f>
        <v>108</v>
      </c>
      <c r="B114" s="155" t="s">
        <v>207</v>
      </c>
      <c r="C114" s="20" t="str">
        <f>VLOOKUP(B114,'Detailed Update'!B:C,2,FALSE)</f>
        <v>Al-Kara 132/33 kV SS in Baha Region</v>
      </c>
      <c r="D114" s="13" t="s">
        <v>742</v>
      </c>
      <c r="E114" s="14">
        <f>VLOOKUP(B114,'Detailed Update'!B:D,3,FALSE)</f>
        <v>45242</v>
      </c>
      <c r="F114" s="18">
        <f>VLOOKUP(B114,'Detailed Update'!B:T,4,FALSE)</f>
        <v>1</v>
      </c>
      <c r="G114" s="18">
        <f>VLOOKUP(B114,'Detailed Update'!B:T,5,FALSE)</f>
        <v>0.9657</v>
      </c>
      <c r="H114" s="18">
        <f t="shared" si="9"/>
        <v>-3.4299999999999997E-2</v>
      </c>
      <c r="I114" s="7" t="str">
        <f>VLOOKUP(B114,'Detailed Update'!B:I,6,FALSE)</f>
        <v xml:space="preserve">SEC </v>
      </c>
      <c r="J114" s="7" t="str">
        <f>VLOOKUP(B114,'Detailed Update'!B:I,7,FALSE)</f>
        <v>Southern</v>
      </c>
      <c r="K114" s="7" t="str">
        <f>VLOOKUP(B114,'Detailed Update'!B:I,8,FALSE)</f>
        <v>Al Baha</v>
      </c>
      <c r="L114" s="17" t="str">
        <f>_xlfn.XLOOKUP(B114,'Detailed Update'!B:B,'Detailed Update'!K:K)</f>
        <v>Under Approval</v>
      </c>
      <c r="M114" s="10">
        <f>VLOOKUP(B114,'Detailed Update'!B:T,11,FALSE)</f>
        <v>45850</v>
      </c>
      <c r="N114" s="10">
        <f>VLOOKUP(B114,'Detailed Update'!B:T,12,FALSE)</f>
        <v>45850</v>
      </c>
      <c r="O114" s="9">
        <f>VLOOKUP(B114,'Detailed Update'!B:T,13,FALSE)</f>
        <v>46265</v>
      </c>
      <c r="P114" s="362" t="str">
        <f>_xlfn.XLOOKUP(B114,'Detailed Update'!B:B,'Detailed Update'!U:U)</f>
        <v>Delayed in Delivery of GIS,Power Transformer,SIS,SAS, SWGR. Delayed in T&amp;C part where Remote end provision is yet to provided by Client, T&amp;C almost done waiting for some items which require Shutdown by SE</v>
      </c>
    </row>
    <row r="115" spans="1:16" ht="22.15" customHeight="1">
      <c r="A115" s="7">
        <f t="shared" ref="A115:A146" si="10">A114+1</f>
        <v>109</v>
      </c>
      <c r="B115" s="155" t="s">
        <v>209</v>
      </c>
      <c r="C115" s="20" t="str">
        <f>VLOOKUP(B115,'Detailed Update'!B:C,2,FALSE)</f>
        <v>Qilwah North 132-33kV SS in Tihama</v>
      </c>
      <c r="D115" s="13" t="s">
        <v>743</v>
      </c>
      <c r="E115" s="14">
        <f>VLOOKUP(B115,'Detailed Update'!B:D,3,FALSE)</f>
        <v>45242</v>
      </c>
      <c r="F115" s="18">
        <f>VLOOKUP(B115,'Detailed Update'!B:T,4,FALSE)</f>
        <v>1</v>
      </c>
      <c r="G115" s="18">
        <f>VLOOKUP(B115,'Detailed Update'!B:T,5,FALSE)</f>
        <v>0.96279999999999999</v>
      </c>
      <c r="H115" s="18">
        <f t="shared" si="9"/>
        <v>-3.7200000000000011E-2</v>
      </c>
      <c r="I115" s="7" t="str">
        <f>VLOOKUP(B115,'Detailed Update'!B:I,6,FALSE)</f>
        <v xml:space="preserve">SEC </v>
      </c>
      <c r="J115" s="7" t="str">
        <f>VLOOKUP(B115,'Detailed Update'!B:I,7,FALSE)</f>
        <v>Southern</v>
      </c>
      <c r="K115" s="7" t="str">
        <f>VLOOKUP(B115,'Detailed Update'!B:I,8,FALSE)</f>
        <v>Al Baha</v>
      </c>
      <c r="L115" s="17" t="str">
        <f>_xlfn.XLOOKUP(B115,'Detailed Update'!B:B,'Detailed Update'!K:K)</f>
        <v>Under Approval</v>
      </c>
      <c r="M115" s="10">
        <f>VLOOKUP(B115,'Detailed Update'!B:T,11,FALSE)</f>
        <v>45850</v>
      </c>
      <c r="N115" s="10">
        <f>VLOOKUP(B115,'Detailed Update'!B:T,12,FALSE)</f>
        <v>46093</v>
      </c>
      <c r="O115" s="9">
        <f>VLOOKUP(B115,'Detailed Update'!B:T,13,FALSE)</f>
        <v>46093</v>
      </c>
      <c r="P115" s="362" t="str">
        <f>_xlfn.XLOOKUP(B115,'Detailed Update'!B:B,'Detailed Update'!U:U)</f>
        <v>Delayed in Delivery of GIS,Power Transformer,SIS,SAS, SWGR. Delayed in T&amp;C part where Remote end provision is yet to provided by Client, T&amp;C almost done waiting for some items which require Shutdown by SE
TCC received in on 14-July with certificate date 12-March-2026</v>
      </c>
    </row>
    <row r="116" spans="1:16" ht="22.15" customHeight="1">
      <c r="A116" s="7">
        <f t="shared" si="10"/>
        <v>110</v>
      </c>
      <c r="B116" s="155" t="s">
        <v>210</v>
      </c>
      <c r="C116" s="20" t="str">
        <f>VLOOKUP(B116,'Detailed Update'!B:C,2,FALSE)</f>
        <v>132KV JCDPI- Jazan SS | RC</v>
      </c>
      <c r="D116" s="13" t="s">
        <v>744</v>
      </c>
      <c r="E116" s="14">
        <f>VLOOKUP(B116,'Detailed Update'!B:D,3,FALSE)</f>
        <v>45433</v>
      </c>
      <c r="F116" s="18">
        <f>VLOOKUP(B116,'Detailed Update'!B:T,4,FALSE)</f>
        <v>0.99719999999999998</v>
      </c>
      <c r="G116" s="18">
        <f>VLOOKUP(B116,'Detailed Update'!B:T,5,FALSE)</f>
        <v>0.97850000000000004</v>
      </c>
      <c r="H116" s="18">
        <f t="shared" si="9"/>
        <v>-1.8699999999999939E-2</v>
      </c>
      <c r="I116" s="7" t="str">
        <f>VLOOKUP(B116,'Detailed Update'!B:I,6,FALSE)</f>
        <v xml:space="preserve">SEC </v>
      </c>
      <c r="J116" s="7" t="str">
        <f>VLOOKUP(B116,'Detailed Update'!B:I,7,FALSE)</f>
        <v>Southern</v>
      </c>
      <c r="K116" s="7" t="str">
        <f>VLOOKUP(B116,'Detailed Update'!B:I,8,FALSE)</f>
        <v>Jizan</v>
      </c>
      <c r="L116" s="17" t="str">
        <f>_xlfn.XLOOKUP(B116,'Detailed Update'!B:B,'Detailed Update'!K:K)</f>
        <v>Approved</v>
      </c>
      <c r="M116" s="10">
        <f>VLOOKUP(B116,'Detailed Update'!B:T,11,FALSE)</f>
        <v>46063</v>
      </c>
      <c r="N116" s="10">
        <f>VLOOKUP(B116,'Detailed Update'!B:T,12,FALSE)</f>
        <v>46282</v>
      </c>
      <c r="O116" s="9">
        <f>VLOOKUP(B116,'Detailed Update'!B:T,13,FALSE)</f>
        <v>46345</v>
      </c>
      <c r="P116" s="362" t="str">
        <f>_xlfn.XLOOKUP(B116,'Detailed Update'!B:B,'Detailed Update'!U:U)</f>
        <v>Working now on T&amp;C and expected to be finished by Sep-26</v>
      </c>
    </row>
    <row r="117" spans="1:16" ht="22.15" customHeight="1">
      <c r="A117" s="7">
        <f t="shared" si="10"/>
        <v>111</v>
      </c>
      <c r="B117" s="155" t="s">
        <v>211</v>
      </c>
      <c r="C117" s="20" t="str">
        <f>VLOOKUP(B117,'Detailed Update'!B:C,2,FALSE)</f>
        <v>Battery Energy Storage for BISHA</v>
      </c>
      <c r="D117" s="13" t="s">
        <v>745</v>
      </c>
      <c r="E117" s="14">
        <f>VLOOKUP(B117,'Detailed Update'!B:D,3,FALSE)</f>
        <v>45327</v>
      </c>
      <c r="F117" s="18">
        <f>VLOOKUP(B117,'Detailed Update'!B:T,4,FALSE)</f>
        <v>1</v>
      </c>
      <c r="G117" s="18">
        <f>VLOOKUP(B117,'Detailed Update'!B:T,5,FALSE)</f>
        <v>0.99960000000000004</v>
      </c>
      <c r="H117" s="18">
        <f t="shared" si="9"/>
        <v>-3.9999999999995595E-4</v>
      </c>
      <c r="I117" s="7" t="str">
        <f>VLOOKUP(B117,'Detailed Update'!B:I,6,FALSE)</f>
        <v xml:space="preserve">SEC </v>
      </c>
      <c r="J117" s="7" t="str">
        <f>VLOOKUP(B117,'Detailed Update'!B:I,7,FALSE)</f>
        <v>Southern</v>
      </c>
      <c r="K117" s="7" t="str">
        <f>VLOOKUP(B117,'Detailed Update'!B:I,8,FALSE)</f>
        <v>Al Baha</v>
      </c>
      <c r="L117" s="17" t="str">
        <f>_xlfn.XLOOKUP(B117,'Detailed Update'!B:B,'Detailed Update'!K:K)</f>
        <v>N/A</v>
      </c>
      <c r="M117" s="10">
        <f>VLOOKUP(B117,'Detailed Update'!B:T,11,FALSE)</f>
        <v>45662</v>
      </c>
      <c r="N117" s="10">
        <f>VLOOKUP(B117,'Detailed Update'!B:T,12,FALSE)</f>
        <v>45662</v>
      </c>
      <c r="O117" s="363">
        <f>VLOOKUP(B117,'Detailed Update'!B:T,13,FALSE)</f>
        <v>45698</v>
      </c>
      <c r="P117" s="362" t="str">
        <f>_xlfn.XLOOKUP(B117,'Detailed Update'!B:B,'Detailed Update'!U:U)</f>
        <v>SEC Reject descoping spare part scope</v>
      </c>
    </row>
    <row r="118" spans="1:16" ht="22.15" customHeight="1">
      <c r="A118" s="7">
        <f t="shared" si="10"/>
        <v>112</v>
      </c>
      <c r="B118" s="155" t="s">
        <v>212</v>
      </c>
      <c r="C118" s="20" t="str">
        <f>VLOOKUP(B118,'Detailed Update'!B:C,2,FALSE)</f>
        <v>New Samtah-PV 380/132kV BSP &amp; OHTL</v>
      </c>
      <c r="D118" s="13" t="s">
        <v>746</v>
      </c>
      <c r="E118" s="14">
        <f>VLOOKUP(B118,'Detailed Update'!B:D,3,FALSE)</f>
        <v>45567</v>
      </c>
      <c r="F118" s="18">
        <f>VLOOKUP(B118,'Detailed Update'!B:T,4,FALSE)</f>
        <v>0.99829999999999997</v>
      </c>
      <c r="G118" s="18">
        <f>VLOOKUP(B118,'Detailed Update'!B:T,5,FALSE)</f>
        <v>0.88070000000000004</v>
      </c>
      <c r="H118" s="18">
        <f t="shared" si="9"/>
        <v>-0.11759999999999993</v>
      </c>
      <c r="I118" s="7" t="str">
        <f>VLOOKUP(B118,'Detailed Update'!B:I,6,FALSE)</f>
        <v xml:space="preserve">SEC </v>
      </c>
      <c r="J118" s="7" t="str">
        <f>VLOOKUP(B118,'Detailed Update'!B:I,7,FALSE)</f>
        <v>Southern</v>
      </c>
      <c r="K118" s="7" t="str">
        <f>VLOOKUP(B118,'Detailed Update'!B:I,8,FALSE)</f>
        <v>Jizan</v>
      </c>
      <c r="L118" s="17" t="str">
        <f>_xlfn.XLOOKUP(B118,'Detailed Update'!B:B,'Detailed Update'!K:K)</f>
        <v>Under Approval</v>
      </c>
      <c r="M118" s="10">
        <f>VLOOKUP(B118,'Detailed Update'!B:T,11,FALSE)</f>
        <v>46144</v>
      </c>
      <c r="N118" s="10">
        <f>VLOOKUP(B118,'Detailed Update'!B:T,12,FALSE)</f>
        <v>46144</v>
      </c>
      <c r="O118" s="9">
        <f>VLOOKUP(B118,'Detailed Update'!B:T,13,FALSE)</f>
        <v>46323</v>
      </c>
      <c r="P118" s="362" t="str">
        <f>_xlfn.XLOOKUP(B118,'Detailed Update'!B:B,'Detailed Update'!U:U)</f>
        <v xml:space="preserve">Delay OHTL Road Crossing special towers approval ,Delay in lapp insulator FAT  , Delay in SP tower procurement </v>
      </c>
    </row>
    <row r="119" spans="1:16" ht="22.15" customHeight="1">
      <c r="A119" s="7">
        <f t="shared" si="10"/>
        <v>113</v>
      </c>
      <c r="B119" s="155" t="s">
        <v>213</v>
      </c>
      <c r="C119" s="20" t="str">
        <f>VLOOKUP(B119,'Detailed Update'!B:C,2,FALSE)</f>
        <v xml:space="preserve">New Dhahyah 380/132/13.8KV BSP </v>
      </c>
      <c r="D119" s="13" t="s">
        <v>747</v>
      </c>
      <c r="E119" s="14">
        <f>VLOOKUP(B119,'Detailed Update'!B:D,3,FALSE)</f>
        <v>45407</v>
      </c>
      <c r="F119" s="18">
        <f>VLOOKUP(B119,'Detailed Update'!B:T,4,FALSE)</f>
        <v>0.86780000000000002</v>
      </c>
      <c r="G119" s="18">
        <f>VLOOKUP(B119,'Detailed Update'!B:T,5,FALSE)</f>
        <v>0.89419999999999999</v>
      </c>
      <c r="H119" s="18">
        <f t="shared" si="9"/>
        <v>2.6399999999999979E-2</v>
      </c>
      <c r="I119" s="7" t="str">
        <f>VLOOKUP(B119,'Detailed Update'!B:I,6,FALSE)</f>
        <v xml:space="preserve">SEC </v>
      </c>
      <c r="J119" s="7" t="str">
        <f>VLOOKUP(B119,'Detailed Update'!B:I,7,FALSE)</f>
        <v>Southern</v>
      </c>
      <c r="K119" s="7" t="str">
        <f>VLOOKUP(B119,'Detailed Update'!B:I,8,FALSE)</f>
        <v>Jizan</v>
      </c>
      <c r="L119" s="17" t="str">
        <f>_xlfn.XLOOKUP(B119,'Detailed Update'!B:B,'Detailed Update'!K:K)</f>
        <v>Approved</v>
      </c>
      <c r="M119" s="10">
        <f>VLOOKUP(B119,'Detailed Update'!B:T,11,FALSE)</f>
        <v>46047</v>
      </c>
      <c r="N119" s="10">
        <f>VLOOKUP(B119,'Detailed Update'!B:T,12,FALSE)</f>
        <v>46380</v>
      </c>
      <c r="O119" s="9">
        <f>VLOOKUP(B119,'Detailed Update'!B:T,13,FALSE)</f>
        <v>46325</v>
      </c>
      <c r="P119" s="362" t="str">
        <f>_xlfn.XLOOKUP(B119,'Detailed Update'!B:B,'Detailed Update'!U:U)</f>
        <v>Delay in delivery of main materials 132KV GIS, 132 Power transformers and CTs (all delivered on May-26), working on internal crashed plan to energize by end of Oct-2026</v>
      </c>
    </row>
    <row r="120" spans="1:16" ht="22.15" customHeight="1">
      <c r="A120" s="7">
        <f t="shared" si="10"/>
        <v>114</v>
      </c>
      <c r="B120" s="157" t="s">
        <v>214</v>
      </c>
      <c r="C120" s="20" t="str">
        <f>VLOOKUP(B120,'Detailed Update'!B:C,2,FALSE)</f>
        <v>Aqabah (PS-AQB) 380/132/13.8KV</v>
      </c>
      <c r="D120" s="13" t="s">
        <v>215</v>
      </c>
      <c r="E120" s="14">
        <f>VLOOKUP(B120,'Detailed Update'!B:D,3,FALSE)</f>
        <v>45722</v>
      </c>
      <c r="F120" s="18" t="str">
        <f>VLOOKUP(B120,'Detailed Update'!B:T,4,FALSE)</f>
        <v>On Hold</v>
      </c>
      <c r="G120" s="18">
        <f>VLOOKUP(B120,'Detailed Update'!B:T,5,FALSE)</f>
        <v>0</v>
      </c>
      <c r="H120" s="18" t="e">
        <f t="shared" si="9"/>
        <v>#VALUE!</v>
      </c>
      <c r="I120" s="7" t="str">
        <f>VLOOKUP(B120,'Detailed Update'!B:I,6,FALSE)</f>
        <v xml:space="preserve">SEC </v>
      </c>
      <c r="J120" s="7" t="str">
        <f>VLOOKUP(B120,'Detailed Update'!B:I,7,FALSE)</f>
        <v>Southern</v>
      </c>
      <c r="K120" s="7" t="str">
        <f>VLOOKUP(B120,'Detailed Update'!B:I,8,FALSE)</f>
        <v>Abha</v>
      </c>
      <c r="L120" s="17" t="str">
        <f>_xlfn.XLOOKUP(B120,'Detailed Update'!B:B,'Detailed Update'!K:K)</f>
        <v>N/A</v>
      </c>
      <c r="M120" s="10" t="str">
        <f>VLOOKUP(B120,'Detailed Update'!B:T,11,FALSE)</f>
        <v>Contract Not Signed (2Y From Signing Contract)</v>
      </c>
      <c r="N120" s="10">
        <f>VLOOKUP(B120,'Detailed Update'!B:T,12,FALSE)</f>
        <v>0</v>
      </c>
      <c r="O120" s="9">
        <f>VLOOKUP(B120,'Detailed Update'!B:T,13,FALSE)</f>
        <v>0</v>
      </c>
      <c r="P120" s="362" t="str">
        <f>_xlfn.XLOOKUP(B120,'Detailed Update'!B:B,'Detailed Update'!U:U)</f>
        <v>-</v>
      </c>
    </row>
    <row r="121" spans="1:16" ht="22.15" customHeight="1">
      <c r="A121" s="7">
        <f t="shared" si="10"/>
        <v>115</v>
      </c>
      <c r="B121" s="157" t="s">
        <v>216</v>
      </c>
      <c r="C121" s="20" t="str">
        <f>VLOOKUP(B121,'Detailed Update'!B:C,2,FALSE)</f>
        <v>Construction of New SS for Darb-PV</v>
      </c>
      <c r="D121" s="13" t="s">
        <v>748</v>
      </c>
      <c r="E121" s="14">
        <f>VLOOKUP(B121,'Detailed Update'!B:D,3,FALSE)</f>
        <v>45567</v>
      </c>
      <c r="F121" s="18">
        <f>VLOOKUP(B121,'Detailed Update'!B:T,4,FALSE)</f>
        <v>0.99968999999999997</v>
      </c>
      <c r="G121" s="18">
        <f>VLOOKUP(B121,'Detailed Update'!B:T,5,FALSE)</f>
        <v>0.85299999999999998</v>
      </c>
      <c r="H121" s="18">
        <f t="shared" si="9"/>
        <v>-0.14668999999999999</v>
      </c>
      <c r="I121" s="7" t="str">
        <f>VLOOKUP(B121,'Detailed Update'!B:I,6,FALSE)</f>
        <v xml:space="preserve">SEC </v>
      </c>
      <c r="J121" s="7" t="str">
        <f>VLOOKUP(B121,'Detailed Update'!B:I,7,FALSE)</f>
        <v>Southern</v>
      </c>
      <c r="K121" s="7" t="str">
        <f>VLOOKUP(B121,'Detailed Update'!B:I,8,FALSE)</f>
        <v>Abha</v>
      </c>
      <c r="L121" s="17" t="str">
        <f>_xlfn.XLOOKUP(B121,'Detailed Update'!B:B,'Detailed Update'!K:K)</f>
        <v>N/A</v>
      </c>
      <c r="M121" s="10">
        <f>VLOOKUP(B121,'Detailed Update'!B:T,11,FALSE)</f>
        <v>46144</v>
      </c>
      <c r="N121" s="10">
        <f>VLOOKUP(B121,'Detailed Update'!B:T,12,FALSE)</f>
        <v>46144</v>
      </c>
      <c r="O121" s="9">
        <f>VLOOKUP(B121,'Detailed Update'!B:T,13,FALSE)</f>
        <v>46386</v>
      </c>
      <c r="P121" s="362" t="str">
        <f>_xlfn.XLOOKUP(B121,'Detailed Update'!B:B,'Detailed Update'!U:U)</f>
        <v>Delay in OHTL change order , Delay in Civil design , Delay in AES material delivery , Delay in construction work.  after new plan for OHTL Expected TCC Date is 15-Dec-26</v>
      </c>
    </row>
    <row r="122" spans="1:16" ht="22.15" customHeight="1">
      <c r="A122" s="7">
        <f t="shared" si="10"/>
        <v>116</v>
      </c>
      <c r="B122" s="157" t="s">
        <v>217</v>
      </c>
      <c r="C122" s="20" t="str">
        <f>VLOOKUP(B122,'Detailed Update'!B:C,2,FALSE)</f>
        <v>132KV OHTL &amp; UGC Najran</v>
      </c>
      <c r="D122" s="13" t="s">
        <v>749</v>
      </c>
      <c r="E122" s="14">
        <f>VLOOKUP(B122,'Detailed Update'!B:D,3,FALSE)</f>
        <v>45589</v>
      </c>
      <c r="F122" s="18">
        <f>VLOOKUP(B122,'Detailed Update'!B:T,4,FALSE)</f>
        <v>0.99990000000000001</v>
      </c>
      <c r="G122" s="18">
        <f>VLOOKUP(B122,'Detailed Update'!B:T,5,FALSE)</f>
        <v>0.75070000000000003</v>
      </c>
      <c r="H122" s="18">
        <f t="shared" si="9"/>
        <v>-0.24919999999999998</v>
      </c>
      <c r="I122" s="7" t="str">
        <f>VLOOKUP(B122,'Detailed Update'!B:I,6,FALSE)</f>
        <v xml:space="preserve">SEC </v>
      </c>
      <c r="J122" s="7" t="str">
        <f>VLOOKUP(B122,'Detailed Update'!B:I,7,FALSE)</f>
        <v>Southern</v>
      </c>
      <c r="K122" s="7" t="str">
        <f>VLOOKUP(B122,'Detailed Update'!B:I,8,FALSE)</f>
        <v>Najran</v>
      </c>
      <c r="L122" s="17" t="str">
        <f>_xlfn.XLOOKUP(B122,'Detailed Update'!B:B,'Detailed Update'!K:K)</f>
        <v>Under Approval</v>
      </c>
      <c r="M122" s="10">
        <f>VLOOKUP(B122,'Detailed Update'!B:T,11,FALSE)</f>
        <v>46105</v>
      </c>
      <c r="N122" s="10">
        <f>VLOOKUP(B122,'Detailed Update'!B:T,12,FALSE)</f>
        <v>46105</v>
      </c>
      <c r="O122" s="9">
        <f>VLOOKUP(B122,'Detailed Update'!B:T,13,FALSE)</f>
        <v>46385</v>
      </c>
      <c r="P122" s="362" t="str">
        <f>_xlfn.XLOOKUP(B122,'Detailed Update'!B:B,'Detailed Update'!U:U)</f>
        <v>1. Incomplete delivery of Angle towers from SE Energya will hinder the commencement stringing works in Portion -3 (&lt;30km)
2. Transposition tower technical submittals, design engineering, needs to be expidted for submission as  PO created on 17-May-2026,  impacts material testing &amp; delivery delay
3.UG Cable Construction needs to be start as it delayed.
4. Balance 20% material follow up with SE is required to prevent the project from delay.</v>
      </c>
    </row>
    <row r="123" spans="1:16" ht="22.15" customHeight="1">
      <c r="A123" s="7">
        <f t="shared" si="10"/>
        <v>117</v>
      </c>
      <c r="B123" s="157" t="s">
        <v>218</v>
      </c>
      <c r="C123" s="20" t="str">
        <f>VLOOKUP(B123,'Detailed Update'!B:C,2,FALSE)</f>
        <v>Const. Albaha | Add. Scope UG Cable</v>
      </c>
      <c r="D123" s="13" t="s">
        <v>750</v>
      </c>
      <c r="E123" s="14">
        <f>VLOOKUP(B123,'Detailed Update'!B:D,3,FALSE)</f>
        <v>45582</v>
      </c>
      <c r="F123" s="18">
        <f>VLOOKUP(B123,'Detailed Update'!B:T,4,FALSE)</f>
        <v>1</v>
      </c>
      <c r="G123" s="18">
        <f>VLOOKUP(B123,'Detailed Update'!B:T,5,FALSE)</f>
        <v>0.96299999999999997</v>
      </c>
      <c r="H123" s="18">
        <f t="shared" si="9"/>
        <v>-3.7000000000000033E-2</v>
      </c>
      <c r="I123" s="7" t="str">
        <f>VLOOKUP(B123,'Detailed Update'!B:I,6,FALSE)</f>
        <v xml:space="preserve">SEC </v>
      </c>
      <c r="J123" s="7" t="str">
        <f>VLOOKUP(B123,'Detailed Update'!B:I,7,FALSE)</f>
        <v>Southern</v>
      </c>
      <c r="K123" s="7" t="str">
        <f>VLOOKUP(B123,'Detailed Update'!B:I,8,FALSE)</f>
        <v>Al Baha</v>
      </c>
      <c r="L123" s="17" t="str">
        <f>_xlfn.XLOOKUP(B123,'Detailed Update'!B:B,'Detailed Update'!K:K)</f>
        <v>Approved</v>
      </c>
      <c r="M123" s="10">
        <f>VLOOKUP(B123,'Detailed Update'!B:T,11,FALSE)</f>
        <v>45497</v>
      </c>
      <c r="N123" s="10">
        <f>VLOOKUP(B123,'Detailed Update'!B:T,12,FALSE)</f>
        <v>46070</v>
      </c>
      <c r="O123" s="9">
        <f>VLOOKUP(B123,'Detailed Update'!B:T,13,FALSE)</f>
        <v>45862</v>
      </c>
      <c r="P123" s="362" t="str">
        <f>_xlfn.XLOOKUP(B123,'Detailed Update'!B:B,'Detailed Update'!U:U)</f>
        <v>Delay in removal of existing utilities &amp; blasting works for the remaining works</v>
      </c>
    </row>
    <row r="124" spans="1:16" ht="22.15" customHeight="1">
      <c r="A124" s="7">
        <f t="shared" si="10"/>
        <v>118</v>
      </c>
      <c r="B124" s="157" t="s">
        <v>219</v>
      </c>
      <c r="C124" s="20" t="str">
        <f>VLOOKUP(B124,'Detailed Update'!B:C,2,FALSE)</f>
        <v>NEW DHAHRAN ALJANOUB-2 SS</v>
      </c>
      <c r="D124" s="13" t="s">
        <v>751</v>
      </c>
      <c r="E124" s="14">
        <f>VLOOKUP(B124,'Detailed Update'!B:D,3,FALSE)</f>
        <v>45672</v>
      </c>
      <c r="F124" s="18">
        <f>VLOOKUP(B124,'Detailed Update'!B:T,4,FALSE)</f>
        <v>0.99250000000000005</v>
      </c>
      <c r="G124" s="18">
        <f>VLOOKUP(B124,'Detailed Update'!B:T,5,FALSE)</f>
        <v>0.70940000000000003</v>
      </c>
      <c r="H124" s="18">
        <f t="shared" si="9"/>
        <v>-0.28310000000000002</v>
      </c>
      <c r="I124" s="7" t="str">
        <f>VLOOKUP(B124,'Detailed Update'!B:I,6,FALSE)</f>
        <v xml:space="preserve">SEC </v>
      </c>
      <c r="J124" s="7" t="str">
        <f>VLOOKUP(B124,'Detailed Update'!B:I,7,FALSE)</f>
        <v>Southern</v>
      </c>
      <c r="K124" s="7" t="str">
        <f>VLOOKUP(B124,'Detailed Update'!B:I,8,FALSE)</f>
        <v>Dhahran</v>
      </c>
      <c r="L124" s="17" t="str">
        <f>_xlfn.XLOOKUP(B124,'Detailed Update'!B:B,'Detailed Update'!K:K)</f>
        <v>Under Approval</v>
      </c>
      <c r="M124" s="10">
        <f>VLOOKUP(B124,'Detailed Update'!B:T,11,FALSE)</f>
        <v>46218</v>
      </c>
      <c r="N124" s="10">
        <f>VLOOKUP(B124,'Detailed Update'!B:T,12,FALSE)</f>
        <v>46218</v>
      </c>
      <c r="O124" s="9">
        <f>VLOOKUP(B124,'Detailed Update'!B:T,13,FALSE)</f>
        <v>46372</v>
      </c>
      <c r="P124" s="362" t="str">
        <f>_xlfn.XLOOKUP(B124,'Detailed Update'!B:B,'Detailed Update'!U:U)</f>
        <v>OHTL portion delayed due to change order and shutdown
Huge Delay in Delivery of Power Transformer, SAS &amp; Gantry</v>
      </c>
    </row>
    <row r="125" spans="1:16" ht="22.15" customHeight="1">
      <c r="A125" s="7">
        <f t="shared" si="10"/>
        <v>119</v>
      </c>
      <c r="B125" s="157" t="s">
        <v>220</v>
      </c>
      <c r="C125" s="20" t="str">
        <f>VLOOKUP(B125,'Detailed Update'!B:C,2,FALSE)</f>
        <v>EXP. THE EXISTING KHM, ABHE &amp; BISHA</v>
      </c>
      <c r="D125" s="13" t="s">
        <v>752</v>
      </c>
      <c r="E125" s="14">
        <f>VLOOKUP(B125,'Detailed Update'!B:D,3,FALSE)</f>
        <v>45683</v>
      </c>
      <c r="F125" s="18">
        <f>VLOOKUP(B125,'Detailed Update'!B:T,4,FALSE)</f>
        <v>0.71</v>
      </c>
      <c r="G125" s="18">
        <f>VLOOKUP(B125,'Detailed Update'!B:T,5,FALSE)</f>
        <v>0.42</v>
      </c>
      <c r="H125" s="18">
        <f t="shared" si="9"/>
        <v>-0.28999999999999998</v>
      </c>
      <c r="I125" s="7" t="str">
        <f>VLOOKUP(B125,'Detailed Update'!B:I,6,FALSE)</f>
        <v xml:space="preserve">SEC </v>
      </c>
      <c r="J125" s="7" t="str">
        <f>VLOOKUP(B125,'Detailed Update'!B:I,7,FALSE)</f>
        <v>Southern</v>
      </c>
      <c r="K125" s="7" t="str">
        <f>VLOOKUP(B125,'Detailed Update'!B:I,8,FALSE)</f>
        <v>Abha</v>
      </c>
      <c r="L125" s="17" t="str">
        <f>_xlfn.XLOOKUP(B125,'Detailed Update'!B:B,'Detailed Update'!K:K)</f>
        <v>Under Approval</v>
      </c>
      <c r="M125" s="10">
        <f>VLOOKUP(B125,'Detailed Update'!B:T,11,FALSE)</f>
        <v>46382</v>
      </c>
      <c r="N125" s="10">
        <f>VLOOKUP(B125,'Detailed Update'!B:T,12,FALSE)</f>
        <v>46382</v>
      </c>
      <c r="O125" s="9">
        <f>VLOOKUP(B125,'Detailed Update'!B:T,13,FALSE)</f>
        <v>46508</v>
      </c>
      <c r="P125" s="362" t="str">
        <f>_xlfn.XLOOKUP(B125,'Detailed Update'!B:B,'Detailed Update'!U:U)</f>
        <v>For Civil works :
-Delay in Gatepasses issuance, working 5 days a week for risky civil activities.
-Low Manpower deployment from FGC (Civil Subcontractor) side
-GIS Building opennings design delay approval for bisha which delays GIS Modification works
For Electrical Installation :
-Delay delivery schedule from  Hitachi for : (Reactors in Abha -Delayed FAT for GIS in bisha as it was planned on 4-Jun-26)
-Delay fdelivery schedule from trench for (NGR - FS CT)
-Delay delivery schedule from GE for HGIS (30-Sep-26) in Khamis and delay in FAT for LCC as it was planned to be on 19-May-268 (most critical)</v>
      </c>
    </row>
    <row r="126" spans="1:16" ht="22.15" customHeight="1">
      <c r="A126" s="7">
        <f t="shared" si="10"/>
        <v>120</v>
      </c>
      <c r="B126" s="157" t="s">
        <v>221</v>
      </c>
      <c r="C126" s="20" t="str">
        <f>VLOOKUP(B126,'Detailed Update'!B:C,2,FALSE)</f>
        <v>JIZAN OHTL | 132 KV LINE</v>
      </c>
      <c r="D126" s="13" t="s">
        <v>753</v>
      </c>
      <c r="E126" s="14">
        <f>VLOOKUP(B126,'Detailed Update'!B:D,3,FALSE)</f>
        <v>45743</v>
      </c>
      <c r="F126" s="18">
        <f>VLOOKUP(B126,'Detailed Update'!B:T,4,FALSE)</f>
        <v>0.8992</v>
      </c>
      <c r="G126" s="18">
        <f>VLOOKUP(B126,'Detailed Update'!B:T,5,FALSE)</f>
        <v>0.40670000000000001</v>
      </c>
      <c r="H126" s="18">
        <f t="shared" si="9"/>
        <v>-0.49249999999999999</v>
      </c>
      <c r="I126" s="7" t="str">
        <f>VLOOKUP(B126,'Detailed Update'!B:I,6,FALSE)</f>
        <v>SEC</v>
      </c>
      <c r="J126" s="7" t="str">
        <f>VLOOKUP(B126,'Detailed Update'!B:I,7,FALSE)</f>
        <v>Southern</v>
      </c>
      <c r="K126" s="7" t="str">
        <f>VLOOKUP(B126,'Detailed Update'!B:I,8,FALSE)</f>
        <v>Jizan</v>
      </c>
      <c r="L126" s="17" t="str">
        <f>_xlfn.XLOOKUP(B126,'Detailed Update'!B:B,'Detailed Update'!K:K)</f>
        <v>Under Approval</v>
      </c>
      <c r="M126" s="10">
        <f>VLOOKUP(B126,'Detailed Update'!B:T,11,FALSE)</f>
        <v>46291</v>
      </c>
      <c r="N126" s="10">
        <f>VLOOKUP(B126,'Detailed Update'!B:T,12,FALSE)</f>
        <v>46291</v>
      </c>
      <c r="O126" s="9">
        <f>VLOOKUP(B126,'Detailed Update'!B:T,13,FALSE)</f>
        <v>46485</v>
      </c>
      <c r="P126" s="362" t="str">
        <f>_xlfn.XLOOKUP(B126,'Detailed Update'!B:B,'Detailed Update'!U:U)</f>
        <v xml:space="preserve">1.Delay in FAT conduction for GIS with variance 5 months than planned FAT date.
2.Delay in submission &amp; approval of foundation design which is affecting start of foundation works.
3.Delay in submission &amp; approval of full plan &amp; profile.
4.Delay in access road &amp; structure pad progress. </v>
      </c>
    </row>
    <row r="127" spans="1:16" ht="22.15" customHeight="1">
      <c r="A127" s="7">
        <f t="shared" si="10"/>
        <v>121</v>
      </c>
      <c r="B127" s="157" t="s">
        <v>222</v>
      </c>
      <c r="C127" s="20" t="str">
        <f>VLOOKUP(B127,'Detailed Update'!B:C,2,FALSE)</f>
        <v>Refurbishment of 132kV Najran East Substation in SOA &amp; Refurbishment of 132/33 kV Salwah Substation in SOA.</v>
      </c>
      <c r="D127" s="13" t="s">
        <v>754</v>
      </c>
      <c r="E127" s="14">
        <f>VLOOKUP(B127,'Detailed Update'!B:D,3,FALSE)</f>
        <v>45764</v>
      </c>
      <c r="F127" s="18">
        <f>VLOOKUP(B127,'Detailed Update'!B:T,4,FALSE)</f>
        <v>0.86270000000000002</v>
      </c>
      <c r="G127" s="18">
        <f>VLOOKUP(B127,'Detailed Update'!B:T,5,FALSE)</f>
        <v>0.31480000000000002</v>
      </c>
      <c r="H127" s="18">
        <f t="shared" si="9"/>
        <v>-0.54790000000000005</v>
      </c>
      <c r="I127" s="7" t="str">
        <f>VLOOKUP(B127,'Detailed Update'!B:I,6,FALSE)</f>
        <v>SEC</v>
      </c>
      <c r="J127" s="7" t="str">
        <f>VLOOKUP(B127,'Detailed Update'!B:I,7,FALSE)</f>
        <v>Southern</v>
      </c>
      <c r="K127" s="7" t="str">
        <f>VLOOKUP(B127,'Detailed Update'!B:I,8,FALSE)</f>
        <v>Najran</v>
      </c>
      <c r="L127" s="17" t="str">
        <f>_xlfn.XLOOKUP(B127,'Detailed Update'!B:B,'Detailed Update'!K:K)</f>
        <v>N/A</v>
      </c>
      <c r="M127" s="10">
        <f>VLOOKUP(B127,'Detailed Update'!B:T,11,FALSE)</f>
        <v>46312</v>
      </c>
      <c r="N127" s="10">
        <f>VLOOKUP(B127,'Detailed Update'!B:T,12,FALSE)</f>
        <v>46312</v>
      </c>
      <c r="O127" s="9">
        <f>VLOOKUP(B127,'Detailed Update'!B:T,13,FALSE)</f>
        <v>46559</v>
      </c>
      <c r="P127" s="362" t="str">
        <f>_xlfn.XLOOKUP(B127,'Detailed Update'!B:B,'Detailed Update'!U:U)</f>
        <v>1- Delay of start manufacturing of Protection
2- PO of Batteries &amp; Battery Chargers issued with long Manufacturing Duration (35 weeks)
3- Delay in shifting live MV cables to start construction activities
4- Delay in site handing over</v>
      </c>
    </row>
    <row r="128" spans="1:16" ht="22.15" customHeight="1">
      <c r="A128" s="7">
        <f t="shared" si="10"/>
        <v>122</v>
      </c>
      <c r="B128" s="157" t="s">
        <v>223</v>
      </c>
      <c r="C128" s="20" t="str">
        <f>VLOOKUP(B128,'Detailed Update'!B:C,2,FALSE)</f>
        <v>Construction of OTOUD (Khamis South-2) 132/13.8KV SS &amp; Interconnections in Asir Region SOA</v>
      </c>
      <c r="D128" s="13" t="s">
        <v>742</v>
      </c>
      <c r="E128" s="14">
        <f>VLOOKUP(B128,'Detailed Update'!B:D,3,FALSE)</f>
        <v>45837</v>
      </c>
      <c r="F128" s="18">
        <f>VLOOKUP(B128,'Detailed Update'!B:T,4,FALSE)</f>
        <v>0.56269999999999998</v>
      </c>
      <c r="G128" s="18">
        <f>VLOOKUP(B128,'Detailed Update'!B:T,5,FALSE)</f>
        <v>0.2918</v>
      </c>
      <c r="H128" s="18">
        <f t="shared" si="9"/>
        <v>-0.27089999999999997</v>
      </c>
      <c r="I128" s="7" t="str">
        <f>VLOOKUP(B128,'Detailed Update'!B:I,6,FALSE)</f>
        <v>SEC</v>
      </c>
      <c r="J128" s="7" t="str">
        <f>VLOOKUP(B128,'Detailed Update'!B:I,7,FALSE)</f>
        <v>Southern</v>
      </c>
      <c r="K128" s="7" t="str">
        <f>VLOOKUP(B128,'Detailed Update'!B:I,8,FALSE)</f>
        <v>KHM</v>
      </c>
      <c r="L128" s="17" t="str">
        <f>_xlfn.XLOOKUP(B128,'Detailed Update'!B:B,'Detailed Update'!K:K)</f>
        <v>N/A</v>
      </c>
      <c r="M128" s="10">
        <f>VLOOKUP(B128,'Detailed Update'!B:T,11,FALSE)</f>
        <v>46385</v>
      </c>
      <c r="N128" s="10">
        <f>VLOOKUP(B128,'Detailed Update'!B:T,12,FALSE)</f>
        <v>46385</v>
      </c>
      <c r="O128" s="9">
        <f>VLOOKUP(B128,'Detailed Update'!B:T,13,FALSE)</f>
        <v>46676</v>
      </c>
      <c r="P128" s="362" t="str">
        <f>_xlfn.XLOOKUP(B128,'Detailed Update'!B:B,'Detailed Update'!U:U)</f>
        <v>*Long Manufacturing Duration of Power Transformers (SPTC) due to Non-Unified Design 
*Delay in All UGC Scope due to Municipality Permit Rejection for Single Circuit and Design Submittal for Double Circuit
*Civil Readiness Delay due to Delayed Municipality Permits and Improper Store Location at Site</v>
      </c>
    </row>
    <row r="129" spans="1:16" ht="22.15" customHeight="1">
      <c r="A129" s="7">
        <f t="shared" si="10"/>
        <v>123</v>
      </c>
      <c r="B129" s="157" t="s">
        <v>224</v>
      </c>
      <c r="C129" s="20" t="str">
        <f>VLOOKUP(B129,'Detailed Update'!B:C,2,FALSE)</f>
        <v>Construction 132kv OHTL between baish west and ss1a at Jazan economic city in Jazan region-SOA</v>
      </c>
      <c r="D129" s="13" t="s">
        <v>755</v>
      </c>
      <c r="E129" s="14">
        <f>VLOOKUP(B129,'Detailed Update'!B:D,3,FALSE)</f>
        <v>45883</v>
      </c>
      <c r="F129" s="18">
        <f>VLOOKUP(B129,'Detailed Update'!B:T,4,FALSE)</f>
        <v>0.75539999999999996</v>
      </c>
      <c r="G129" s="18">
        <f>VLOOKUP(B129,'Detailed Update'!B:T,5,FALSE)</f>
        <v>0.50580000000000003</v>
      </c>
      <c r="H129" s="18">
        <f t="shared" si="9"/>
        <v>-0.24959999999999993</v>
      </c>
      <c r="I129" s="7" t="str">
        <f>VLOOKUP(B129,'Detailed Update'!B:I,6,FALSE)</f>
        <v>SEC</v>
      </c>
      <c r="J129" s="7" t="str">
        <f>VLOOKUP(B129,'Detailed Update'!B:I,7,FALSE)</f>
        <v>Southern</v>
      </c>
      <c r="K129" s="7" t="str">
        <f>VLOOKUP(B129,'Detailed Update'!B:I,8,FALSE)</f>
        <v>Jizan</v>
      </c>
      <c r="L129" s="17" t="str">
        <f>_xlfn.XLOOKUP(B129,'Detailed Update'!B:B,'Detailed Update'!K:K)</f>
        <v>N/A</v>
      </c>
      <c r="M129" s="10">
        <f>VLOOKUP(B129,'Detailed Update'!B:T,11,FALSE)</f>
        <v>46431</v>
      </c>
      <c r="N129" s="10">
        <f>VLOOKUP(B129,'Detailed Update'!B:T,12,FALSE)</f>
        <v>46431</v>
      </c>
      <c r="O129" s="9">
        <f>VLOOKUP(B129,'Detailed Update'!B:T,13,FALSE)</f>
        <v>46401</v>
      </c>
      <c r="P129" s="362" t="str">
        <f>_xlfn.XLOOKUP(B129,'Detailed Update'!B:B,'Detailed Update'!U:U)</f>
        <v>1.Delay in access road &amp; structure pads works.
2. Delay in GAFM for Gantry Structure material
3.Delay in GAFM for Protection 
4. Delay in delivery of Tower structure Material
5. Dealy in PO issuance for Earthing &amp; Bonding cables</v>
      </c>
    </row>
    <row r="130" spans="1:16" ht="22.15" customHeight="1">
      <c r="A130" s="7">
        <f t="shared" si="10"/>
        <v>124</v>
      </c>
      <c r="B130" s="157" t="s">
        <v>225</v>
      </c>
      <c r="C130" s="20" t="str">
        <f>VLOOKUP(B130,'Detailed Update'!B:C,2,FALSE)</f>
        <v>PE-222: Najran DRPC</v>
      </c>
      <c r="D130" s="13" t="s">
        <v>680</v>
      </c>
      <c r="E130" s="14">
        <f>VLOOKUP(B130,'Detailed Update'!B:D,3,FALSE)</f>
        <v>44200</v>
      </c>
      <c r="F130" s="18">
        <f>VLOOKUP(B130,'Detailed Update'!B:T,4,FALSE)</f>
        <v>1</v>
      </c>
      <c r="G130" s="18">
        <f>VLOOKUP(B130,'Detailed Update'!B:T,5,FALSE)</f>
        <v>1</v>
      </c>
      <c r="H130" s="18">
        <f t="shared" si="9"/>
        <v>0</v>
      </c>
      <c r="I130" s="7" t="str">
        <f>VLOOKUP(B130,'Detailed Update'!B:I,6,FALSE)</f>
        <v xml:space="preserve">SEC </v>
      </c>
      <c r="J130" s="7" t="str">
        <f>VLOOKUP(B130,'Detailed Update'!B:I,7,FALSE)</f>
        <v>Southern</v>
      </c>
      <c r="K130" s="7" t="str">
        <f>VLOOKUP(B130,'Detailed Update'!B:I,8,FALSE)</f>
        <v>Najran</v>
      </c>
      <c r="L130" s="17" t="str">
        <f>_xlfn.XLOOKUP(B130,'Detailed Update'!B:B,'Detailed Update'!K:K)</f>
        <v>N/A</v>
      </c>
      <c r="M130" s="10">
        <f>VLOOKUP(B130,'Detailed Update'!B:T,11,FALSE)</f>
        <v>44988</v>
      </c>
      <c r="N130" s="10">
        <f>VLOOKUP(B130,'Detailed Update'!B:T,12,FALSE)</f>
        <v>44988</v>
      </c>
      <c r="O130" s="363">
        <f>VLOOKUP(B130,'Detailed Update'!B:T,13,FALSE)</f>
        <v>45565</v>
      </c>
      <c r="P130" s="362" t="str">
        <f>_xlfn.XLOOKUP(B130,'Detailed Update'!B:B,'Detailed Update'!U:U)</f>
        <v>-</v>
      </c>
    </row>
    <row r="131" spans="1:16" ht="22.15" customHeight="1">
      <c r="A131" s="7">
        <f t="shared" si="10"/>
        <v>125</v>
      </c>
      <c r="B131" s="157" t="s">
        <v>226</v>
      </c>
      <c r="C131" s="20" t="str">
        <f>VLOOKUP(B131,'Detailed Update'!B:C,2,FALSE)</f>
        <v>PE-230: Wadi Eldawasser</v>
      </c>
      <c r="D131" s="13" t="s">
        <v>680</v>
      </c>
      <c r="E131" s="14">
        <f>VLOOKUP(B131,'Detailed Update'!B:D,3,FALSE)</f>
        <v>44392</v>
      </c>
      <c r="F131" s="18">
        <f>VLOOKUP(B131,'Detailed Update'!B:T,4,FALSE)</f>
        <v>1</v>
      </c>
      <c r="G131" s="18">
        <f>VLOOKUP(B131,'Detailed Update'!B:T,5,FALSE)</f>
        <v>1</v>
      </c>
      <c r="H131" s="18">
        <f t="shared" si="9"/>
        <v>0</v>
      </c>
      <c r="I131" s="7" t="str">
        <f>VLOOKUP(B131,'Detailed Update'!B:I,6,FALSE)</f>
        <v xml:space="preserve">SEC </v>
      </c>
      <c r="J131" s="7" t="str">
        <f>VLOOKUP(B131,'Detailed Update'!B:I,7,FALSE)</f>
        <v>Southern</v>
      </c>
      <c r="K131" s="7" t="str">
        <f>VLOOKUP(B131,'Detailed Update'!B:I,8,FALSE)</f>
        <v>Wadi Eldawasser</v>
      </c>
      <c r="L131" s="17" t="str">
        <f>_xlfn.XLOOKUP(B131,'Detailed Update'!B:B,'Detailed Update'!K:K)</f>
        <v>N/A</v>
      </c>
      <c r="M131" s="10">
        <f>VLOOKUP(B131,'Detailed Update'!B:T,11,FALSE)</f>
        <v>44941</v>
      </c>
      <c r="N131" s="10">
        <f>VLOOKUP(B131,'Detailed Update'!B:T,12,FALSE)</f>
        <v>44941</v>
      </c>
      <c r="O131" s="363">
        <f>VLOOKUP(B131,'Detailed Update'!B:T,13,FALSE)</f>
        <v>45463</v>
      </c>
      <c r="P131" s="362" t="str">
        <f>_xlfn.XLOOKUP(B131,'Detailed Update'!B:B,'Detailed Update'!U:U)</f>
        <v>-</v>
      </c>
    </row>
    <row r="132" spans="1:16" ht="22.15" customHeight="1">
      <c r="A132" s="7">
        <f t="shared" si="10"/>
        <v>126</v>
      </c>
      <c r="B132" s="157" t="s">
        <v>227</v>
      </c>
      <c r="C132" s="20" t="str">
        <f>VLOOKUP(B132,'Detailed Update'!B:C,2,FALSE)</f>
        <v>PE-237:  Al BAHA</v>
      </c>
      <c r="D132" s="13" t="s">
        <v>680</v>
      </c>
      <c r="E132" s="14">
        <f>VLOOKUP(B132,'Detailed Update'!B:D,3,FALSE)</f>
        <v>44586</v>
      </c>
      <c r="F132" s="18">
        <f>VLOOKUP(B132,'Detailed Update'!B:T,4,FALSE)</f>
        <v>1</v>
      </c>
      <c r="G132" s="18">
        <f>VLOOKUP(B132,'Detailed Update'!B:T,5,FALSE)</f>
        <v>0.99550000000000005</v>
      </c>
      <c r="H132" s="18">
        <f t="shared" si="9"/>
        <v>-4.4999999999999485E-3</v>
      </c>
      <c r="I132" s="7" t="str">
        <f>VLOOKUP(B132,'Detailed Update'!B:I,6,FALSE)</f>
        <v xml:space="preserve">SEC </v>
      </c>
      <c r="J132" s="7" t="str">
        <f>VLOOKUP(B132,'Detailed Update'!B:I,7,FALSE)</f>
        <v>Southern</v>
      </c>
      <c r="K132" s="7" t="str">
        <f>VLOOKUP(B132,'Detailed Update'!B:I,8,FALSE)</f>
        <v>ALBAHA</v>
      </c>
      <c r="L132" s="17" t="str">
        <f>_xlfn.XLOOKUP(B132,'Detailed Update'!B:B,'Detailed Update'!K:K)</f>
        <v>N/A</v>
      </c>
      <c r="M132" s="10">
        <f>VLOOKUP(B132,'Detailed Update'!B:T,11,FALSE)</f>
        <v>45497</v>
      </c>
      <c r="N132" s="10">
        <f>VLOOKUP(B132,'Detailed Update'!B:T,12,FALSE)</f>
        <v>45497</v>
      </c>
      <c r="O132" s="363">
        <f>VLOOKUP(B132,'Detailed Update'!B:T,13,FALSE)</f>
        <v>45909</v>
      </c>
      <c r="P132" s="362" t="str">
        <f>_xlfn.XLOOKUP(B132,'Detailed Update'!B:B,'Detailed Update'!U:U)</f>
        <v>-</v>
      </c>
    </row>
    <row r="133" spans="1:16" ht="22.15" customHeight="1">
      <c r="A133" s="7">
        <f t="shared" si="10"/>
        <v>127</v>
      </c>
      <c r="B133" s="157" t="s">
        <v>228</v>
      </c>
      <c r="C133" s="20" t="str">
        <f>VLOOKUP(B133,'Detailed Update'!B:C,2,FALSE)</f>
        <v xml:space="preserve">PE-234: Najran-2 </v>
      </c>
      <c r="D133" s="13" t="s">
        <v>756</v>
      </c>
      <c r="E133" s="14">
        <f>VLOOKUP(B133,'Detailed Update'!B:D,3,FALSE)</f>
        <v>44579</v>
      </c>
      <c r="F133" s="18">
        <f>VLOOKUP(B133,'Detailed Update'!B:T,4,FALSE)</f>
        <v>1</v>
      </c>
      <c r="G133" s="18">
        <f>VLOOKUP(B133,'Detailed Update'!B:T,5,FALSE)</f>
        <v>0.98360000000000003</v>
      </c>
      <c r="H133" s="18">
        <f t="shared" si="9"/>
        <v>-1.639999999999997E-2</v>
      </c>
      <c r="I133" s="7" t="str">
        <f>VLOOKUP(B133,'Detailed Update'!B:I,6,FALSE)</f>
        <v xml:space="preserve">SEC </v>
      </c>
      <c r="J133" s="7" t="str">
        <f>VLOOKUP(B133,'Detailed Update'!B:I,7,FALSE)</f>
        <v>Southern</v>
      </c>
      <c r="K133" s="7" t="str">
        <f>VLOOKUP(B133,'Detailed Update'!B:I,8,FALSE)</f>
        <v>Najran</v>
      </c>
      <c r="L133" s="17" t="str">
        <f>_xlfn.XLOOKUP(B133,'Detailed Update'!B:B,'Detailed Update'!K:K)</f>
        <v>Approved</v>
      </c>
      <c r="M133" s="10">
        <f>VLOOKUP(B133,'Detailed Update'!B:T,11,FALSE)</f>
        <v>45124</v>
      </c>
      <c r="N133" s="10">
        <f>VLOOKUP(B133,'Detailed Update'!B:T,12,FALSE)</f>
        <v>46343</v>
      </c>
      <c r="O133" s="363">
        <f>VLOOKUP(B133,'Detailed Update'!B:T,13,FALSE)</f>
        <v>46021</v>
      </c>
      <c r="P133" s="362" t="str">
        <f>_xlfn.XLOOKUP(B133,'Detailed Update'!B:B,'Detailed Update'!U:U)</f>
        <v>shutdown received and work ongoing for the works during shutdown</v>
      </c>
    </row>
    <row r="134" spans="1:16" ht="22.15" customHeight="1">
      <c r="A134" s="7">
        <f t="shared" si="10"/>
        <v>128</v>
      </c>
      <c r="B134" s="157" t="s">
        <v>229</v>
      </c>
      <c r="C134" s="20" t="str">
        <f>VLOOKUP(B134,'Detailed Update'!B:C,2,FALSE)</f>
        <v>PE-236: New Sharorah</v>
      </c>
      <c r="D134" s="13" t="s">
        <v>756</v>
      </c>
      <c r="E134" s="14">
        <f>VLOOKUP(B134,'Detailed Update'!B:D,3,FALSE)</f>
        <v>44579</v>
      </c>
      <c r="F134" s="18">
        <f>VLOOKUP(B134,'Detailed Update'!B:T,4,FALSE)</f>
        <v>1</v>
      </c>
      <c r="G134" s="18">
        <f>VLOOKUP(B134,'Detailed Update'!B:T,5,FALSE)</f>
        <v>0.999</v>
      </c>
      <c r="H134" s="18">
        <f t="shared" si="9"/>
        <v>-1.0000000000000009E-3</v>
      </c>
      <c r="I134" s="7" t="str">
        <f>VLOOKUP(B134,'Detailed Update'!B:I,6,FALSE)</f>
        <v xml:space="preserve">SEC </v>
      </c>
      <c r="J134" s="7" t="str">
        <f>VLOOKUP(B134,'Detailed Update'!B:I,7,FALSE)</f>
        <v>Southern</v>
      </c>
      <c r="K134" s="7" t="str">
        <f>VLOOKUP(B134,'Detailed Update'!B:I,8,FALSE)</f>
        <v>Sharorah</v>
      </c>
      <c r="L134" s="17" t="str">
        <f>_xlfn.XLOOKUP(B134,'Detailed Update'!B:B,'Detailed Update'!K:K)</f>
        <v>N/A</v>
      </c>
      <c r="M134" s="10">
        <f>VLOOKUP(B134,'Detailed Update'!B:T,11,FALSE)</f>
        <v>45124</v>
      </c>
      <c r="N134" s="10">
        <f>VLOOKUP(B134,'Detailed Update'!B:T,12,FALSE)</f>
        <v>45124</v>
      </c>
      <c r="O134" s="363">
        <f>VLOOKUP(B134,'Detailed Update'!B:T,13,FALSE)</f>
        <v>45308</v>
      </c>
      <c r="P134" s="362" t="str">
        <f>_xlfn.XLOOKUP(B134,'Detailed Update'!B:B,'Detailed Update'!U:U)</f>
        <v>-</v>
      </c>
    </row>
    <row r="135" spans="1:16" ht="22.15" customHeight="1">
      <c r="A135" s="7">
        <f t="shared" si="10"/>
        <v>129</v>
      </c>
      <c r="B135" s="155" t="s">
        <v>230</v>
      </c>
      <c r="C135" s="20" t="str">
        <f>VLOOKUP(B135,'Detailed Update'!B:C,2,FALSE)</f>
        <v>HVDC-3 | COA-SOA | KUDMI</v>
      </c>
      <c r="D135" s="13" t="s">
        <v>677</v>
      </c>
      <c r="E135" s="14">
        <f>VLOOKUP(B135,'Detailed Update'!B:D,3,FALSE)</f>
        <v>45470</v>
      </c>
      <c r="F135" s="18">
        <f>VLOOKUP(B135,'Detailed Update'!B:T,4,FALSE)</f>
        <v>0.56240000000000001</v>
      </c>
      <c r="G135" s="18">
        <f>VLOOKUP(B135,'Detailed Update'!B:T,5,FALSE)</f>
        <v>0.56259999999999999</v>
      </c>
      <c r="H135" s="18">
        <f t="shared" si="9"/>
        <v>1.9999999999997797E-4</v>
      </c>
      <c r="I135" s="7" t="str">
        <f>VLOOKUP(B135,'Detailed Update'!B:I,6,FALSE)</f>
        <v xml:space="preserve">SEC </v>
      </c>
      <c r="J135" s="7" t="str">
        <f>VLOOKUP(B135,'Detailed Update'!B:I,7,FALSE)</f>
        <v>Southern</v>
      </c>
      <c r="K135" s="7" t="str">
        <f>VLOOKUP(B135,'Detailed Update'!B:I,8,FALSE)</f>
        <v>jazan</v>
      </c>
      <c r="L135" s="17" t="str">
        <f>_xlfn.XLOOKUP(B135,'Detailed Update'!B:B,'Detailed Update'!K:K)</f>
        <v>N/A</v>
      </c>
      <c r="M135" s="10">
        <f>VLOOKUP(B135,'Detailed Update'!B:T,11,FALSE)</f>
        <v>46387</v>
      </c>
      <c r="N135" s="10">
        <f>VLOOKUP(B135,'Detailed Update'!B:T,12,FALSE)</f>
        <v>46387</v>
      </c>
      <c r="O135" s="9">
        <f>VLOOKUP(B135,'Detailed Update'!B:T,13,FALSE)</f>
        <v>46387</v>
      </c>
      <c r="P135" s="362" t="str">
        <f>_xlfn.XLOOKUP(B135,'Detailed Update'!B:B,'Detailed Update'!U:U)</f>
        <v>-</v>
      </c>
    </row>
    <row r="136" spans="1:16" ht="22.15" customHeight="1">
      <c r="A136" s="7">
        <f t="shared" si="10"/>
        <v>130</v>
      </c>
      <c r="B136" s="155" t="s">
        <v>231</v>
      </c>
      <c r="C136" s="20" t="str">
        <f>VLOOKUP(B136,'Detailed Update'!B:C,2,FALSE)</f>
        <v>380kV OHTL Between 1A BSP &amp; Kudmi BSP (Approx. 47Km)| JCPDI P-4007 1A</v>
      </c>
      <c r="D136" s="13" t="s">
        <v>755</v>
      </c>
      <c r="E136" s="14">
        <f>VLOOKUP(B136,'Detailed Update'!B:D,3,FALSE)</f>
        <v>45957</v>
      </c>
      <c r="F136" s="18">
        <f>VLOOKUP(B136,'Detailed Update'!B:T,4,FALSE)</f>
        <v>0.69879999999999998</v>
      </c>
      <c r="G136" s="18">
        <f>VLOOKUP(B136,'Detailed Update'!B:T,5,FALSE)</f>
        <v>0.29349999999999998</v>
      </c>
      <c r="H136" s="18">
        <f t="shared" si="9"/>
        <v>-0.40529999999999999</v>
      </c>
      <c r="I136" s="7" t="str">
        <f>VLOOKUP(B136,'Detailed Update'!B:I,6,FALSE)</f>
        <v>RC</v>
      </c>
      <c r="J136" s="7" t="str">
        <f>VLOOKUP(B136,'Detailed Update'!B:I,7,FALSE)</f>
        <v>Southern</v>
      </c>
      <c r="K136" s="7" t="str">
        <f>VLOOKUP(B136,'Detailed Update'!B:I,8,FALSE)</f>
        <v>Jizan</v>
      </c>
      <c r="L136" s="17" t="str">
        <f>_xlfn.XLOOKUP(B136,'Detailed Update'!B:B,'Detailed Update'!K:K)</f>
        <v>N/A</v>
      </c>
      <c r="M136" s="10">
        <f>VLOOKUP(B136,'Detailed Update'!B:T,11,FALSE)</f>
        <v>46989</v>
      </c>
      <c r="N136" s="10">
        <f>VLOOKUP(B136,'Detailed Update'!B:T,12,FALSE)</f>
        <v>46989</v>
      </c>
      <c r="O136" s="9">
        <f>VLOOKUP(B136,'Detailed Update'!B:T,13,FALSE)</f>
        <v>46505</v>
      </c>
      <c r="P136" s="362" t="str">
        <f>_xlfn.XLOOKUP(B136,'Detailed Update'!B:B,'Detailed Update'!U:U)</f>
        <v>- Plan &amp; Profile submission &amp; Approval delayed.
- Foundation design drawing submission delayed due to Geo-tech soil investigation on going.
- Access road  and structure PAD works on hold due to trees cutting/NCEC permit.
- Delay in Delivery of Insulator by Mar-27</v>
      </c>
    </row>
    <row r="137" spans="1:16" ht="22.15" customHeight="1">
      <c r="A137" s="7">
        <f t="shared" si="10"/>
        <v>131</v>
      </c>
      <c r="B137" s="155" t="s">
        <v>232</v>
      </c>
      <c r="C137" s="20" t="str">
        <f>VLOOKUP(B137,'Detailed Update'!B:C,2,FALSE)</f>
        <v>Design and construction of a buried cable to feed the industrial area</v>
      </c>
      <c r="D137" s="13" t="s">
        <v>744</v>
      </c>
      <c r="E137" s="14">
        <f>VLOOKUP(B137,'Detailed Update'!B:D,3,FALSE)</f>
        <v>45988</v>
      </c>
      <c r="F137" s="18">
        <f>VLOOKUP(B137,'Detailed Update'!B:T,4,FALSE)</f>
        <v>0.3206</v>
      </c>
      <c r="G137" s="18">
        <f>VLOOKUP(B137,'Detailed Update'!B:T,5,FALSE)</f>
        <v>0.18970000000000001</v>
      </c>
      <c r="H137" s="18">
        <f t="shared" si="9"/>
        <v>-0.13089999999999999</v>
      </c>
      <c r="I137" s="7" t="str">
        <f>VLOOKUP(B137,'Detailed Update'!B:I,6,FALSE)</f>
        <v>RC</v>
      </c>
      <c r="J137" s="7" t="str">
        <f>VLOOKUP(B137,'Detailed Update'!B:I,7,FALSE)</f>
        <v>Southern</v>
      </c>
      <c r="K137" s="7" t="str">
        <f>VLOOKUP(B137,'Detailed Update'!B:I,8,FALSE)</f>
        <v>Jizan</v>
      </c>
      <c r="L137" s="17" t="str">
        <f>_xlfn.XLOOKUP(B137,'Detailed Update'!B:B,'Detailed Update'!K:K)</f>
        <v>N/A</v>
      </c>
      <c r="M137" s="10">
        <f>VLOOKUP(B137,'Detailed Update'!B:T,11,FALSE)</f>
        <v>46617</v>
      </c>
      <c r="N137" s="10">
        <f>VLOOKUP(B137,'Detailed Update'!B:T,12,FALSE)</f>
        <v>46617</v>
      </c>
      <c r="O137" s="9">
        <f>VLOOKUP(B137,'Detailed Update'!B:T,13,FALSE)</f>
        <v>46502</v>
      </c>
      <c r="P137" s="362" t="str">
        <f>_xlfn.XLOOKUP(B137,'Detailed Update'!B:B,'Detailed Update'!U:U)</f>
        <v xml:space="preserve">.Key Rout plan approval finilaiz &amp; need to expdite reamining material POs &amp; Power cable Manfufacturing </v>
      </c>
    </row>
    <row r="138" spans="1:16" ht="22.15" customHeight="1">
      <c r="A138" s="7">
        <f t="shared" si="10"/>
        <v>132</v>
      </c>
      <c r="B138" s="155" t="s">
        <v>233</v>
      </c>
      <c r="C138" s="20" t="str">
        <f>VLOOKUP(B138,'Detailed Update'!B:C,2,FALSE)</f>
        <v>Design &amp; Construction of Electricity Substation 5E - Residential Area 132KV GIS + UGC</v>
      </c>
      <c r="D138" s="13" t="s">
        <v>603</v>
      </c>
      <c r="E138" s="14" t="str">
        <f>VLOOKUP(B138,'Detailed Update'!B:D,3,FALSE)</f>
        <v>L1</v>
      </c>
      <c r="F138" s="18">
        <f>VLOOKUP(B138,'Detailed Update'!B:T,4,FALSE)</f>
        <v>0</v>
      </c>
      <c r="G138" s="18">
        <f>VLOOKUP(B138,'Detailed Update'!B:T,5,FALSE)</f>
        <v>0</v>
      </c>
      <c r="H138" s="18">
        <f t="shared" si="9"/>
        <v>0</v>
      </c>
      <c r="I138" s="7" t="str">
        <f>VLOOKUP(B138,'Detailed Update'!B:I,6,FALSE)</f>
        <v>-</v>
      </c>
      <c r="J138" s="7" t="str">
        <f>VLOOKUP(B138,'Detailed Update'!B:I,7,FALSE)</f>
        <v>Southern</v>
      </c>
      <c r="K138" s="7" t="str">
        <f>VLOOKUP(B138,'Detailed Update'!B:I,8,FALSE)</f>
        <v>-</v>
      </c>
      <c r="L138" s="17" t="str">
        <f>_xlfn.XLOOKUP(B138,'Detailed Update'!B:B,'Detailed Update'!K:K)</f>
        <v>N/A</v>
      </c>
      <c r="M138" s="10">
        <f>VLOOKUP(B138,'Detailed Update'!B:T,11,FALSE)</f>
        <v>0</v>
      </c>
      <c r="N138" s="10">
        <f>VLOOKUP(B138,'Detailed Update'!B:T,12,FALSE)</f>
        <v>0</v>
      </c>
      <c r="O138" s="9">
        <f>VLOOKUP(B138,'Detailed Update'!B:T,13,FALSE)</f>
        <v>0</v>
      </c>
      <c r="P138" s="362" t="str">
        <f>_xlfn.XLOOKUP(B138,'Detailed Update'!B:B,'Detailed Update'!U:U)</f>
        <v>-</v>
      </c>
    </row>
    <row r="139" spans="1:16" ht="22.15" customHeight="1">
      <c r="A139" s="7">
        <f t="shared" si="10"/>
        <v>133</v>
      </c>
      <c r="B139" s="155" t="s">
        <v>234</v>
      </c>
      <c r="C139" s="20" t="str">
        <f>VLOOKUP(B139,'Detailed Update'!B:C,2,FALSE)</f>
        <v>Power supply to Saad water facility Project (new 132 kV substation project)</v>
      </c>
      <c r="D139" s="13" t="s">
        <v>603</v>
      </c>
      <c r="E139" s="14" t="str">
        <f>VLOOKUP(B139,'Detailed Update'!B:D,3,FALSE)</f>
        <v>L1</v>
      </c>
      <c r="F139" s="18">
        <f>VLOOKUP(B139,'Detailed Update'!B:T,4,FALSE)</f>
        <v>0</v>
      </c>
      <c r="G139" s="18">
        <f>VLOOKUP(B139,'Detailed Update'!B:T,5,FALSE)</f>
        <v>0</v>
      </c>
      <c r="H139" s="18">
        <f t="shared" si="9"/>
        <v>0</v>
      </c>
      <c r="I139" s="7" t="str">
        <f>VLOOKUP(B139,'Detailed Update'!B:I,6,FALSE)</f>
        <v>-</v>
      </c>
      <c r="J139" s="7" t="str">
        <f>VLOOKUP(B139,'Detailed Update'!B:I,7,FALSE)</f>
        <v>Southern</v>
      </c>
      <c r="K139" s="7" t="str">
        <f>VLOOKUP(B139,'Detailed Update'!B:I,8,FALSE)</f>
        <v>-</v>
      </c>
      <c r="L139" s="17" t="str">
        <f>_xlfn.XLOOKUP(B139,'Detailed Update'!B:B,'Detailed Update'!K:K)</f>
        <v>N/A</v>
      </c>
      <c r="M139" s="10">
        <f>VLOOKUP(B139,'Detailed Update'!B:T,11,FALSE)</f>
        <v>0</v>
      </c>
      <c r="N139" s="10">
        <f>VLOOKUP(B139,'Detailed Update'!B:T,12,FALSE)</f>
        <v>0</v>
      </c>
      <c r="O139" s="9">
        <f>VLOOKUP(B139,'Detailed Update'!B:T,13,FALSE)</f>
        <v>0</v>
      </c>
      <c r="P139" s="362" t="str">
        <f>_xlfn.XLOOKUP(B139,'Detailed Update'!B:B,'Detailed Update'!U:U)</f>
        <v>-</v>
      </c>
    </row>
    <row r="140" spans="1:16" ht="22.15" customHeight="1">
      <c r="A140" s="7">
        <f t="shared" si="10"/>
        <v>134</v>
      </c>
      <c r="B140" s="155" t="s">
        <v>235</v>
      </c>
      <c r="C140" s="20" t="str">
        <f>VLOOKUP(B140,'Detailed Update'!B:C,2,FALSE)</f>
        <v>PE364 - 380KV OHTL HDN-2 &amp; BAHA BSP</v>
      </c>
      <c r="D140" s="13" t="s">
        <v>757</v>
      </c>
      <c r="E140" s="14">
        <f>VLOOKUP(B140,'Detailed Update'!B:D,3,FALSE)</f>
        <v>45945</v>
      </c>
      <c r="F140" s="18">
        <f>VLOOKUP(B140,'Detailed Update'!B:T,4,FALSE)</f>
        <v>0.62350000000000005</v>
      </c>
      <c r="G140" s="18">
        <f>VLOOKUP(B140,'Detailed Update'!B:T,5,FALSE)</f>
        <v>0.47589999999999999</v>
      </c>
      <c r="H140" s="18">
        <f t="shared" si="9"/>
        <v>-0.14760000000000006</v>
      </c>
      <c r="I140" s="7" t="str">
        <f>VLOOKUP(B140,'Detailed Update'!B:I,6,FALSE)</f>
        <v>SEC</v>
      </c>
      <c r="J140" s="7" t="str">
        <f>VLOOKUP(B140,'Detailed Update'!B:I,7,FALSE)</f>
        <v>Southern</v>
      </c>
      <c r="K140" s="7" t="str">
        <f>VLOOKUP(B140,'Detailed Update'!B:I,8,FALSE)</f>
        <v>TAIF - BAHA</v>
      </c>
      <c r="L140" s="17" t="str">
        <f>_xlfn.XLOOKUP(B140,'Detailed Update'!B:B,'Detailed Update'!K:K)</f>
        <v>N/A</v>
      </c>
      <c r="M140" s="10">
        <f>VLOOKUP(B140,'Detailed Update'!B:T,11,FALSE)</f>
        <v>46492</v>
      </c>
      <c r="N140" s="10">
        <f>VLOOKUP(B140,'Detailed Update'!B:T,12,FALSE)</f>
        <v>46492</v>
      </c>
      <c r="O140" s="9">
        <f>VLOOKUP(B140,'Detailed Update'!B:T,13,FALSE)</f>
        <v>46614</v>
      </c>
      <c r="P140" s="362" t="str">
        <f>_xlfn.XLOOKUP(B140,'Detailed Update'!B:B,'Detailed Update'!U:U)</f>
        <v xml:space="preserve">- Contract Amendment of Rerouting Received 19-Aug that will require Change Order &amp; Impact on time and cost.
- On-Hold shipping for the Insulators &amp; Hardware due to the additional shipping cost imposed by the vendor is impacting stringing start by Oct-26.
- Manpower shortage for Assembly / Erection works impacting the site productivity.
- Delayed finalization of Stringing Subcontractor, impacting the readiness for stringing activities by Oct-26
- Delayed concreting readiness in the western area due to the availability of a batching plant (First, under relocation / Second, PO under finalization)  
</v>
      </c>
    </row>
    <row r="141" spans="1:16" ht="22.15" customHeight="1">
      <c r="A141" s="7">
        <f t="shared" si="10"/>
        <v>135</v>
      </c>
      <c r="B141" s="155" t="s">
        <v>236</v>
      </c>
      <c r="C141" s="20" t="str">
        <f>VLOOKUP(B141,'Detailed Update'!B:C,2,FALSE)</f>
        <v>132KV Ad Dayir SS</v>
      </c>
      <c r="D141" s="13" t="s">
        <v>758</v>
      </c>
      <c r="E141" s="14">
        <f>VLOOKUP(B141,'Detailed Update'!B:D,3,FALSE)</f>
        <v>46030</v>
      </c>
      <c r="F141" s="18">
        <f>VLOOKUP(B141,'Detailed Update'!B:T,4,FALSE)</f>
        <v>0.27</v>
      </c>
      <c r="G141" s="18">
        <f>VLOOKUP(B141,'Detailed Update'!B:T,5,FALSE)</f>
        <v>0.14000000000000001</v>
      </c>
      <c r="H141" s="18">
        <f t="shared" si="9"/>
        <v>-0.13</v>
      </c>
      <c r="I141" s="7" t="str">
        <f>VLOOKUP(B141,'Detailed Update'!B:I,6,FALSE)</f>
        <v>SEC</v>
      </c>
      <c r="J141" s="7" t="str">
        <f>VLOOKUP(B141,'Detailed Update'!B:I,7,FALSE)</f>
        <v>Southern</v>
      </c>
      <c r="K141" s="7" t="str">
        <f>VLOOKUP(B141,'Detailed Update'!B:I,8,FALSE)</f>
        <v>Jizan</v>
      </c>
      <c r="L141" s="17" t="str">
        <f>_xlfn.XLOOKUP(B141,'Detailed Update'!B:B,'Detailed Update'!K:K)</f>
        <v>N/A</v>
      </c>
      <c r="M141" s="10">
        <f>VLOOKUP(B141,'Detailed Update'!B:T,11,FALSE)</f>
        <v>46576</v>
      </c>
      <c r="N141" s="10">
        <f>VLOOKUP(B141,'Detailed Update'!B:T,12,FALSE)</f>
        <v>46576</v>
      </c>
      <c r="O141" s="9">
        <f>VLOOKUP(B141,'Detailed Update'!B:T,13,FALSE)</f>
        <v>46631</v>
      </c>
      <c r="P141" s="362" t="str">
        <f>_xlfn.XLOOKUP(B141,'Detailed Update'!B:B,'Detailed Update'!U:U)</f>
        <v xml:space="preserve">-Delay in mobilization and site works as site handover given on 12-Feb-26
-Delay in RFM for protection,SST, HV Cables, and MV Cables due to delay in design submission from AES for SST &amp; Protection
-Delay in power source identification for auxiliary transformers which delay relocation of existing transformers and delays excavation works for the main building
-Delay in precast supplier confirmation as for using precast slap or cast in situ, due to hard access to the site as it is on a mountainous area which will hinder supplying of precast slap. late confirmation impacts civil design and civil works.
-Delay in manpower supplier prequalification approval for civil works
-GIS GAFM released 1.5 months later than planned and no manufacturing schedule received yet from siemens  </v>
      </c>
    </row>
    <row r="142" spans="1:16" ht="22.15" customHeight="1">
      <c r="A142" s="7">
        <f t="shared" si="10"/>
        <v>136</v>
      </c>
      <c r="B142" s="155" t="s">
        <v>237</v>
      </c>
      <c r="C142" s="20" t="str">
        <f>VLOOKUP(B142,'Detailed Update'!B:C,2,FALSE)</f>
        <v>132KV Ayban SS</v>
      </c>
      <c r="D142" s="13" t="s">
        <v>743</v>
      </c>
      <c r="E142" s="14">
        <f>VLOOKUP(B142,'Detailed Update'!B:D,3,FALSE)</f>
        <v>46000</v>
      </c>
      <c r="F142" s="18">
        <f>VLOOKUP(B142,'Detailed Update'!B:T,4,FALSE)</f>
        <v>0.4022</v>
      </c>
      <c r="G142" s="18">
        <f>VLOOKUP(B142,'Detailed Update'!B:T,5,FALSE)</f>
        <v>0.19800000000000001</v>
      </c>
      <c r="H142" s="18">
        <f t="shared" si="9"/>
        <v>-0.20419999999999999</v>
      </c>
      <c r="I142" s="7" t="str">
        <f>VLOOKUP(B142,'Detailed Update'!B:I,6,FALSE)</f>
        <v>SEC</v>
      </c>
      <c r="J142" s="7" t="str">
        <f>VLOOKUP(B142,'Detailed Update'!B:I,7,FALSE)</f>
        <v>Southern</v>
      </c>
      <c r="K142" s="7" t="str">
        <f>VLOOKUP(B142,'Detailed Update'!B:I,8,FALSE)</f>
        <v>Jizan</v>
      </c>
      <c r="L142" s="17" t="str">
        <f>_xlfn.XLOOKUP(B142,'Detailed Update'!B:B,'Detailed Update'!K:K)</f>
        <v>N/A</v>
      </c>
      <c r="M142" s="10">
        <f>VLOOKUP(B142,'Detailed Update'!B:T,11,FALSE)</f>
        <v>46547</v>
      </c>
      <c r="N142" s="10">
        <f>VLOOKUP(B142,'Detailed Update'!B:T,12,FALSE)</f>
        <v>46547</v>
      </c>
      <c r="O142" s="9">
        <f>VLOOKUP(B142,'Detailed Update'!B:T,13,FALSE)</f>
        <v>46608</v>
      </c>
      <c r="P142" s="362" t="str">
        <f>_xlfn.XLOOKUP(B142,'Detailed Update'!B:B,'Detailed Update'!U:U)</f>
        <v>Presence of existing feeders, dead Gantry structures and cables causing delay in start of excavation</v>
      </c>
    </row>
    <row r="143" spans="1:16" ht="22.15" customHeight="1">
      <c r="A143" s="7">
        <f t="shared" si="10"/>
        <v>137</v>
      </c>
      <c r="B143" s="155" t="s">
        <v>238</v>
      </c>
      <c r="C143" s="20" t="str">
        <f>VLOOKUP(B143,'Detailed Update'!B:C,2,FALSE)</f>
        <v>132KV Al-Haqu SS</v>
      </c>
      <c r="D143" s="13" t="s">
        <v>603</v>
      </c>
      <c r="E143" s="14" t="str">
        <f>VLOOKUP(B143,'Detailed Update'!B:D,3,FALSE)</f>
        <v>L1</v>
      </c>
      <c r="F143" s="18">
        <f>VLOOKUP(B143,'Detailed Update'!B:T,4,FALSE)</f>
        <v>0</v>
      </c>
      <c r="G143" s="18">
        <f>VLOOKUP(B143,'Detailed Update'!B:T,5,FALSE)</f>
        <v>0</v>
      </c>
      <c r="H143" s="18">
        <f t="shared" si="9"/>
        <v>0</v>
      </c>
      <c r="I143" s="7" t="str">
        <f>VLOOKUP(B143,'Detailed Update'!B:I,6,FALSE)</f>
        <v>-</v>
      </c>
      <c r="J143" s="7" t="str">
        <f>VLOOKUP(B143,'Detailed Update'!B:I,7,FALSE)</f>
        <v>Southern</v>
      </c>
      <c r="K143" s="7" t="str">
        <f>VLOOKUP(B143,'Detailed Update'!B:I,8,FALSE)</f>
        <v>-</v>
      </c>
      <c r="L143" s="17" t="str">
        <f>_xlfn.XLOOKUP(B143,'Detailed Update'!B:B,'Detailed Update'!K:K)</f>
        <v>N/A</v>
      </c>
      <c r="M143" s="10">
        <f>VLOOKUP(B143,'Detailed Update'!B:T,11,FALSE)</f>
        <v>0</v>
      </c>
      <c r="N143" s="10">
        <f>VLOOKUP(B143,'Detailed Update'!B:T,12,FALSE)</f>
        <v>0</v>
      </c>
      <c r="O143" s="9">
        <f>VLOOKUP(B143,'Detailed Update'!B:T,13,FALSE)</f>
        <v>0</v>
      </c>
      <c r="P143" s="362" t="str">
        <f>_xlfn.XLOOKUP(B143,'Detailed Update'!B:B,'Detailed Update'!U:U)</f>
        <v>-</v>
      </c>
    </row>
    <row r="144" spans="1:16" ht="22.15" customHeight="1">
      <c r="A144" s="7">
        <f t="shared" si="10"/>
        <v>138</v>
      </c>
      <c r="B144" s="155" t="s">
        <v>239</v>
      </c>
      <c r="C144" s="20" t="str">
        <f>VLOOKUP(B144,'Detailed Update'!B:C,2,FALSE)</f>
        <v xml:space="preserve">REFURBISHMENT OF 132 KV ASIR CPS SUBSTATION IN SOUTHERN OPERATING AREA </v>
      </c>
      <c r="D144" s="13" t="s">
        <v>53</v>
      </c>
      <c r="E144" s="14" t="str">
        <f>VLOOKUP(B144,'Detailed Update'!B:D,3,FALSE)</f>
        <v>L1</v>
      </c>
      <c r="F144" s="18">
        <f>VLOOKUP(B144,'Detailed Update'!B:T,4,FALSE)</f>
        <v>0</v>
      </c>
      <c r="G144" s="18">
        <f>VLOOKUP(B144,'Detailed Update'!B:T,5,FALSE)</f>
        <v>0</v>
      </c>
      <c r="H144" s="18">
        <f t="shared" ref="H144:H148" si="11">G144-F144</f>
        <v>0</v>
      </c>
      <c r="I144" s="7" t="str">
        <f>VLOOKUP(B144,'Detailed Update'!B:I,6,FALSE)</f>
        <v>SEC</v>
      </c>
      <c r="J144" s="7" t="str">
        <f>VLOOKUP(B144,'Detailed Update'!B:I,7,FALSE)</f>
        <v>Southern</v>
      </c>
      <c r="K144" s="7" t="str">
        <f>VLOOKUP(B144,'Detailed Update'!B:I,8,FALSE)</f>
        <v>-</v>
      </c>
      <c r="L144" s="17" t="str">
        <f>_xlfn.XLOOKUP(B144,'Detailed Update'!B:B,'Detailed Update'!K:K)</f>
        <v>N/A</v>
      </c>
      <c r="M144" s="10">
        <f>VLOOKUP(B144,'Detailed Update'!B:T,11,FALSE)</f>
        <v>0</v>
      </c>
      <c r="N144" s="10">
        <f>VLOOKUP(B144,'Detailed Update'!B:T,12,FALSE)</f>
        <v>0</v>
      </c>
      <c r="O144" s="9">
        <f>VLOOKUP(B144,'Detailed Update'!B:T,13,FALSE)</f>
        <v>0</v>
      </c>
      <c r="P144" s="362" t="str">
        <f>_xlfn.XLOOKUP(B144,'Detailed Update'!B:B,'Detailed Update'!U:U)</f>
        <v>-</v>
      </c>
    </row>
    <row r="145" spans="1:16" ht="22.15" customHeight="1">
      <c r="A145" s="7">
        <f t="shared" si="10"/>
        <v>139</v>
      </c>
      <c r="B145" s="155" t="s">
        <v>240</v>
      </c>
      <c r="C145" s="20" t="str">
        <f>VLOOKUP(B145,'Detailed Update'!B:C,2,FALSE)</f>
        <v>CONVERT SAMAKH SUBSTATION TO A CONVENTIONAL SUBSTATION IN BISHA REGION-SOA</v>
      </c>
      <c r="D145" s="13" t="s">
        <v>53</v>
      </c>
      <c r="E145" s="14" t="str">
        <f>VLOOKUP(B145,'Detailed Update'!B:D,3,FALSE)</f>
        <v>L1</v>
      </c>
      <c r="F145" s="18">
        <f>VLOOKUP(B145,'Detailed Update'!B:T,4,FALSE)</f>
        <v>0</v>
      </c>
      <c r="G145" s="18">
        <f>VLOOKUP(B145,'Detailed Update'!B:T,5,FALSE)</f>
        <v>0</v>
      </c>
      <c r="H145" s="18">
        <f t="shared" si="11"/>
        <v>0</v>
      </c>
      <c r="I145" s="7" t="str">
        <f>VLOOKUP(B145,'Detailed Update'!B:I,6,FALSE)</f>
        <v>SEC</v>
      </c>
      <c r="J145" s="7" t="str">
        <f>VLOOKUP(B145,'Detailed Update'!B:I,7,FALSE)</f>
        <v>Southern</v>
      </c>
      <c r="K145" s="7" t="str">
        <f>VLOOKUP(B145,'Detailed Update'!B:I,8,FALSE)</f>
        <v>-</v>
      </c>
      <c r="L145" s="17" t="str">
        <f>_xlfn.XLOOKUP(B145,'Detailed Update'!B:B,'Detailed Update'!K:K)</f>
        <v>N/A</v>
      </c>
      <c r="M145" s="10">
        <f>VLOOKUP(B145,'Detailed Update'!B:T,11,FALSE)</f>
        <v>0</v>
      </c>
      <c r="N145" s="10">
        <f>VLOOKUP(B145,'Detailed Update'!B:T,12,FALSE)</f>
        <v>0</v>
      </c>
      <c r="O145" s="9">
        <f>VLOOKUP(B145,'Detailed Update'!B:T,13,FALSE)</f>
        <v>0</v>
      </c>
      <c r="P145" s="362" t="str">
        <f>_xlfn.XLOOKUP(B145,'Detailed Update'!B:B,'Detailed Update'!U:U)</f>
        <v>-</v>
      </c>
    </row>
    <row r="146" spans="1:16" ht="22.15" customHeight="1">
      <c r="A146" s="7">
        <f t="shared" si="10"/>
        <v>140</v>
      </c>
      <c r="B146" s="155" t="s">
        <v>241</v>
      </c>
      <c r="C146" s="20" t="str">
        <f>VLOOKUP(B146,'Detailed Update'!B:C,2,FALSE)</f>
        <v>CONST. NEW AD‑DARB S/S 132/33KV</v>
      </c>
      <c r="D146" s="13" t="s">
        <v>53</v>
      </c>
      <c r="E146" s="14">
        <f>VLOOKUP(B146,'Detailed Update'!B:D,3,FALSE)</f>
        <v>46124</v>
      </c>
      <c r="F146" s="18">
        <f>VLOOKUP(B146,'Detailed Update'!B:T,4,FALSE)</f>
        <v>7.7299999999999994E-2</v>
      </c>
      <c r="G146" s="18">
        <f>VLOOKUP(B146,'Detailed Update'!B:T,5,FALSE)</f>
        <v>7.3700000000000002E-2</v>
      </c>
      <c r="H146" s="18">
        <f t="shared" si="11"/>
        <v>-3.5999999999999921E-3</v>
      </c>
      <c r="I146" s="7" t="str">
        <f>VLOOKUP(B146,'Detailed Update'!B:I,6,FALSE)</f>
        <v>SEC</v>
      </c>
      <c r="J146" s="7" t="str">
        <f>VLOOKUP(B146,'Detailed Update'!B:I,7,FALSE)</f>
        <v>Southern</v>
      </c>
      <c r="K146" s="7" t="str">
        <f>VLOOKUP(B146,'Detailed Update'!B:I,8,FALSE)</f>
        <v>Jizan</v>
      </c>
      <c r="L146" s="17" t="str">
        <f>_xlfn.XLOOKUP(B146,'Detailed Update'!B:B,'Detailed Update'!K:K)</f>
        <v>N/A</v>
      </c>
      <c r="M146" s="10">
        <f>VLOOKUP(B146,'Detailed Update'!B:T,11,FALSE)</f>
        <v>46855</v>
      </c>
      <c r="N146" s="10">
        <f>VLOOKUP(B146,'Detailed Update'!B:T,12,FALSE)</f>
        <v>46855</v>
      </c>
      <c r="O146" s="9">
        <f>VLOOKUP(B146,'Detailed Update'!B:T,13,FALSE)</f>
        <v>46855</v>
      </c>
      <c r="P146" s="362" t="str">
        <f>_xlfn.XLOOKUP(B146,'Detailed Update'!B:B,'Detailed Update'!U:U)</f>
        <v>-</v>
      </c>
    </row>
    <row r="147" spans="1:16" ht="22.15" customHeight="1">
      <c r="A147" s="7">
        <f>A146+1</f>
        <v>141</v>
      </c>
      <c r="B147" s="155" t="s">
        <v>616</v>
      </c>
      <c r="C147" s="20" t="str">
        <f>VLOOKUP(B147,'Detailed Update'!B:C,2,FALSE)</f>
        <v>New 380KV Shunt Reactors at JRP 380KV SS &amp; Abha 380KV BSP in SOA</v>
      </c>
      <c r="D147" s="13" t="s">
        <v>53</v>
      </c>
      <c r="E147" s="14" t="str">
        <f>VLOOKUP(B147,'Detailed Update'!B:D,3,FALSE)</f>
        <v>L1</v>
      </c>
      <c r="F147" s="18">
        <f>VLOOKUP(B147,'Detailed Update'!B:T,4,FALSE)</f>
        <v>0</v>
      </c>
      <c r="G147" s="18">
        <f>VLOOKUP(B147,'Detailed Update'!B:T,5,FALSE)</f>
        <v>0</v>
      </c>
      <c r="H147" s="18">
        <f>G147-F147</f>
        <v>0</v>
      </c>
      <c r="I147" s="7" t="str">
        <f>VLOOKUP(B147,'Detailed Update'!B:I,6,FALSE)</f>
        <v>SEC</v>
      </c>
      <c r="J147" s="7" t="str">
        <f>VLOOKUP(B147,'Detailed Update'!B:I,7,FALSE)</f>
        <v>Southern</v>
      </c>
      <c r="K147" s="7" t="str">
        <f>VLOOKUP(B147,'Detailed Update'!B:I,8,FALSE)</f>
        <v>Jizan</v>
      </c>
      <c r="L147" s="17" t="str">
        <f>_xlfn.XLOOKUP(B147,'Detailed Update'!B:B,'Detailed Update'!K:K)</f>
        <v>N/A</v>
      </c>
      <c r="M147" s="10">
        <f>VLOOKUP(B147,'Detailed Update'!B:T,11,FALSE)</f>
        <v>0</v>
      </c>
      <c r="N147" s="10">
        <f>VLOOKUP(B147,'Detailed Update'!B:T,12,FALSE)</f>
        <v>0</v>
      </c>
      <c r="O147" s="9">
        <f>VLOOKUP(B147,'Detailed Update'!B:T,13,FALSE)</f>
        <v>0</v>
      </c>
      <c r="P147" s="362">
        <f>_xlfn.XLOOKUP(B147,'Detailed Update'!B:B,'Detailed Update'!U:U)</f>
        <v>0</v>
      </c>
    </row>
    <row r="148" spans="1:16" ht="22.15" customHeight="1">
      <c r="A148" s="7">
        <f>A147+1</f>
        <v>142</v>
      </c>
      <c r="B148" s="155" t="s">
        <v>242</v>
      </c>
      <c r="C148" s="20" t="str">
        <f>VLOOKUP(B148,'Detailed Update'!B:C,2,FALSE)</f>
        <v>132KV OHTL BETWEEN SAMITAH PV AND MOKTARA SUBSTATION IN JAZAN– SOA</v>
      </c>
      <c r="D148" s="13" t="s">
        <v>53</v>
      </c>
      <c r="E148" s="14">
        <f>VLOOKUP(B148,'Detailed Update'!B:D,3,FALSE)</f>
        <v>46155</v>
      </c>
      <c r="F148" s="18">
        <f>VLOOKUP(B148,'Detailed Update'!B:T,4,FALSE)</f>
        <v>0.1137</v>
      </c>
      <c r="G148" s="18">
        <f>VLOOKUP(B148,'Detailed Update'!B:T,5,FALSE)</f>
        <v>5.1799999999999999E-2</v>
      </c>
      <c r="H148" s="18">
        <f t="shared" si="11"/>
        <v>-6.1899999999999997E-2</v>
      </c>
      <c r="I148" s="7" t="str">
        <f>VLOOKUP(B148,'Detailed Update'!B:I,6,FALSE)</f>
        <v>SEC</v>
      </c>
      <c r="J148" s="7" t="str">
        <f>VLOOKUP(B148,'Detailed Update'!B:I,7,FALSE)</f>
        <v>Southern</v>
      </c>
      <c r="K148" s="7" t="str">
        <f>VLOOKUP(B148,'Detailed Update'!B:I,8,FALSE)</f>
        <v>Jizan</v>
      </c>
      <c r="L148" s="17" t="str">
        <f>_xlfn.XLOOKUP(B148,'Detailed Update'!B:B,'Detailed Update'!K:K)</f>
        <v>N/A</v>
      </c>
      <c r="M148" s="10">
        <f>VLOOKUP(B148,'Detailed Update'!B:T,11,FALSE)</f>
        <v>46704</v>
      </c>
      <c r="N148" s="10">
        <f>VLOOKUP(B148,'Detailed Update'!B:T,12,FALSE)</f>
        <v>46704</v>
      </c>
      <c r="O148" s="9">
        <f>VLOOKUP(B148,'Detailed Update'!B:T,13,FALSE)</f>
        <v>46704</v>
      </c>
      <c r="P148" s="362" t="str">
        <f>_xlfn.XLOOKUP(B148,'Detailed Update'!B:B,'Detailed Update'!U:U)</f>
        <v>-</v>
      </c>
    </row>
    <row r="149" spans="1:16" ht="22.15" customHeight="1">
      <c r="A149" s="4"/>
      <c r="B149" s="154"/>
      <c r="C149" s="5" t="s">
        <v>243</v>
      </c>
      <c r="D149" s="15"/>
      <c r="E149" s="15"/>
      <c r="F149" s="15"/>
      <c r="G149" s="15"/>
      <c r="H149" s="15"/>
      <c r="I149" s="4"/>
      <c r="J149" s="4"/>
      <c r="K149" s="4"/>
      <c r="L149" s="36"/>
      <c r="M149" s="6"/>
      <c r="N149" s="6"/>
      <c r="O149" s="12"/>
      <c r="P149" s="180"/>
    </row>
    <row r="150" spans="1:16" ht="22.15" customHeight="1">
      <c r="A150" s="13">
        <f>A148+1</f>
        <v>143</v>
      </c>
      <c r="B150" s="157" t="s">
        <v>244</v>
      </c>
      <c r="C150" s="20" t="str">
        <f>VLOOKUP(B150,'Detailed Update'!B:C,2,FALSE)</f>
        <v>Steel Factory - DOOSAN</v>
      </c>
      <c r="D150" s="13" t="s">
        <v>759</v>
      </c>
      <c r="E150" s="14">
        <f>VLOOKUP(B150,'Detailed Update'!B:D,3,FALSE)</f>
        <v>44679</v>
      </c>
      <c r="F150" s="18">
        <f>VLOOKUP(B150,'Detailed Update'!B:T,4,FALSE)</f>
        <v>0.99970000000000003</v>
      </c>
      <c r="G150" s="18">
        <f>VLOOKUP(B150,'Detailed Update'!B:T,5,FALSE)</f>
        <v>0.96519999999999995</v>
      </c>
      <c r="H150" s="18">
        <f t="shared" ref="H150:H163" si="12">G150-F150</f>
        <v>-3.4500000000000086E-2</v>
      </c>
      <c r="I150" s="7" t="str">
        <f>VLOOKUP(B150,'Detailed Update'!B:I,6,FALSE)</f>
        <v>Doosan</v>
      </c>
      <c r="J150" s="7" t="str">
        <f>VLOOKUP(B150,'Detailed Update'!B:I,7,FALSE)</f>
        <v>Eastern</v>
      </c>
      <c r="K150" s="7" t="str">
        <f>VLOOKUP(B150,'Detailed Update'!B:I,8,FALSE)</f>
        <v>Ras Al Khair</v>
      </c>
      <c r="L150" s="17" t="s">
        <v>53</v>
      </c>
      <c r="M150" s="10">
        <f>VLOOKUP(B150,'Detailed Update'!B:T,11,FALSE)</f>
        <v>45673</v>
      </c>
      <c r="N150" s="10">
        <f>VLOOKUP(B150,'Detailed Update'!B:T,12,FALSE)</f>
        <v>45673</v>
      </c>
      <c r="O150" s="9">
        <f>VLOOKUP(B150,'Detailed Update'!B:T,13,FALSE)</f>
        <v>45777</v>
      </c>
      <c r="P150" s="8" t="str">
        <f>VLOOKUP(B150,'Detailed Update'!B:U,20,FALSE)</f>
        <v>-</v>
      </c>
    </row>
    <row r="151" spans="1:16" ht="22.15" customHeight="1">
      <c r="A151" s="13">
        <f>A150+1</f>
        <v>144</v>
      </c>
      <c r="B151" s="157" t="s">
        <v>245</v>
      </c>
      <c r="C151" s="20" t="str">
        <f>VLOOKUP(B151,'Detailed Update'!B:C,2,FALSE)</f>
        <v>NEOM Village NRC-11</v>
      </c>
      <c r="D151" s="13" t="s">
        <v>760</v>
      </c>
      <c r="E151" s="14">
        <f>VLOOKUP(B151,'Detailed Update'!B:D,3,FALSE)</f>
        <v>44679</v>
      </c>
      <c r="F151" s="18">
        <f>VLOOKUP(B151,'Detailed Update'!B:T,4,FALSE)</f>
        <v>1</v>
      </c>
      <c r="G151" s="18">
        <f>VLOOKUP(B151,'Detailed Update'!B:T,5,FALSE)</f>
        <v>0.99990000000000001</v>
      </c>
      <c r="H151" s="18">
        <f t="shared" si="12"/>
        <v>-9.9999999999988987E-5</v>
      </c>
      <c r="I151" s="7" t="str">
        <f>VLOOKUP(B151,'Detailed Update'!B:I,6,FALSE)</f>
        <v>AGD</v>
      </c>
      <c r="J151" s="7" t="str">
        <f>VLOOKUP(B151,'Detailed Update'!B:I,7,FALSE)</f>
        <v>Western</v>
      </c>
      <c r="K151" s="7" t="str">
        <f>VLOOKUP(B151,'Detailed Update'!B:I,8,FALSE)</f>
        <v>NEOM</v>
      </c>
      <c r="L151" s="17" t="s">
        <v>53</v>
      </c>
      <c r="M151" s="10">
        <f>VLOOKUP(B151,'Detailed Update'!B:T,11,FALSE)</f>
        <v>45449</v>
      </c>
      <c r="N151" s="10">
        <f>VLOOKUP(B151,'Detailed Update'!B:T,12,FALSE)</f>
        <v>45449</v>
      </c>
      <c r="O151" s="9">
        <f>VLOOKUP(B151,'Detailed Update'!B:T,13,FALSE)</f>
        <v>46022</v>
      </c>
      <c r="P151" s="181" t="str">
        <f>VLOOKUP(B151,'Detailed Update'!B:U,20,FALSE)</f>
        <v>-</v>
      </c>
    </row>
    <row r="152" spans="1:16" ht="22.15" customHeight="1">
      <c r="A152" s="13">
        <f t="shared" ref="A152:A163" si="13">A151+1</f>
        <v>145</v>
      </c>
      <c r="B152" s="157" t="s">
        <v>246</v>
      </c>
      <c r="C152" s="20" t="str">
        <f>VLOOKUP(B152,'Detailed Update'!B:C,2,FALSE)</f>
        <v>NEOM Village NRC-13</v>
      </c>
      <c r="D152" s="13" t="s">
        <v>761</v>
      </c>
      <c r="E152" s="14">
        <f>VLOOKUP(B152,'Detailed Update'!B:D,3,FALSE)</f>
        <v>44679</v>
      </c>
      <c r="F152" s="18">
        <f>VLOOKUP(B152,'Detailed Update'!B:T,4,FALSE)</f>
        <v>1</v>
      </c>
      <c r="G152" s="18">
        <f>VLOOKUP(B152,'Detailed Update'!B:T,5,FALSE)</f>
        <v>0.99990000000000001</v>
      </c>
      <c r="H152" s="18">
        <f t="shared" si="12"/>
        <v>-9.9999999999988987E-5</v>
      </c>
      <c r="I152" s="7" t="str">
        <f>VLOOKUP(B152,'Detailed Update'!B:I,6,FALSE)</f>
        <v>AGD</v>
      </c>
      <c r="J152" s="7" t="str">
        <f>VLOOKUP(B152,'Detailed Update'!B:I,7,FALSE)</f>
        <v>Western</v>
      </c>
      <c r="K152" s="7" t="str">
        <f>VLOOKUP(B152,'Detailed Update'!B:I,8,FALSE)</f>
        <v>NEOM</v>
      </c>
      <c r="L152" s="17" t="s">
        <v>53</v>
      </c>
      <c r="M152" s="10">
        <f>VLOOKUP(B152,'Detailed Update'!B:T,11,FALSE)</f>
        <v>45449</v>
      </c>
      <c r="N152" s="10">
        <f>VLOOKUP(B152,'Detailed Update'!B:T,12,FALSE)</f>
        <v>45449</v>
      </c>
      <c r="O152" s="9">
        <f>VLOOKUP(B152,'Detailed Update'!B:T,13,FALSE)</f>
        <v>46022</v>
      </c>
      <c r="P152" s="181" t="str">
        <f>VLOOKUP(B152,'Detailed Update'!B:U,20,FALSE)</f>
        <v>-</v>
      </c>
    </row>
    <row r="153" spans="1:16" ht="22.15" customHeight="1">
      <c r="A153" s="13">
        <f t="shared" si="13"/>
        <v>146</v>
      </c>
      <c r="B153" s="157" t="s">
        <v>247</v>
      </c>
      <c r="C153" s="20" t="str">
        <f>VLOOKUP(B153,'Detailed Update'!B:C,2,FALSE)</f>
        <v>NEOM Village NRC-17</v>
      </c>
      <c r="D153" s="13" t="s">
        <v>762</v>
      </c>
      <c r="E153" s="14">
        <f>VLOOKUP(B153,'Detailed Update'!B:D,3,FALSE)</f>
        <v>44679</v>
      </c>
      <c r="F153" s="18">
        <f>VLOOKUP(B153,'Detailed Update'!B:T,4,FALSE)</f>
        <v>1</v>
      </c>
      <c r="G153" s="18">
        <f>VLOOKUP(B153,'Detailed Update'!B:T,5,FALSE)</f>
        <v>0.99990000000000001</v>
      </c>
      <c r="H153" s="18">
        <f t="shared" si="12"/>
        <v>-9.9999999999988987E-5</v>
      </c>
      <c r="I153" s="7" t="str">
        <f>VLOOKUP(B153,'Detailed Update'!B:I,6,FALSE)</f>
        <v>AGD</v>
      </c>
      <c r="J153" s="7" t="str">
        <f>VLOOKUP(B153,'Detailed Update'!B:I,7,FALSE)</f>
        <v>Western</v>
      </c>
      <c r="K153" s="7" t="str">
        <f>VLOOKUP(B153,'Detailed Update'!B:I,8,FALSE)</f>
        <v>NEOM</v>
      </c>
      <c r="L153" s="17" t="s">
        <v>53</v>
      </c>
      <c r="M153" s="10">
        <f>VLOOKUP(B153,'Detailed Update'!B:T,11,FALSE)</f>
        <v>45449</v>
      </c>
      <c r="N153" s="10">
        <f>VLOOKUP(B153,'Detailed Update'!B:T,12,FALSE)</f>
        <v>45449</v>
      </c>
      <c r="O153" s="9">
        <f>VLOOKUP(B153,'Detailed Update'!B:T,13,FALSE)</f>
        <v>46022</v>
      </c>
      <c r="P153" s="181" t="str">
        <f>VLOOKUP(B153,'Detailed Update'!B:U,20,FALSE)</f>
        <v>-</v>
      </c>
    </row>
    <row r="154" spans="1:16" ht="22.15" customHeight="1">
      <c r="A154" s="13">
        <f t="shared" si="13"/>
        <v>147</v>
      </c>
      <c r="B154" s="157" t="s">
        <v>248</v>
      </c>
      <c r="C154" s="20" t="str">
        <f>VLOOKUP(B154,'Detailed Update'!B:C,2,FALSE)</f>
        <v>NEOM Village NRC-19</v>
      </c>
      <c r="D154" s="13" t="s">
        <v>763</v>
      </c>
      <c r="E154" s="14" t="str">
        <f>VLOOKUP(B154,'Detailed Update'!B:D,3,FALSE)</f>
        <v xml:space="preserve"> </v>
      </c>
      <c r="F154" s="18">
        <f>VLOOKUP(B154,'Detailed Update'!B:T,4,FALSE)</f>
        <v>1</v>
      </c>
      <c r="G154" s="18">
        <f>VLOOKUP(B154,'Detailed Update'!B:T,5,FALSE)</f>
        <v>0.99990000000000001</v>
      </c>
      <c r="H154" s="18">
        <f t="shared" si="12"/>
        <v>-9.9999999999988987E-5</v>
      </c>
      <c r="I154" s="7" t="str">
        <f>VLOOKUP(B154,'Detailed Update'!B:I,6,FALSE)</f>
        <v>AGD</v>
      </c>
      <c r="J154" s="7" t="str">
        <f>VLOOKUP(B154,'Detailed Update'!B:I,7,FALSE)</f>
        <v>Western</v>
      </c>
      <c r="K154" s="7" t="str">
        <f>VLOOKUP(B154,'Detailed Update'!B:I,8,FALSE)</f>
        <v>NEOM</v>
      </c>
      <c r="L154" s="17" t="s">
        <v>53</v>
      </c>
      <c r="M154" s="10">
        <f>VLOOKUP(B154,'Detailed Update'!B:T,11,FALSE)</f>
        <v>45494</v>
      </c>
      <c r="N154" s="10">
        <f>VLOOKUP(B154,'Detailed Update'!B:T,12,FALSE)</f>
        <v>45494</v>
      </c>
      <c r="O154" s="9">
        <f>VLOOKUP(B154,'Detailed Update'!B:T,13,FALSE)</f>
        <v>46022</v>
      </c>
      <c r="P154" s="181" t="str">
        <f>VLOOKUP(B154,'Detailed Update'!B:U,20,FALSE)</f>
        <v>-</v>
      </c>
    </row>
    <row r="155" spans="1:16" ht="22.15" customHeight="1">
      <c r="A155" s="13">
        <f t="shared" si="13"/>
        <v>148</v>
      </c>
      <c r="B155" s="157" t="s">
        <v>249</v>
      </c>
      <c r="C155" s="20" t="str">
        <f>VLOOKUP(B155,'Detailed Update'!B:C,2,FALSE)</f>
        <v>NEOM Village NRC-26</v>
      </c>
      <c r="D155" s="13" t="s">
        <v>764</v>
      </c>
      <c r="E155" s="14">
        <f>VLOOKUP(B155,'Detailed Update'!B:D,3,FALSE)</f>
        <v>44885</v>
      </c>
      <c r="F155" s="18">
        <f>VLOOKUP(B155,'Detailed Update'!B:T,4,FALSE)</f>
        <v>1</v>
      </c>
      <c r="G155" s="18">
        <f>VLOOKUP(B155,'Detailed Update'!B:T,5,FALSE)</f>
        <v>0.99990000000000001</v>
      </c>
      <c r="H155" s="18">
        <f t="shared" si="12"/>
        <v>-9.9999999999988987E-5</v>
      </c>
      <c r="I155" s="7" t="str">
        <f>VLOOKUP(B155,'Detailed Update'!B:I,6,FALSE)</f>
        <v>AGD</v>
      </c>
      <c r="J155" s="7" t="str">
        <f>VLOOKUP(B155,'Detailed Update'!B:I,7,FALSE)</f>
        <v>Western</v>
      </c>
      <c r="K155" s="7" t="str">
        <f>VLOOKUP(B155,'Detailed Update'!B:I,8,FALSE)</f>
        <v>NEOM</v>
      </c>
      <c r="L155" s="17" t="s">
        <v>53</v>
      </c>
      <c r="M155" s="10">
        <f>VLOOKUP(B155,'Detailed Update'!B:T,11,FALSE)</f>
        <v>45539</v>
      </c>
      <c r="N155" s="10">
        <f>VLOOKUP(B155,'Detailed Update'!B:T,12,FALSE)</f>
        <v>45539</v>
      </c>
      <c r="O155" s="9">
        <f>VLOOKUP(B155,'Detailed Update'!B:T,13,FALSE)</f>
        <v>46022</v>
      </c>
      <c r="P155" s="8" t="str">
        <f>VLOOKUP(B155,'Detailed Update'!B:U,20,FALSE)</f>
        <v>-</v>
      </c>
    </row>
    <row r="156" spans="1:16" ht="22.15" customHeight="1">
      <c r="A156" s="13">
        <f t="shared" si="13"/>
        <v>149</v>
      </c>
      <c r="B156" s="157" t="s">
        <v>250</v>
      </c>
      <c r="C156" s="20" t="str">
        <f>VLOOKUP(B156,'Detailed Update'!B:C,2,FALSE)</f>
        <v>SEVEN JIZAN Project</v>
      </c>
      <c r="D156" s="13" t="s">
        <v>765</v>
      </c>
      <c r="E156" s="14">
        <f>VLOOKUP(B156,'Detailed Update'!B:D,3,FALSE)</f>
        <v>45074</v>
      </c>
      <c r="F156" s="18">
        <f>VLOOKUP(B156,'Detailed Update'!B:T,4,FALSE)</f>
        <v>1</v>
      </c>
      <c r="G156" s="18">
        <f>VLOOKUP(B156,'Detailed Update'!B:T,5,FALSE)</f>
        <v>0.6028</v>
      </c>
      <c r="H156" s="18">
        <f t="shared" si="12"/>
        <v>-0.3972</v>
      </c>
      <c r="I156" s="7" t="str">
        <f>VLOOKUP(B156,'Detailed Update'!B:I,6,FALSE)</f>
        <v>SEVEN</v>
      </c>
      <c r="J156" s="7" t="str">
        <f>VLOOKUP(B156,'Detailed Update'!B:I,7,FALSE)</f>
        <v>Southern</v>
      </c>
      <c r="K156" s="7" t="str">
        <f>VLOOKUP(B156,'Detailed Update'!B:I,8,FALSE)</f>
        <v>Jizan</v>
      </c>
      <c r="L156" s="17" t="s">
        <v>53</v>
      </c>
      <c r="M156" s="10">
        <f>VLOOKUP(B156,'Detailed Update'!B:T,11,FALSE)</f>
        <v>45804</v>
      </c>
      <c r="N156" s="10">
        <f>VLOOKUP(B156,'Detailed Update'!B:T,12,FALSE)</f>
        <v>45804</v>
      </c>
      <c r="O156" s="9">
        <f>VLOOKUP(B156,'Detailed Update'!B:T,13,FALSE)</f>
        <v>46294</v>
      </c>
      <c r="P156" s="13" t="str">
        <f>VLOOKUP(B156,'Detailed Update'!B:U,20,FALSE)</f>
        <v>-</v>
      </c>
    </row>
    <row r="157" spans="1:16" ht="22.15" customHeight="1">
      <c r="A157" s="13">
        <f t="shared" si="13"/>
        <v>150</v>
      </c>
      <c r="B157" s="157" t="s">
        <v>251</v>
      </c>
      <c r="C157" s="20" t="str">
        <f>VLOOKUP(B157,'Detailed Update'!B:C,2,FALSE)</f>
        <v>NEOM Community 1 expansion</v>
      </c>
      <c r="D157" s="13" t="s">
        <v>766</v>
      </c>
      <c r="E157" s="14">
        <f>VLOOKUP(B157,'Detailed Update'!B:D,3,FALSE)</f>
        <v>45078</v>
      </c>
      <c r="F157" s="18">
        <f>VLOOKUP(B157,'Detailed Update'!B:T,4,FALSE)</f>
        <v>1</v>
      </c>
      <c r="G157" s="18">
        <f>VLOOKUP(B157,'Detailed Update'!B:T,5,FALSE)</f>
        <v>1</v>
      </c>
      <c r="H157" s="18">
        <f t="shared" si="12"/>
        <v>0</v>
      </c>
      <c r="I157" s="7" t="str">
        <f>VLOOKUP(B157,'Detailed Update'!B:I,6,FALSE)</f>
        <v xml:space="preserve">NEOM  </v>
      </c>
      <c r="J157" s="7" t="str">
        <f>VLOOKUP(B157,'Detailed Update'!B:I,7,FALSE)</f>
        <v>Western</v>
      </c>
      <c r="K157" s="7" t="str">
        <f>VLOOKUP(B157,'Detailed Update'!B:I,8,FALSE)</f>
        <v>NEOM</v>
      </c>
      <c r="L157" s="17" t="s">
        <v>53</v>
      </c>
      <c r="M157" s="10">
        <f>VLOOKUP(B157,'Detailed Update'!B:T,11,FALSE)</f>
        <v>45386</v>
      </c>
      <c r="N157" s="10">
        <f>VLOOKUP(B157,'Detailed Update'!B:T,12,FALSE)</f>
        <v>45467</v>
      </c>
      <c r="O157" s="9">
        <f>VLOOKUP(B157,'Detailed Update'!B:T,13,FALSE)</f>
        <v>45792</v>
      </c>
      <c r="P157" s="8" t="str">
        <f>VLOOKUP(B157,'Detailed Update'!B:U,20,FALSE)</f>
        <v>-</v>
      </c>
    </row>
    <row r="158" spans="1:16" ht="22.15" customHeight="1">
      <c r="A158" s="13">
        <f t="shared" si="13"/>
        <v>151</v>
      </c>
      <c r="B158" s="157" t="s">
        <v>252</v>
      </c>
      <c r="C158" s="20" t="str">
        <f>VLOOKUP(B158,'Detailed Update'!B:C,2,FALSE)</f>
        <v>SWRO Des. Plant | Shoaibha PP</v>
      </c>
      <c r="D158" s="13" t="s">
        <v>767</v>
      </c>
      <c r="E158" s="14">
        <f>VLOOKUP(B158,'Detailed Update'!B:D,3,FALSE)</f>
        <v>45642</v>
      </c>
      <c r="F158" s="18">
        <f>VLOOKUP(B158,'Detailed Update'!B:T,4,FALSE)</f>
        <v>1</v>
      </c>
      <c r="G158" s="18">
        <f>VLOOKUP(B158,'Detailed Update'!B:T,5,FALSE)</f>
        <v>0.82840000000000003</v>
      </c>
      <c r="H158" s="18">
        <f t="shared" si="12"/>
        <v>-0.17159999999999997</v>
      </c>
      <c r="I158" s="7" t="str">
        <f>VLOOKUP(B158,'Detailed Update'!B:I,6,FALSE)</f>
        <v>SEC</v>
      </c>
      <c r="J158" s="7" t="str">
        <f>VLOOKUP(B158,'Detailed Update'!B:I,7,FALSE)</f>
        <v>Western</v>
      </c>
      <c r="K158" s="7" t="str">
        <f>VLOOKUP(B158,'Detailed Update'!B:I,8,FALSE)</f>
        <v>Shoaibha</v>
      </c>
      <c r="L158" s="33" t="s">
        <v>33</v>
      </c>
      <c r="M158" s="10">
        <f>VLOOKUP(B158,'Detailed Update'!B:T,11,FALSE)</f>
        <v>46158</v>
      </c>
      <c r="N158" s="10">
        <f>VLOOKUP(B158,'Detailed Update'!B:T,12,FALSE)</f>
        <v>46264</v>
      </c>
      <c r="O158" s="9">
        <f>VLOOKUP(B158,'Detailed Update'!B:T,13,FALSE)</f>
        <v>46295</v>
      </c>
      <c r="P158" s="13" t="str">
        <f>VLOOKUP(B158,'Detailed Update'!B:U,20,FALSE)</f>
        <v>* Conditions Approval received TCC 30-Aug-26 
*Neutralization Pit : SE to review and approve the required Variation Order
* PO for Existing MV switchgear CT :  Expedite the delivery of the CT
*Outdoor Works Permit : approve 24h working outside the fence. Pipe and cable routing activities are delayed 
*Tank No. 3 Outage Required: Delay on tie-in works</v>
      </c>
    </row>
    <row r="159" spans="1:16" ht="22.15" customHeight="1">
      <c r="A159" s="13">
        <f t="shared" si="13"/>
        <v>152</v>
      </c>
      <c r="B159" s="157" t="s">
        <v>253</v>
      </c>
      <c r="C159" s="20" t="str">
        <f>VLOOKUP(B159,'Detailed Update'!B:C,2,FALSE)</f>
        <v>SABGS - Phase IV Schools-Central</v>
      </c>
      <c r="D159" s="13" t="s">
        <v>759</v>
      </c>
      <c r="E159" s="14">
        <f>VLOOKUP(B159,'Detailed Update'!B:D,3,FALSE)</f>
        <v>45697</v>
      </c>
      <c r="F159" s="18">
        <f>VLOOKUP(B159,'Detailed Update'!B:T,4,FALSE)</f>
        <v>0.32400000000000001</v>
      </c>
      <c r="G159" s="18">
        <f>VLOOKUP(B159,'Detailed Update'!B:T,5,FALSE)</f>
        <v>0.21490000000000001</v>
      </c>
      <c r="H159" s="18">
        <f t="shared" si="12"/>
        <v>-0.1091</v>
      </c>
      <c r="I159" s="7" t="str">
        <f>VLOOKUP(B159,'Detailed Update'!B:I,6,FALSE)</f>
        <v>Aramco</v>
      </c>
      <c r="J159" s="7" t="str">
        <f>VLOOKUP(B159,'Detailed Update'!B:I,7,FALSE)</f>
        <v>Eastern</v>
      </c>
      <c r="K159" s="7" t="str">
        <f>VLOOKUP(B159,'Detailed Update'!B:I,8,FALSE)</f>
        <v>Dammam</v>
      </c>
      <c r="L159" s="32" t="s">
        <v>53</v>
      </c>
      <c r="M159" s="10">
        <f>VLOOKUP(B159,'Detailed Update'!B:T,11,FALSE)</f>
        <v>46657</v>
      </c>
      <c r="N159" s="10">
        <f>VLOOKUP(B159,'Detailed Update'!B:T,12,FALSE)</f>
        <v>46657</v>
      </c>
      <c r="O159" s="9">
        <f>VLOOKUP(B159,'Detailed Update'!B:T,13,FALSE)</f>
        <v>47164</v>
      </c>
      <c r="P159" s="8" t="str">
        <f>VLOOKUP(B159,'Detailed Update'!B:U,20,FALSE)</f>
        <v>-</v>
      </c>
    </row>
    <row r="160" spans="1:16" ht="22.15" customHeight="1">
      <c r="A160" s="13">
        <f t="shared" si="13"/>
        <v>153</v>
      </c>
      <c r="B160" s="157" t="s">
        <v>254</v>
      </c>
      <c r="C160" s="20" t="str">
        <f>VLOOKUP(B160,'Detailed Update'!B:C,2,FALSE)</f>
        <v xml:space="preserve">SABGS - Phase IV Schools-Southern </v>
      </c>
      <c r="D160" s="13" t="s">
        <v>759</v>
      </c>
      <c r="E160" s="14">
        <f>VLOOKUP(B160,'Detailed Update'!B:D,3,FALSE)</f>
        <v>45697</v>
      </c>
      <c r="F160" s="18">
        <f>VLOOKUP(B160,'Detailed Update'!B:T,4,FALSE)</f>
        <v>0.32040000000000002</v>
      </c>
      <c r="G160" s="18">
        <f>VLOOKUP(B160,'Detailed Update'!B:T,5,FALSE)</f>
        <v>0.19139999999999999</v>
      </c>
      <c r="H160" s="18">
        <f t="shared" si="12"/>
        <v>-0.12900000000000003</v>
      </c>
      <c r="I160" s="7" t="str">
        <f>VLOOKUP(B160,'Detailed Update'!B:I,6,FALSE)</f>
        <v>Aramco</v>
      </c>
      <c r="J160" s="7" t="str">
        <f>VLOOKUP(B160,'Detailed Update'!B:I,7,FALSE)</f>
        <v>Eastern</v>
      </c>
      <c r="K160" s="7" t="str">
        <f>VLOOKUP(B160,'Detailed Update'!B:I,8,FALSE)</f>
        <v>Hofuf</v>
      </c>
      <c r="L160" s="17" t="s">
        <v>53</v>
      </c>
      <c r="M160" s="10">
        <f>VLOOKUP(B160,'Detailed Update'!B:T,11,FALSE)</f>
        <v>46657</v>
      </c>
      <c r="N160" s="10">
        <f>VLOOKUP(B160,'Detailed Update'!B:T,12,FALSE)</f>
        <v>46657</v>
      </c>
      <c r="O160" s="9">
        <f>VLOOKUP(B160,'Detailed Update'!B:T,13,FALSE)</f>
        <v>46781</v>
      </c>
      <c r="P160" s="8" t="str">
        <f>VLOOKUP(B160,'Detailed Update'!B:U,20,FALSE)</f>
        <v>-</v>
      </c>
    </row>
    <row r="161" spans="1:16" ht="22.15" customHeight="1">
      <c r="A161" s="13">
        <f t="shared" si="13"/>
        <v>154</v>
      </c>
      <c r="B161" s="157" t="s">
        <v>255</v>
      </c>
      <c r="C161" s="20" t="str">
        <f>VLOOKUP(B161,'Detailed Update'!B:C,2,FALSE)</f>
        <v>SWRO Des. Plant- Shuqaiq Power Plant</v>
      </c>
      <c r="D161" s="13" t="s">
        <v>767</v>
      </c>
      <c r="E161" s="14">
        <f>VLOOKUP(B161,'Detailed Update'!B:D,3,FALSE)</f>
        <v>45775</v>
      </c>
      <c r="F161" s="18">
        <f>VLOOKUP(B161,'Detailed Update'!B:T,4,FALSE)</f>
        <v>0.80449999999999999</v>
      </c>
      <c r="G161" s="18">
        <f>VLOOKUP(B161,'Detailed Update'!B:T,5,FALSE)</f>
        <v>0.60060000000000002</v>
      </c>
      <c r="H161" s="18">
        <f t="shared" si="12"/>
        <v>-0.20389999999999997</v>
      </c>
      <c r="I161" s="7" t="str">
        <f>VLOOKUP(B161,'Detailed Update'!B:I,6,FALSE)</f>
        <v>SEC</v>
      </c>
      <c r="J161" s="7" t="str">
        <f>VLOOKUP(B161,'Detailed Update'!B:I,7,FALSE)</f>
        <v>Southern</v>
      </c>
      <c r="K161" s="7" t="str">
        <f>VLOOKUP(B161,'Detailed Update'!B:I,8,FALSE)</f>
        <v>Shuqaiq</v>
      </c>
      <c r="L161" s="17" t="s">
        <v>53</v>
      </c>
      <c r="M161" s="10">
        <f>VLOOKUP(B161,'Detailed Update'!B:T,11,FALSE)</f>
        <v>46321</v>
      </c>
      <c r="N161" s="10">
        <f>VLOOKUP(B161,'Detailed Update'!B:T,12,FALSE)</f>
        <v>46321</v>
      </c>
      <c r="O161" s="9">
        <f>VLOOKUP(B161,'Detailed Update'!B:T,13,FALSE)</f>
        <v>46371</v>
      </c>
      <c r="P161" s="8" t="str">
        <f>VLOOKUP(B161,'Detailed Update'!B:U,20,FALSE)</f>
        <v>*Outdoor Works Permit : approve 24h working outside the fence
*Conflict Regarding Chemical Bulk Storage Tanks:
There exists a direct and material conflict between the two documents: 
Schedule B (Cl. 5.1.10) – Contractor to utilise existing bulk tanks; no new tanks required. 
Post-Bid Clarification (Point 2) – Contractor to supply new NaOH and H₂SO₄ bulk storage tanks with all associated equipment. 
* AES arabia Material Delivery:  AES to officially confirm and expedite delivery dates no later than 20-Aug-26.</v>
      </c>
    </row>
    <row r="162" spans="1:16" ht="22.15" customHeight="1">
      <c r="A162" s="13">
        <f t="shared" si="13"/>
        <v>155</v>
      </c>
      <c r="B162" s="157" t="s">
        <v>256</v>
      </c>
      <c r="C162" s="20" t="str">
        <f>VLOOKUP(B162,'Detailed Update'!B:C,2,FALSE)</f>
        <v>Water Treatment Plant &amp; Tank - Jeddah</v>
      </c>
      <c r="D162" s="13" t="s">
        <v>767</v>
      </c>
      <c r="E162" s="14">
        <f>VLOOKUP(B162,'Detailed Update'!B:D,3,FALSE)</f>
        <v>45735</v>
      </c>
      <c r="F162" s="18">
        <f>VLOOKUP(B162,'Detailed Update'!B:T,4,FALSE)</f>
        <v>1</v>
      </c>
      <c r="G162" s="18">
        <f>VLOOKUP(B162,'Detailed Update'!B:T,5,FALSE)</f>
        <v>0.70550000000000002</v>
      </c>
      <c r="H162" s="18">
        <f t="shared" si="12"/>
        <v>-0.29449999999999998</v>
      </c>
      <c r="I162" s="7" t="str">
        <f>VLOOKUP(B162,'Detailed Update'!B:I,6,FALSE)</f>
        <v>SEC</v>
      </c>
      <c r="J162" s="7" t="str">
        <f>VLOOKUP(B162,'Detailed Update'!B:I,7,FALSE)</f>
        <v>Western</v>
      </c>
      <c r="K162" s="7" t="str">
        <f>VLOOKUP(B162,'Detailed Update'!B:I,8,FALSE)</f>
        <v>Jeddah</v>
      </c>
      <c r="L162" s="33" t="s">
        <v>33</v>
      </c>
      <c r="M162" s="10">
        <f>VLOOKUP(B162,'Detailed Update'!B:T,11,FALSE)</f>
        <v>46162</v>
      </c>
      <c r="N162" s="10">
        <f>VLOOKUP(B162,'Detailed Update'!B:T,12,FALSE)</f>
        <v>46162</v>
      </c>
      <c r="O162" s="9">
        <f>VLOOKUP(B162,'Detailed Update'!B:T,13,FALSE)</f>
        <v>46325</v>
      </c>
      <c r="P162" s="358" t="str">
        <f>VLOOKUP(B162,'Detailed Update'!B:U,20,FALSE)</f>
        <v>*Revised Schedule Submitted with TCC 30-Oct-26, Under SEC approval
*Pipe and cable routing activities are currently slow due to pending outdoor work permits: SE to expedite the issuance of all required permits for outdoor works &amp; Allow working 24h for outdoor works
* NAOH Pipeline Hold: Finalize the pending technical decision to release the activity.</v>
      </c>
    </row>
    <row r="163" spans="1:16" ht="22.15" customHeight="1">
      <c r="A163" s="13">
        <f t="shared" si="13"/>
        <v>156</v>
      </c>
      <c r="B163" s="157" t="s">
        <v>257</v>
      </c>
      <c r="C163" s="20" t="str">
        <f>VLOOKUP(B163,'Detailed Update'!B:C,2,FALSE)</f>
        <v>Main Construction Work for Al Ahsa Entertainment Complex</v>
      </c>
      <c r="D163" s="13" t="s">
        <v>763</v>
      </c>
      <c r="E163" s="14">
        <f>VLOOKUP(B163,'Detailed Update'!B:D,3,FALSE)</f>
        <v>45778</v>
      </c>
      <c r="F163" s="18">
        <f>VLOOKUP(B163,'Detailed Update'!B:T,4,FALSE)</f>
        <v>0.1144</v>
      </c>
      <c r="G163" s="18">
        <f>VLOOKUP(B163,'Detailed Update'!B:T,5,FALSE)</f>
        <v>0.11890000000000001</v>
      </c>
      <c r="H163" s="18">
        <f t="shared" si="12"/>
        <v>4.500000000000004E-3</v>
      </c>
      <c r="I163" s="7" t="str">
        <f>VLOOKUP(B163,'Detailed Update'!B:I,6,FALSE)</f>
        <v>SEVEN</v>
      </c>
      <c r="J163" s="7" t="str">
        <f>VLOOKUP(B163,'Detailed Update'!B:I,7,FALSE)</f>
        <v>Eastern</v>
      </c>
      <c r="K163" s="7" t="str">
        <f>VLOOKUP(B163,'Detailed Update'!B:I,8,FALSE)</f>
        <v>Alahsa</v>
      </c>
      <c r="L163" s="32" t="s">
        <v>53</v>
      </c>
      <c r="M163" s="10">
        <f>VLOOKUP(B163,'Detailed Update'!B:T,11,FALSE)</f>
        <v>46688</v>
      </c>
      <c r="N163" s="10">
        <f>VLOOKUP(B163,'Detailed Update'!B:T,12,FALSE)</f>
        <v>46688</v>
      </c>
      <c r="O163" s="9">
        <f>VLOOKUP(B163,'Detailed Update'!B:T,13,FALSE)</f>
        <v>46688</v>
      </c>
      <c r="P163" s="8" t="str">
        <f>VLOOKUP(B163,'Detailed Update'!B:U,20,FALSE)</f>
        <v>-</v>
      </c>
    </row>
    <row r="164" spans="1:16" ht="22.15" customHeight="1">
      <c r="A164" s="4"/>
      <c r="B164" s="154"/>
      <c r="C164" s="5" t="s">
        <v>258</v>
      </c>
      <c r="D164" s="15"/>
      <c r="E164" s="15"/>
      <c r="F164" s="15"/>
      <c r="G164" s="15"/>
      <c r="H164" s="15"/>
      <c r="I164" s="15"/>
      <c r="J164" s="4"/>
      <c r="K164" s="4"/>
      <c r="L164" s="31"/>
      <c r="M164" s="6"/>
      <c r="N164" s="6"/>
      <c r="O164" s="12"/>
      <c r="P164" s="180"/>
    </row>
    <row r="165" spans="1:16" ht="22.15" customHeight="1">
      <c r="A165" s="7">
        <f>A163+1</f>
        <v>157</v>
      </c>
      <c r="B165" s="155" t="s">
        <v>259</v>
      </c>
      <c r="C165" s="20" t="str">
        <f>VLOOKUP(B165,'Detailed Update'!B:C,2,FALSE)</f>
        <v>Rehab &amp; Development of Ohud Hospital</v>
      </c>
      <c r="D165" s="13" t="s">
        <v>768</v>
      </c>
      <c r="E165" s="14">
        <f>VLOOKUP(B165,'Detailed Update'!B:D,3,FALSE)</f>
        <v>44488</v>
      </c>
      <c r="F165" s="18">
        <f>VLOOKUP(B165,'Detailed Update'!B:T,4,FALSE)</f>
        <v>1</v>
      </c>
      <c r="G165" s="18">
        <f>VLOOKUP(B165,'Detailed Update'!B:T,5,FALSE)</f>
        <v>0.97440000000000004</v>
      </c>
      <c r="H165" s="18">
        <f t="shared" ref="H165:H182" si="14">G165-F165</f>
        <v>-2.5599999999999956E-2</v>
      </c>
      <c r="I165" s="7" t="str">
        <f>VLOOKUP(B165,'Detailed Update'!B:I,6,FALSE)</f>
        <v>MOH</v>
      </c>
      <c r="J165" s="7" t="str">
        <f>VLOOKUP(B165,'Detailed Update'!B:I,7,FALSE)</f>
        <v>Western</v>
      </c>
      <c r="K165" s="7" t="str">
        <f>VLOOKUP(B165,'Detailed Update'!B:I,8,FALSE)</f>
        <v>Madinah</v>
      </c>
      <c r="L165" s="17" t="s">
        <v>53</v>
      </c>
      <c r="M165" s="10">
        <f>VLOOKUP(B165,'Detailed Update'!B:T,11,FALSE)</f>
        <v>45400</v>
      </c>
      <c r="N165" s="10">
        <f>VLOOKUP(B165,'Detailed Update'!B:T,12,FALSE)</f>
        <v>45948</v>
      </c>
      <c r="O165" s="9">
        <f>VLOOKUP(B165,'Detailed Update'!B:T,13,FALSE)</f>
        <v>46265</v>
      </c>
      <c r="P165" s="11" t="str">
        <f>VLOOKUP(B165,'Detailed Update'!B:U,20,FALSE)</f>
        <v>-</v>
      </c>
    </row>
    <row r="166" spans="1:16" ht="22.15" customHeight="1">
      <c r="A166" s="13">
        <f>A165+1</f>
        <v>158</v>
      </c>
      <c r="B166" s="157" t="s">
        <v>260</v>
      </c>
      <c r="C166" s="20" t="str">
        <f>VLOOKUP(B166,'Detailed Update'!B:C,2,FALSE)</f>
        <v>CONST OF COLLEGE -Faculty of Science – Univ of Tabuk.</v>
      </c>
      <c r="D166" s="13" t="s">
        <v>769</v>
      </c>
      <c r="E166" s="14">
        <f>VLOOKUP(B166,'Detailed Update'!B:D,3,FALSE)</f>
        <v>44760</v>
      </c>
      <c r="F166" s="18">
        <f>VLOOKUP(B166,'Detailed Update'!B:T,4,FALSE)</f>
        <v>1</v>
      </c>
      <c r="G166" s="18">
        <f>VLOOKUP(B166,'Detailed Update'!B:T,5,FALSE)</f>
        <v>0.94089999999999996</v>
      </c>
      <c r="H166" s="18">
        <f t="shared" si="14"/>
        <v>-5.9100000000000041E-2</v>
      </c>
      <c r="I166" s="7" t="str">
        <f>VLOOKUP(B166,'Detailed Update'!B:I,6,FALSE)</f>
        <v>University of Tabuk</v>
      </c>
      <c r="J166" s="7" t="str">
        <f>VLOOKUP(B166,'Detailed Update'!B:I,7,FALSE)</f>
        <v>Western</v>
      </c>
      <c r="K166" s="7" t="str">
        <f>VLOOKUP(B166,'Detailed Update'!B:I,8,FALSE)</f>
        <v>Tabuk - KSA.</v>
      </c>
      <c r="L166" s="33" t="s">
        <v>33</v>
      </c>
      <c r="M166" s="10">
        <f>VLOOKUP(B166,'Detailed Update'!B:T,11,FALSE)</f>
        <v>45300</v>
      </c>
      <c r="N166" s="10">
        <f>VLOOKUP(B166,'Detailed Update'!B:T,12,FALSE)</f>
        <v>46168</v>
      </c>
      <c r="O166" s="9">
        <f>VLOOKUP(B166,'Detailed Update'!B:T,13,FALSE)</f>
        <v>46249</v>
      </c>
      <c r="P166" s="8" t="str">
        <f>VLOOKUP(B166,'Detailed Update'!B:U,20,FALSE)</f>
        <v>-</v>
      </c>
    </row>
    <row r="167" spans="1:16" ht="22.15" customHeight="1">
      <c r="A167" s="13">
        <f t="shared" ref="A167:A182" si="15">A166+1</f>
        <v>159</v>
      </c>
      <c r="B167" s="157" t="s">
        <v>261</v>
      </c>
      <c r="C167" s="20" t="str">
        <f>VLOOKUP(B167,'Detailed Update'!B:C,2,FALSE)</f>
        <v>Four Season Resort, Triple Bay, Amaala</v>
      </c>
      <c r="D167" s="13" t="s">
        <v>770</v>
      </c>
      <c r="E167" s="14">
        <f>VLOOKUP(B167,'Detailed Update'!B:D,3,FALSE)</f>
        <v>45169</v>
      </c>
      <c r="F167" s="18">
        <f>VLOOKUP(B167,'Detailed Update'!B:T,4,FALSE)</f>
        <v>1</v>
      </c>
      <c r="G167" s="18">
        <f>VLOOKUP(B167,'Detailed Update'!B:T,5,FALSE)</f>
        <v>0.98709999999999998</v>
      </c>
      <c r="H167" s="18">
        <f t="shared" si="14"/>
        <v>-1.2900000000000023E-2</v>
      </c>
      <c r="I167" s="7" t="str">
        <f>VLOOKUP(B167,'Detailed Update'!B:I,6,FALSE)</f>
        <v>AMAALA</v>
      </c>
      <c r="J167" s="7" t="str">
        <f>VLOOKUP(B167,'Detailed Update'!B:I,7,FALSE)</f>
        <v>Western</v>
      </c>
      <c r="K167" s="7" t="str">
        <f>VLOOKUP(B167,'Detailed Update'!B:I,8,FALSE)</f>
        <v>Al Wajh</v>
      </c>
      <c r="L167" s="33" t="s">
        <v>26</v>
      </c>
      <c r="M167" s="10">
        <f>VLOOKUP(B167,'Detailed Update'!B:T,11,FALSE)</f>
        <v>45643</v>
      </c>
      <c r="N167" s="10">
        <f>VLOOKUP(B167,'Detailed Update'!B:T,12,FALSE)</f>
        <v>45899</v>
      </c>
      <c r="O167" s="9">
        <f>VLOOKUP(B167,'Detailed Update'!B:T,13,FALSE)</f>
        <v>46264</v>
      </c>
      <c r="P167" s="8" t="str">
        <f>VLOOKUP(B167,'Detailed Update'!B:U,20,FALSE)</f>
        <v>-</v>
      </c>
    </row>
    <row r="168" spans="1:16" ht="22.15" customHeight="1">
      <c r="A168" s="13">
        <f t="shared" si="15"/>
        <v>160</v>
      </c>
      <c r="B168" s="157" t="s">
        <v>262</v>
      </c>
      <c r="C168" s="20" t="str">
        <f>VLOOKUP(B168,'Detailed Update'!B:C,2,FALSE)</f>
        <v>NEOM MEP | NRC-11</v>
      </c>
      <c r="D168" s="13" t="s">
        <v>771</v>
      </c>
      <c r="E168" s="14">
        <f>VLOOKUP(B168,'Detailed Update'!B:D,3,FALSE)</f>
        <v>44840</v>
      </c>
      <c r="F168" s="18">
        <f>VLOOKUP(B168,'Detailed Update'!B:T,4,FALSE)</f>
        <v>1</v>
      </c>
      <c r="G168" s="18">
        <f>VLOOKUP(B168,'Detailed Update'!B:T,5,FALSE)</f>
        <v>0.99990000000000001</v>
      </c>
      <c r="H168" s="18">
        <f t="shared" si="14"/>
        <v>-9.9999999999988987E-5</v>
      </c>
      <c r="I168" s="7" t="str">
        <f>VLOOKUP(B168,'Detailed Update'!B:I,6,FALSE)</f>
        <v>Alfanar EC</v>
      </c>
      <c r="J168" s="7" t="str">
        <f>VLOOKUP(B168,'Detailed Update'!B:I,7,FALSE)</f>
        <v>Western</v>
      </c>
      <c r="K168" s="7" t="str">
        <f>VLOOKUP(B168,'Detailed Update'!B:I,8,FALSE)</f>
        <v>NEOM</v>
      </c>
      <c r="L168" s="33" t="s">
        <v>53</v>
      </c>
      <c r="M168" s="10">
        <f>VLOOKUP(B168,'Detailed Update'!B:T,11,FALSE)</f>
        <v>45449</v>
      </c>
      <c r="N168" s="10">
        <f>VLOOKUP(B168,'Detailed Update'!B:T,12,FALSE)</f>
        <v>45449</v>
      </c>
      <c r="O168" s="9">
        <f>VLOOKUP(B168,'Detailed Update'!B:T,13,FALSE)</f>
        <v>46022</v>
      </c>
      <c r="P168" s="8" t="str">
        <f>VLOOKUP(B168,'Detailed Update'!B:U,20,FALSE)</f>
        <v>-</v>
      </c>
    </row>
    <row r="169" spans="1:16" ht="22.15" customHeight="1">
      <c r="A169" s="13">
        <f t="shared" si="15"/>
        <v>161</v>
      </c>
      <c r="B169" s="157" t="s">
        <v>263</v>
      </c>
      <c r="C169" s="20" t="str">
        <f>VLOOKUP(B169,'Detailed Update'!B:C,2,FALSE)</f>
        <v>NEOM MEP | NRC-13</v>
      </c>
      <c r="D169" s="13" t="s">
        <v>771</v>
      </c>
      <c r="E169" s="14">
        <f>VLOOKUP(B169,'Detailed Update'!B:D,3,FALSE)</f>
        <v>44840</v>
      </c>
      <c r="F169" s="18">
        <f>VLOOKUP(B169,'Detailed Update'!B:T,4,FALSE)</f>
        <v>1</v>
      </c>
      <c r="G169" s="18">
        <f>VLOOKUP(B169,'Detailed Update'!B:T,5,FALSE)</f>
        <v>0.99990000000000001</v>
      </c>
      <c r="H169" s="18">
        <f t="shared" si="14"/>
        <v>-9.9999999999988987E-5</v>
      </c>
      <c r="I169" s="7" t="str">
        <f>VLOOKUP(B169,'Detailed Update'!B:I,6,FALSE)</f>
        <v>Alfanar EC</v>
      </c>
      <c r="J169" s="7" t="str">
        <f>VLOOKUP(B169,'Detailed Update'!B:I,7,FALSE)</f>
        <v>Western</v>
      </c>
      <c r="K169" s="7" t="str">
        <f>VLOOKUP(B169,'Detailed Update'!B:I,8,FALSE)</f>
        <v>NEOM</v>
      </c>
      <c r="L169" s="33" t="s">
        <v>53</v>
      </c>
      <c r="M169" s="10">
        <f>VLOOKUP(B169,'Detailed Update'!B:T,11,FALSE)</f>
        <v>45449</v>
      </c>
      <c r="N169" s="10">
        <f>VLOOKUP(B169,'Detailed Update'!B:T,12,FALSE)</f>
        <v>45449</v>
      </c>
      <c r="O169" s="9">
        <f>VLOOKUP(B169,'Detailed Update'!B:T,13,FALSE)</f>
        <v>46022</v>
      </c>
      <c r="P169" s="8" t="str">
        <f>VLOOKUP(B169,'Detailed Update'!B:U,20,FALSE)</f>
        <v>-</v>
      </c>
    </row>
    <row r="170" spans="1:16" ht="22.15" customHeight="1">
      <c r="A170" s="13">
        <f t="shared" si="15"/>
        <v>162</v>
      </c>
      <c r="B170" s="157" t="s">
        <v>264</v>
      </c>
      <c r="C170" s="20" t="str">
        <f>VLOOKUP(B170,'Detailed Update'!B:C,2,FALSE)</f>
        <v>NEOM MEP | NRC-17</v>
      </c>
      <c r="D170" s="13" t="s">
        <v>771</v>
      </c>
      <c r="E170" s="14">
        <f>VLOOKUP(B170,'Detailed Update'!B:D,3,FALSE)</f>
        <v>44840</v>
      </c>
      <c r="F170" s="18">
        <f>VLOOKUP(B170,'Detailed Update'!B:T,4,FALSE)</f>
        <v>1</v>
      </c>
      <c r="G170" s="18">
        <f>VLOOKUP(B170,'Detailed Update'!B:T,5,FALSE)</f>
        <v>0.99990000000000001</v>
      </c>
      <c r="H170" s="18">
        <f t="shared" si="14"/>
        <v>-9.9999999999988987E-5</v>
      </c>
      <c r="I170" s="7" t="str">
        <f>VLOOKUP(B170,'Detailed Update'!B:I,6,FALSE)</f>
        <v>Alfanar EC</v>
      </c>
      <c r="J170" s="7" t="str">
        <f>VLOOKUP(B170,'Detailed Update'!B:I,7,FALSE)</f>
        <v>Western</v>
      </c>
      <c r="K170" s="7" t="str">
        <f>VLOOKUP(B170,'Detailed Update'!B:I,8,FALSE)</f>
        <v>NEOM</v>
      </c>
      <c r="L170" s="33" t="s">
        <v>53</v>
      </c>
      <c r="M170" s="10">
        <f>VLOOKUP(B170,'Detailed Update'!B:T,11,FALSE)</f>
        <v>45449</v>
      </c>
      <c r="N170" s="10">
        <f>VLOOKUP(B170,'Detailed Update'!B:T,12,FALSE)</f>
        <v>45449</v>
      </c>
      <c r="O170" s="9">
        <f>VLOOKUP(B170,'Detailed Update'!B:T,13,FALSE)</f>
        <v>46022</v>
      </c>
      <c r="P170" s="8" t="str">
        <f>VLOOKUP(B170,'Detailed Update'!B:U,20,FALSE)</f>
        <v>-</v>
      </c>
    </row>
    <row r="171" spans="1:16" ht="22.15" customHeight="1">
      <c r="A171" s="13">
        <f t="shared" si="15"/>
        <v>163</v>
      </c>
      <c r="B171" s="155" t="s">
        <v>265</v>
      </c>
      <c r="C171" s="20" t="str">
        <f>VLOOKUP(B171,'Detailed Update'!B:C,2,FALSE)</f>
        <v>NEOM MEP | NRC-19</v>
      </c>
      <c r="D171" s="13" t="s">
        <v>771</v>
      </c>
      <c r="E171" s="14">
        <f>VLOOKUP(B171,'Detailed Update'!B:D,3,FALSE)</f>
        <v>44885</v>
      </c>
      <c r="F171" s="18">
        <f>VLOOKUP(B171,'Detailed Update'!B:T,4,FALSE)</f>
        <v>1</v>
      </c>
      <c r="G171" s="18">
        <f>VLOOKUP(B171,'Detailed Update'!B:T,5,FALSE)</f>
        <v>0.99990000000000001</v>
      </c>
      <c r="H171" s="18">
        <f t="shared" si="14"/>
        <v>-9.9999999999988987E-5</v>
      </c>
      <c r="I171" s="7" t="str">
        <f>VLOOKUP(B171,'Detailed Update'!B:I,6,FALSE)</f>
        <v>Alfanar EC</v>
      </c>
      <c r="J171" s="7" t="str">
        <f>VLOOKUP(B171,'Detailed Update'!B:I,7,FALSE)</f>
        <v>Western</v>
      </c>
      <c r="K171" s="7" t="str">
        <f>VLOOKUP(B171,'Detailed Update'!B:I,8,FALSE)</f>
        <v>NEOM</v>
      </c>
      <c r="L171" s="33" t="s">
        <v>53</v>
      </c>
      <c r="M171" s="10">
        <f>VLOOKUP(B171,'Detailed Update'!B:T,11,FALSE)</f>
        <v>45494</v>
      </c>
      <c r="N171" s="10">
        <f>VLOOKUP(B171,'Detailed Update'!B:T,12,FALSE)</f>
        <v>45494</v>
      </c>
      <c r="O171" s="9">
        <f>VLOOKUP(B171,'Detailed Update'!B:T,13,FALSE)</f>
        <v>46022</v>
      </c>
      <c r="P171" s="11" t="str">
        <f>VLOOKUP(B171,'Detailed Update'!B:U,20,FALSE)</f>
        <v>-</v>
      </c>
    </row>
    <row r="172" spans="1:16" ht="22.15" customHeight="1">
      <c r="A172" s="13">
        <f t="shared" si="15"/>
        <v>164</v>
      </c>
      <c r="B172" s="157" t="s">
        <v>266</v>
      </c>
      <c r="C172" s="20" t="str">
        <f>VLOOKUP(B172,'Detailed Update'!B:C,2,FALSE)</f>
        <v>NEOM MEP | NRC-26</v>
      </c>
      <c r="D172" s="13" t="s">
        <v>771</v>
      </c>
      <c r="E172" s="14">
        <f>VLOOKUP(B172,'Detailed Update'!B:D,3,FALSE)</f>
        <v>44885</v>
      </c>
      <c r="F172" s="18">
        <f>VLOOKUP(B172,'Detailed Update'!B:T,4,FALSE)</f>
        <v>1</v>
      </c>
      <c r="G172" s="18">
        <f>VLOOKUP(B172,'Detailed Update'!B:T,5,FALSE)</f>
        <v>0.99990000000000001</v>
      </c>
      <c r="H172" s="18">
        <f t="shared" si="14"/>
        <v>-9.9999999999988987E-5</v>
      </c>
      <c r="I172" s="7" t="str">
        <f>VLOOKUP(B172,'Detailed Update'!B:I,6,FALSE)</f>
        <v>Alfanar EC</v>
      </c>
      <c r="J172" s="7" t="str">
        <f>VLOOKUP(B172,'Detailed Update'!B:I,7,FALSE)</f>
        <v>Western</v>
      </c>
      <c r="K172" s="7" t="str">
        <f>VLOOKUP(B172,'Detailed Update'!B:I,8,FALSE)</f>
        <v>NEOM</v>
      </c>
      <c r="L172" s="33" t="s">
        <v>53</v>
      </c>
      <c r="M172" s="10">
        <f>VLOOKUP(B172,'Detailed Update'!B:T,11,FALSE)</f>
        <v>45539</v>
      </c>
      <c r="N172" s="10">
        <f>VLOOKUP(B172,'Detailed Update'!B:T,12,FALSE)</f>
        <v>45539</v>
      </c>
      <c r="O172" s="9">
        <f>VLOOKUP(B172,'Detailed Update'!B:T,13,FALSE)</f>
        <v>46022</v>
      </c>
      <c r="P172" s="8" t="str">
        <f>VLOOKUP(B172,'Detailed Update'!B:U,20,FALSE)</f>
        <v>-</v>
      </c>
    </row>
    <row r="173" spans="1:16" ht="22.15" customHeight="1">
      <c r="A173" s="13">
        <f t="shared" si="15"/>
        <v>165</v>
      </c>
      <c r="B173" s="157" t="s">
        <v>267</v>
      </c>
      <c r="C173" s="20" t="str">
        <f>VLOOKUP(B173,'Detailed Update'!B:C,2,FALSE)</f>
        <v>MEP Works for AMAALA YACHT CLUB</v>
      </c>
      <c r="D173" s="13" t="s">
        <v>771</v>
      </c>
      <c r="E173" s="14">
        <f>VLOOKUP(B173,'Detailed Update'!B:D,3,FALSE)</f>
        <v>45549</v>
      </c>
      <c r="F173" s="18">
        <f>VLOOKUP(B173,'Detailed Update'!B:T,4,FALSE)</f>
        <v>1</v>
      </c>
      <c r="G173" s="18">
        <f>VLOOKUP(B173,'Detailed Update'!B:T,5,FALSE)</f>
        <v>0.999</v>
      </c>
      <c r="H173" s="18">
        <f t="shared" si="14"/>
        <v>-1.0000000000000009E-3</v>
      </c>
      <c r="I173" s="7" t="str">
        <f>VLOOKUP(B173,'Detailed Update'!B:I,6,FALSE)</f>
        <v>AMAALA</v>
      </c>
      <c r="J173" s="7" t="str">
        <f>VLOOKUP(B173,'Detailed Update'!B:I,7,FALSE)</f>
        <v>Western</v>
      </c>
      <c r="K173" s="7" t="str">
        <f>VLOOKUP(B173,'Detailed Update'!B:I,8,FALSE)</f>
        <v>Al Wajh</v>
      </c>
      <c r="L173" s="33" t="s">
        <v>53</v>
      </c>
      <c r="M173" s="10">
        <f>VLOOKUP(B173,'Detailed Update'!B:T,11,FALSE)</f>
        <v>45715</v>
      </c>
      <c r="N173" s="10">
        <f>VLOOKUP(B173,'Detailed Update'!B:T,12,FALSE)</f>
        <v>45960</v>
      </c>
      <c r="O173" s="9">
        <f>VLOOKUP(B173,'Detailed Update'!B:T,13,FALSE)</f>
        <v>46234</v>
      </c>
      <c r="P173" s="8" t="str">
        <f>VLOOKUP(B173,'Detailed Update'!B:U,20,FALSE)</f>
        <v>-</v>
      </c>
    </row>
    <row r="174" spans="1:16" ht="22.15" customHeight="1">
      <c r="A174" s="13">
        <f t="shared" si="15"/>
        <v>166</v>
      </c>
      <c r="B174" s="155" t="s">
        <v>268</v>
      </c>
      <c r="C174" s="20" t="str">
        <f>VLOOKUP(B174,'Detailed Update'!B:C,2,FALSE)</f>
        <v>NEOM  - BMS FOR 5 VILLAGES</v>
      </c>
      <c r="D174" s="13" t="s">
        <v>771</v>
      </c>
      <c r="E174" s="14">
        <f>VLOOKUP(B174,'Detailed Update'!B:D,3,FALSE)</f>
        <v>45641</v>
      </c>
      <c r="F174" s="18">
        <f>VLOOKUP(B174,'Detailed Update'!B:T,4,FALSE)</f>
        <v>1</v>
      </c>
      <c r="G174" s="18">
        <f>VLOOKUP(B174,'Detailed Update'!B:T,5,FALSE)</f>
        <v>1</v>
      </c>
      <c r="H174" s="18">
        <f t="shared" si="14"/>
        <v>0</v>
      </c>
      <c r="I174" s="7" t="str">
        <f>VLOOKUP(B174,'Detailed Update'!B:I,6,FALSE)</f>
        <v>ALFANAR - AGD</v>
      </c>
      <c r="J174" s="7" t="str">
        <f>VLOOKUP(B174,'Detailed Update'!B:I,7,FALSE)</f>
        <v>Western</v>
      </c>
      <c r="K174" s="7" t="str">
        <f>VLOOKUP(B174,'Detailed Update'!B:I,8,FALSE)</f>
        <v>NEOM</v>
      </c>
      <c r="L174" s="37" t="s">
        <v>53</v>
      </c>
      <c r="M174" s="10">
        <f>VLOOKUP(B174,'Detailed Update'!B:T,11,FALSE)</f>
        <v>45778</v>
      </c>
      <c r="N174" s="10">
        <f>VLOOKUP(B174,'Detailed Update'!B:T,12,FALSE)</f>
        <v>45778</v>
      </c>
      <c r="O174" s="9">
        <f>VLOOKUP(B174,'Detailed Update'!B:T,13,FALSE)</f>
        <v>46022</v>
      </c>
      <c r="P174" s="8" t="str">
        <f>VLOOKUP(B174,'Detailed Update'!B:U,20,FALSE)</f>
        <v>-</v>
      </c>
    </row>
    <row r="175" spans="1:16" ht="22.15" customHeight="1">
      <c r="A175" s="13">
        <f t="shared" si="15"/>
        <v>167</v>
      </c>
      <c r="B175" s="155" t="s">
        <v>269</v>
      </c>
      <c r="C175" s="20" t="str">
        <f>VLOOKUP(B175,'Detailed Update'!B:C,2,FALSE)</f>
        <v xml:space="preserve">ALFANAR HEALTH CARE - BIM SERVICE				</v>
      </c>
      <c r="D175" s="13" t="s">
        <v>771</v>
      </c>
      <c r="E175" s="14">
        <f>VLOOKUP(B175,'Detailed Update'!B:D,3,FALSE)</f>
        <v>45631</v>
      </c>
      <c r="F175" s="18">
        <f>VLOOKUP(B175,'Detailed Update'!B:T,4,FALSE)</f>
        <v>1</v>
      </c>
      <c r="G175" s="18">
        <f>VLOOKUP(B175,'Detailed Update'!B:T,5,FALSE)</f>
        <v>1</v>
      </c>
      <c r="H175" s="18">
        <f t="shared" si="14"/>
        <v>0</v>
      </c>
      <c r="I175" s="7" t="str">
        <f>VLOOKUP(B175,'Detailed Update'!B:I,6,FALSE)</f>
        <v>Alfanar Health Care</v>
      </c>
      <c r="J175" s="7" t="str">
        <f>VLOOKUP(B175,'Detailed Update'!B:I,7,FALSE)</f>
        <v>Western</v>
      </c>
      <c r="K175" s="7" t="str">
        <f>VLOOKUP(B175,'Detailed Update'!B:I,8,FALSE)</f>
        <v>Amaala</v>
      </c>
      <c r="L175" s="37" t="s">
        <v>53</v>
      </c>
      <c r="M175" s="10">
        <f>VLOOKUP(B175,'Detailed Update'!B:T,11,FALSE)</f>
        <v>45778</v>
      </c>
      <c r="N175" s="10">
        <f>VLOOKUP(B175,'Detailed Update'!B:T,12,FALSE)</f>
        <v>45778</v>
      </c>
      <c r="O175" s="9">
        <f>VLOOKUP(B175,'Detailed Update'!B:T,13,FALSE)</f>
        <v>46022</v>
      </c>
      <c r="P175" s="8" t="str">
        <f>VLOOKUP(B175,'Detailed Update'!B:U,20,FALSE)</f>
        <v>-</v>
      </c>
    </row>
    <row r="176" spans="1:16" ht="22.15" customHeight="1">
      <c r="A176" s="13">
        <f t="shared" si="15"/>
        <v>168</v>
      </c>
      <c r="B176" s="155" t="s">
        <v>270</v>
      </c>
      <c r="C176" s="20" t="str">
        <f>VLOOKUP(B176,'Detailed Update'!B:C,2,FALSE)</f>
        <v>NEOM Expansion - (PE-269 Project)</v>
      </c>
      <c r="D176" s="13" t="s">
        <v>771</v>
      </c>
      <c r="E176" s="14">
        <f>VLOOKUP(B176,'Detailed Update'!B:D,3,FALSE)</f>
        <v>45761</v>
      </c>
      <c r="F176" s="18">
        <f>VLOOKUP(B176,'Detailed Update'!B:T,4,FALSE)</f>
        <v>1</v>
      </c>
      <c r="G176" s="18">
        <f>VLOOKUP(B176,'Detailed Update'!B:T,5,FALSE)</f>
        <v>1</v>
      </c>
      <c r="H176" s="18">
        <f t="shared" si="14"/>
        <v>0</v>
      </c>
      <c r="I176" s="7" t="str">
        <f>VLOOKUP(B176,'Detailed Update'!B:I,6,FALSE)</f>
        <v>Alfanar EC</v>
      </c>
      <c r="J176" s="7" t="str">
        <f>VLOOKUP(B176,'Detailed Update'!B:I,7,FALSE)</f>
        <v>Western</v>
      </c>
      <c r="K176" s="7" t="str">
        <f>VLOOKUP(B176,'Detailed Update'!B:I,8,FALSE)</f>
        <v>NEOM</v>
      </c>
      <c r="L176" s="37" t="s">
        <v>53</v>
      </c>
      <c r="M176" s="10">
        <f>VLOOKUP(B176,'Detailed Update'!B:T,11,FALSE)</f>
        <v>45808</v>
      </c>
      <c r="N176" s="10">
        <f>VLOOKUP(B176,'Detailed Update'!B:T,12,FALSE)</f>
        <v>45808</v>
      </c>
      <c r="O176" s="9">
        <f>VLOOKUP(B176,'Detailed Update'!B:T,13,FALSE)</f>
        <v>45808</v>
      </c>
      <c r="P176" s="185" t="str">
        <f>VLOOKUP(B176,'Detailed Update'!B:U,20,FALSE)</f>
        <v>-</v>
      </c>
    </row>
    <row r="177" spans="1:16" ht="22.15" customHeight="1">
      <c r="A177" s="13">
        <f t="shared" si="15"/>
        <v>169</v>
      </c>
      <c r="B177" s="155" t="s">
        <v>271</v>
      </c>
      <c r="C177" s="20" t="str">
        <f>VLOOKUP(B177,'Detailed Update'!B:C,2,FALSE)</f>
        <v>HVDC-1 | COA-WOA | RUH-9022 - MEP WORKS</v>
      </c>
      <c r="D177" s="13" t="s">
        <v>771</v>
      </c>
      <c r="E177" s="14">
        <f>VLOOKUP(B177,'Detailed Update'!B:D,3,FALSE)</f>
        <v>45792</v>
      </c>
      <c r="F177" s="18">
        <f>VLOOKUP(B177,'Detailed Update'!B:T,4,FALSE)</f>
        <v>0.96020000000000005</v>
      </c>
      <c r="G177" s="18">
        <f>VLOOKUP(B177,'Detailed Update'!B:T,5,FALSE)</f>
        <v>0.74750000000000005</v>
      </c>
      <c r="H177" s="18">
        <f t="shared" si="14"/>
        <v>-0.2127</v>
      </c>
      <c r="I177" s="7" t="str">
        <f>VLOOKUP(B177,'Detailed Update'!B:I,6,FALSE)</f>
        <v>Alfanar EC</v>
      </c>
      <c r="J177" s="7" t="str">
        <f>VLOOKUP(B177,'Detailed Update'!B:I,7,FALSE)</f>
        <v>Central</v>
      </c>
      <c r="K177" s="7" t="str">
        <f>VLOOKUP(B177,'Detailed Update'!B:I,8,FALSE)</f>
        <v>Dhurma</v>
      </c>
      <c r="L177" s="37" t="s">
        <v>53</v>
      </c>
      <c r="M177" s="10">
        <f>VLOOKUP(B177,'Detailed Update'!B:T,11,FALSE)</f>
        <v>46135</v>
      </c>
      <c r="N177" s="10">
        <f>VLOOKUP(B177,'Detailed Update'!B:T,12,FALSE)</f>
        <v>46135</v>
      </c>
      <c r="O177" s="9">
        <f>VLOOKUP(B177,'Detailed Update'!B:T,13,FALSE)</f>
        <v>46279</v>
      </c>
      <c r="P177" s="359" t="str">
        <f>VLOOKUP(B177,'Detailed Update'!B:U,20,FALSE)</f>
        <v>-</v>
      </c>
    </row>
    <row r="178" spans="1:16" ht="22.15" customHeight="1">
      <c r="A178" s="13">
        <f t="shared" si="15"/>
        <v>170</v>
      </c>
      <c r="B178" s="155" t="s">
        <v>272</v>
      </c>
      <c r="C178" s="20" t="str">
        <f>VLOOKUP(B178,'Detailed Update'!B:C,2,FALSE)</f>
        <v>HVDC-2 | COA-SOA | RUH-9041 - MEP WORKS</v>
      </c>
      <c r="D178" s="13" t="s">
        <v>771</v>
      </c>
      <c r="E178" s="14">
        <f>VLOOKUP(B178,'Detailed Update'!B:D,3,FALSE)</f>
        <v>45792</v>
      </c>
      <c r="F178" s="18">
        <f>VLOOKUP(B178,'Detailed Update'!B:T,4,FALSE)</f>
        <v>0.95289999999999997</v>
      </c>
      <c r="G178" s="18">
        <f>VLOOKUP(B178,'Detailed Update'!B:T,5,FALSE)</f>
        <v>0.67569999999999997</v>
      </c>
      <c r="H178" s="18">
        <f t="shared" si="14"/>
        <v>-0.2772</v>
      </c>
      <c r="I178" s="7" t="str">
        <f>VLOOKUP(B178,'Detailed Update'!B:I,6,FALSE)</f>
        <v>Alfanar EC</v>
      </c>
      <c r="J178" s="7" t="str">
        <f>VLOOKUP(B178,'Detailed Update'!B:I,7,FALSE)</f>
        <v>Central</v>
      </c>
      <c r="K178" s="7" t="str">
        <f>VLOOKUP(B178,'Detailed Update'!B:I,8,FALSE)</f>
        <v>Kharj</v>
      </c>
      <c r="L178" s="37" t="s">
        <v>53</v>
      </c>
      <c r="M178" s="10">
        <f>VLOOKUP(B178,'Detailed Update'!B:T,11,FALSE)</f>
        <v>46324</v>
      </c>
      <c r="N178" s="10">
        <f>VLOOKUP(B178,'Detailed Update'!B:T,12,FALSE)</f>
        <v>46324</v>
      </c>
      <c r="O178" s="9">
        <f>VLOOKUP(B178,'Detailed Update'!B:T,13,FALSE)</f>
        <v>46324</v>
      </c>
      <c r="P178" s="359" t="str">
        <f>VLOOKUP(B178,'Detailed Update'!B:U,20,FALSE)</f>
        <v>-</v>
      </c>
    </row>
    <row r="179" spans="1:16" ht="22.15" customHeight="1">
      <c r="A179" s="13">
        <f t="shared" si="15"/>
        <v>171</v>
      </c>
      <c r="B179" s="155" t="s">
        <v>273</v>
      </c>
      <c r="C179" s="20" t="str">
        <f>VLOOKUP(B179,'Detailed Update'!B:C,2,FALSE)</f>
        <v>HVDC-3 | COA-SOA | KUDMI - MEP WORKS</v>
      </c>
      <c r="D179" s="13" t="s">
        <v>771</v>
      </c>
      <c r="E179" s="14">
        <f>VLOOKUP(B179,'Detailed Update'!B:D,3,FALSE)</f>
        <v>45792</v>
      </c>
      <c r="F179" s="18">
        <f>VLOOKUP(B179,'Detailed Update'!B:T,4,FALSE)</f>
        <v>1</v>
      </c>
      <c r="G179" s="18">
        <f>VLOOKUP(B179,'Detailed Update'!B:T,5,FALSE)</f>
        <v>0.73829999999999996</v>
      </c>
      <c r="H179" s="18">
        <f t="shared" si="14"/>
        <v>-0.26170000000000004</v>
      </c>
      <c r="I179" s="7" t="str">
        <f>VLOOKUP(B179,'Detailed Update'!B:I,6,FALSE)</f>
        <v>Alfanar EC</v>
      </c>
      <c r="J179" s="7" t="str">
        <f>VLOOKUP(B179,'Detailed Update'!B:I,7,FALSE)</f>
        <v>Southern</v>
      </c>
      <c r="K179" s="7" t="str">
        <f>VLOOKUP(B179,'Detailed Update'!B:I,8,FALSE)</f>
        <v>Kudmi</v>
      </c>
      <c r="L179" s="37" t="s">
        <v>53</v>
      </c>
      <c r="M179" s="10">
        <f>VLOOKUP(B179,'Detailed Update'!B:T,11,FALSE)</f>
        <v>46324</v>
      </c>
      <c r="N179" s="10">
        <f>VLOOKUP(B179,'Detailed Update'!B:T,12,FALSE)</f>
        <v>46324</v>
      </c>
      <c r="O179" s="9">
        <f>VLOOKUP(B179,'Detailed Update'!B:T,13,FALSE)</f>
        <v>46348</v>
      </c>
      <c r="P179" s="359" t="str">
        <f>VLOOKUP(B179,'Detailed Update'!B:U,20,FALSE)</f>
        <v>-</v>
      </c>
    </row>
    <row r="180" spans="1:16" ht="22.15" customHeight="1">
      <c r="A180" s="13">
        <f t="shared" si="15"/>
        <v>172</v>
      </c>
      <c r="B180" s="155" t="s">
        <v>274</v>
      </c>
      <c r="C180" s="20" t="str">
        <f>VLOOKUP(B180,'Detailed Update'!B:C,2,FALSE)</f>
        <v>HVDC-4 | COA-WOA | JED-HHR1 - MEP WORKS</v>
      </c>
      <c r="D180" s="13" t="s">
        <v>771</v>
      </c>
      <c r="E180" s="14">
        <f>VLOOKUP(B180,'Detailed Update'!B:D,3,FALSE)</f>
        <v>45792</v>
      </c>
      <c r="F180" s="18">
        <f>VLOOKUP(B180,'Detailed Update'!B:T,4,FALSE)</f>
        <v>1</v>
      </c>
      <c r="G180" s="18">
        <f>VLOOKUP(B180,'Detailed Update'!B:T,5,FALSE)</f>
        <v>0.76639999999999997</v>
      </c>
      <c r="H180" s="18">
        <f t="shared" si="14"/>
        <v>-0.23360000000000003</v>
      </c>
      <c r="I180" s="7" t="str">
        <f>VLOOKUP(B180,'Detailed Update'!B:I,6,FALSE)</f>
        <v>Alfanar EC</v>
      </c>
      <c r="J180" s="7" t="str">
        <f>VLOOKUP(B180,'Detailed Update'!B:I,7,FALSE)</f>
        <v>Western</v>
      </c>
      <c r="K180" s="7" t="str">
        <f>VLOOKUP(B180,'Detailed Update'!B:I,8,FALSE)</f>
        <v>Jeddah</v>
      </c>
      <c r="L180" s="37" t="s">
        <v>53</v>
      </c>
      <c r="M180" s="10">
        <f>VLOOKUP(B180,'Detailed Update'!B:T,11,FALSE)</f>
        <v>46324</v>
      </c>
      <c r="N180" s="10">
        <f>VLOOKUP(B180,'Detailed Update'!B:T,12,FALSE)</f>
        <v>46324</v>
      </c>
      <c r="O180" s="9">
        <f>VLOOKUP(B180,'Detailed Update'!B:T,13,FALSE)</f>
        <v>46324</v>
      </c>
      <c r="P180" s="359" t="str">
        <f>VLOOKUP(B180,'Detailed Update'!B:U,20,FALSE)</f>
        <v>-</v>
      </c>
    </row>
    <row r="181" spans="1:16" ht="22.15" customHeight="1">
      <c r="A181" s="13">
        <f t="shared" si="15"/>
        <v>173</v>
      </c>
      <c r="B181" s="155" t="s">
        <v>275</v>
      </c>
      <c r="C181" s="20" t="str">
        <f>VLOOKUP(B181,'Detailed Update'!B:C,2,FALSE)</f>
        <v>MEP WORKS FOR SEVEN - AL AHSA   (Same as PE-352)</v>
      </c>
      <c r="D181" s="13" t="s">
        <v>771</v>
      </c>
      <c r="E181" s="14">
        <f>VLOOKUP(B181,'Detailed Update'!B:D,3,FALSE)</f>
        <v>45778</v>
      </c>
      <c r="F181" s="18">
        <f>VLOOKUP(B181,'Detailed Update'!B:T,4,FALSE)</f>
        <v>0.32800000000000001</v>
      </c>
      <c r="G181" s="18">
        <f>VLOOKUP(B181,'Detailed Update'!B:T,5,FALSE)</f>
        <v>0.28699999999999998</v>
      </c>
      <c r="H181" s="18">
        <f t="shared" si="14"/>
        <v>-4.1000000000000036E-2</v>
      </c>
      <c r="I181" s="7" t="str">
        <f>VLOOKUP(B181,'Detailed Update'!B:I,6,FALSE)</f>
        <v>SEVEN</v>
      </c>
      <c r="J181" s="7" t="str">
        <f>VLOOKUP(B181,'Detailed Update'!B:I,7,FALSE)</f>
        <v>Eastern</v>
      </c>
      <c r="K181" s="7" t="str">
        <f>VLOOKUP(B181,'Detailed Update'!B:I,8,FALSE)</f>
        <v>Alahsa</v>
      </c>
      <c r="L181" s="37" t="s">
        <v>53</v>
      </c>
      <c r="M181" s="10">
        <f>VLOOKUP(B181,'Detailed Update'!B:T,11,FALSE)</f>
        <v>46688</v>
      </c>
      <c r="N181" s="10">
        <f>VLOOKUP(B181,'Detailed Update'!B:T,12,FALSE)</f>
        <v>46688</v>
      </c>
      <c r="O181" s="9">
        <f>VLOOKUP(B181,'Detailed Update'!B:T,13,FALSE)</f>
        <v>46847</v>
      </c>
      <c r="P181" s="185" t="str">
        <f>VLOOKUP(B181,'Detailed Update'!B:U,20,FALSE)</f>
        <v>-</v>
      </c>
    </row>
    <row r="182" spans="1:16" ht="22.15" customHeight="1">
      <c r="A182" s="13">
        <f t="shared" si="15"/>
        <v>174</v>
      </c>
      <c r="B182" s="160" t="s">
        <v>276</v>
      </c>
      <c r="C182" s="20" t="str">
        <f>VLOOKUP(B182,'Detailed Update'!B:C,2,FALSE)</f>
        <v xml:space="preserve">MEP WORKS Amaala Wellness 				</v>
      </c>
      <c r="D182" s="13" t="s">
        <v>771</v>
      </c>
      <c r="E182" s="14">
        <f>VLOOKUP(B182,'Detailed Update'!B:D,3,FALSE)</f>
        <v>45875</v>
      </c>
      <c r="F182" s="18">
        <f>VLOOKUP(B182,'Detailed Update'!B:T,4,FALSE)</f>
        <v>0.94</v>
      </c>
      <c r="G182" s="18">
        <f>VLOOKUP(B182,'Detailed Update'!B:T,5,FALSE)</f>
        <v>0.92</v>
      </c>
      <c r="H182" s="18">
        <f t="shared" si="14"/>
        <v>-1.9999999999999907E-2</v>
      </c>
      <c r="I182" s="7" t="str">
        <f>VLOOKUP(B182,'Detailed Update'!B:I,6,FALSE)</f>
        <v>AMAALA</v>
      </c>
      <c r="J182" s="7" t="str">
        <f>VLOOKUP(B182,'Detailed Update'!B:I,7,FALSE)</f>
        <v>Western</v>
      </c>
      <c r="K182" s="7" t="str">
        <f>VLOOKUP(B182,'Detailed Update'!B:I,8,FALSE)</f>
        <v>Al Wajh</v>
      </c>
      <c r="L182" s="49" t="s">
        <v>53</v>
      </c>
      <c r="M182" s="50">
        <f>VLOOKUP(B182,'Detailed Update'!B:T,11,FALSE)</f>
        <v>46022</v>
      </c>
      <c r="N182" s="50">
        <f>VLOOKUP(B182,'Detailed Update'!B:T,12,FALSE)</f>
        <v>46064</v>
      </c>
      <c r="O182" s="51">
        <f>VLOOKUP(B182,'Detailed Update'!B:T,13,FALSE)</f>
        <v>46265</v>
      </c>
      <c r="P182" s="186" t="str">
        <f>VLOOKUP(B182,'Detailed Update'!B:U,20,FALSE)</f>
        <v>-</v>
      </c>
    </row>
  </sheetData>
  <sheetProtection selectLockedCells="1" selectUnlockedCells="1"/>
  <mergeCells count="14">
    <mergeCell ref="P1:P2"/>
    <mergeCell ref="A1:A2"/>
    <mergeCell ref="B1:B2"/>
    <mergeCell ref="C1:C2"/>
    <mergeCell ref="E1:E2"/>
    <mergeCell ref="F1:F2"/>
    <mergeCell ref="G1:G2"/>
    <mergeCell ref="I1:I2"/>
    <mergeCell ref="J1:J2"/>
    <mergeCell ref="K1:K2"/>
    <mergeCell ref="M1:O1"/>
    <mergeCell ref="L1:L2"/>
    <mergeCell ref="H1:H2"/>
    <mergeCell ref="D1:D2"/>
  </mergeCells>
  <phoneticPr fontId="27" type="noConversion"/>
  <conditionalFormatting sqref="B56">
    <cfRule type="duplicateValues" dxfId="4" priority="8"/>
  </conditionalFormatting>
  <conditionalFormatting sqref="B61:B62">
    <cfRule type="duplicateValues" dxfId="3" priority="4"/>
  </conditionalFormatting>
  <conditionalFormatting sqref="L3:L1048576">
    <cfRule type="containsText" dxfId="2" priority="1" operator="containsText" text="N/A">
      <formula>NOT(ISERROR(SEARCH("N/A",L3)))</formula>
    </cfRule>
    <cfRule type="containsText" dxfId="1" priority="2" operator="containsText" text="Under Approval">
      <formula>NOT(ISERROR(SEARCH("Under Approval",L3)))</formula>
    </cfRule>
    <cfRule type="containsText" dxfId="0" priority="3" operator="containsText" text="Approved">
      <formula>NOT(ISERROR(SEARCH("Approved",L3)))</formula>
    </cfRule>
  </conditionalFormatting>
  <dataValidations disablePrompts="1" count="1">
    <dataValidation type="list" allowBlank="1" showInputMessage="1" showErrorMessage="1" sqref="L1:L1048576" xr:uid="{E675DF36-FB43-4533-AEF5-060D9C2842EC}">
      <formula1>"Approved, Under Approval, N/A"</formula1>
    </dataValidation>
  </dataValidations>
  <pageMargins left="0.7" right="0.7" top="0.75" bottom="0.75" header="0.3" footer="0.3"/>
  <pageSetup scale="19" orientation="portrait" r:id="rId1"/>
  <headerFooter>
    <oddFooter>&amp;C_x000D_&amp;1#&amp;"Calibri"&amp;10&amp;K0000FF CLASSIFICATION: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6215A-31AE-4DE7-9FD4-1406C93D7C88}">
  <dimension ref="A1:P77"/>
  <sheetViews>
    <sheetView topLeftCell="A48" zoomScale="102" workbookViewId="0">
      <selection activeCell="J55" sqref="J55"/>
    </sheetView>
  </sheetViews>
  <sheetFormatPr defaultColWidth="8.7109375" defaultRowHeight="15"/>
  <cols>
    <col min="1" max="2" width="13.7109375" style="53" customWidth="1"/>
    <col min="3" max="11" width="15.42578125" style="53" customWidth="1"/>
    <col min="12" max="12" width="8.7109375" style="53"/>
    <col min="13" max="13" width="21.42578125" style="53" customWidth="1"/>
    <col min="14" max="16" width="19.42578125" style="53" customWidth="1"/>
    <col min="17" max="16384" width="8.7109375" style="53"/>
  </cols>
  <sheetData>
    <row r="1" spans="1:16" ht="28.35" customHeight="1">
      <c r="A1" s="461" t="s">
        <v>772</v>
      </c>
      <c r="B1" s="462"/>
      <c r="C1" s="462"/>
      <c r="D1" s="462"/>
      <c r="E1" s="462"/>
      <c r="F1" s="462"/>
      <c r="G1" s="462"/>
      <c r="H1" s="462"/>
      <c r="I1" s="462"/>
      <c r="J1" s="462"/>
      <c r="K1" s="463"/>
    </row>
    <row r="2" spans="1:16" ht="28.35" customHeight="1">
      <c r="A2" s="464"/>
      <c r="B2" s="465"/>
      <c r="C2" s="465"/>
      <c r="D2" s="465"/>
      <c r="E2" s="465"/>
      <c r="F2" s="465"/>
      <c r="G2" s="465"/>
      <c r="H2" s="465"/>
      <c r="I2" s="465"/>
      <c r="J2" s="465"/>
      <c r="K2" s="466"/>
    </row>
    <row r="3" spans="1:16" ht="28.35" customHeight="1">
      <c r="A3" s="464"/>
      <c r="B3" s="465"/>
      <c r="C3" s="465"/>
      <c r="D3" s="465"/>
      <c r="E3" s="465"/>
      <c r="F3" s="465"/>
      <c r="G3" s="465"/>
      <c r="H3" s="465"/>
      <c r="I3" s="465"/>
      <c r="J3" s="465"/>
      <c r="K3" s="466"/>
    </row>
    <row r="4" spans="1:16" ht="5.85" customHeight="1">
      <c r="A4" s="140"/>
      <c r="B4" s="141"/>
      <c r="C4" s="141"/>
      <c r="D4" s="141"/>
      <c r="E4" s="141"/>
      <c r="F4" s="141"/>
      <c r="G4" s="141"/>
      <c r="H4" s="142"/>
      <c r="I4" s="143"/>
      <c r="J4" s="143"/>
      <c r="K4" s="144"/>
    </row>
    <row r="5" spans="1:16" ht="23.1" customHeight="1">
      <c r="A5" s="54" t="s">
        <v>773</v>
      </c>
      <c r="B5" s="470" t="s">
        <v>774</v>
      </c>
      <c r="C5" s="472">
        <v>2024</v>
      </c>
      <c r="D5" s="459"/>
      <c r="E5" s="460"/>
      <c r="F5" s="458">
        <v>2025</v>
      </c>
      <c r="G5" s="459"/>
      <c r="H5" s="460"/>
      <c r="I5" s="458">
        <v>2026</v>
      </c>
      <c r="J5" s="459"/>
      <c r="K5" s="460"/>
    </row>
    <row r="6" spans="1:16" ht="23.1" customHeight="1">
      <c r="A6" s="55" t="s">
        <v>4</v>
      </c>
      <c r="B6" s="471"/>
      <c r="C6" s="56" t="s">
        <v>17</v>
      </c>
      <c r="D6" s="57" t="s">
        <v>279</v>
      </c>
      <c r="E6" s="58" t="s">
        <v>18</v>
      </c>
      <c r="F6" s="59" t="s">
        <v>17</v>
      </c>
      <c r="G6" s="57" t="s">
        <v>279</v>
      </c>
      <c r="H6" s="58" t="s">
        <v>18</v>
      </c>
      <c r="I6" s="59" t="s">
        <v>17</v>
      </c>
      <c r="J6" s="57" t="s">
        <v>279</v>
      </c>
      <c r="K6" s="58" t="s">
        <v>18</v>
      </c>
      <c r="M6" s="445" t="s">
        <v>775</v>
      </c>
      <c r="N6" s="447" t="s">
        <v>776</v>
      </c>
      <c r="O6" s="448"/>
      <c r="P6" s="449"/>
    </row>
    <row r="7" spans="1:16" ht="15.6" customHeight="1">
      <c r="A7" s="450" t="s">
        <v>777</v>
      </c>
      <c r="B7" s="60">
        <v>1</v>
      </c>
      <c r="C7" s="61" t="s">
        <v>778</v>
      </c>
      <c r="D7" s="62" t="s">
        <v>779</v>
      </c>
      <c r="E7" s="63" t="s">
        <v>780</v>
      </c>
      <c r="F7" s="64" t="s">
        <v>29</v>
      </c>
      <c r="G7" s="73"/>
      <c r="H7" s="65" t="s">
        <v>779</v>
      </c>
      <c r="I7" s="64" t="s">
        <v>42</v>
      </c>
      <c r="J7" s="73" t="s">
        <v>781</v>
      </c>
      <c r="K7" s="65" t="s">
        <v>782</v>
      </c>
      <c r="M7" s="446"/>
      <c r="N7" s="66" t="s">
        <v>17</v>
      </c>
      <c r="O7" s="67" t="s">
        <v>279</v>
      </c>
      <c r="P7" s="68" t="s">
        <v>18</v>
      </c>
    </row>
    <row r="8" spans="1:16" ht="15.6" customHeight="1">
      <c r="A8" s="450"/>
      <c r="B8" s="69">
        <v>2</v>
      </c>
      <c r="C8" s="70" t="s">
        <v>24</v>
      </c>
      <c r="D8" s="71" t="s">
        <v>24</v>
      </c>
      <c r="E8" s="72"/>
      <c r="F8" s="73"/>
      <c r="G8" s="73"/>
      <c r="H8" s="74" t="s">
        <v>24</v>
      </c>
      <c r="I8" s="73" t="s">
        <v>43</v>
      </c>
      <c r="J8" s="71"/>
      <c r="K8" s="74"/>
      <c r="M8" s="75">
        <v>2024</v>
      </c>
      <c r="N8" s="76">
        <f>C68</f>
        <v>15</v>
      </c>
      <c r="O8" s="76">
        <f t="shared" ref="O8:P8" si="0">D68</f>
        <v>7</v>
      </c>
      <c r="P8" s="76">
        <f t="shared" si="0"/>
        <v>3</v>
      </c>
    </row>
    <row r="9" spans="1:16" ht="15.6" customHeight="1">
      <c r="A9" s="450"/>
      <c r="B9" s="69">
        <v>3</v>
      </c>
      <c r="C9" s="70" t="s">
        <v>783</v>
      </c>
      <c r="D9" s="71" t="s">
        <v>783</v>
      </c>
      <c r="E9" s="72"/>
      <c r="F9" s="73"/>
      <c r="G9" s="71"/>
      <c r="H9" s="74" t="s">
        <v>784</v>
      </c>
      <c r="I9" s="73"/>
      <c r="J9" s="71"/>
      <c r="K9" s="74"/>
      <c r="M9" s="147">
        <v>2025</v>
      </c>
      <c r="N9" s="148">
        <f>F68</f>
        <v>17</v>
      </c>
      <c r="O9" s="148">
        <f t="shared" ref="O9:P9" si="1">G68</f>
        <v>5</v>
      </c>
      <c r="P9" s="148">
        <f t="shared" si="1"/>
        <v>16</v>
      </c>
    </row>
    <row r="10" spans="1:16" ht="15.6" customHeight="1" thickBot="1">
      <c r="A10" s="450"/>
      <c r="B10" s="69">
        <v>4</v>
      </c>
      <c r="C10" s="70" t="s">
        <v>780</v>
      </c>
      <c r="D10" s="71" t="s">
        <v>782</v>
      </c>
      <c r="E10" s="72"/>
      <c r="F10" s="73"/>
      <c r="G10" s="71"/>
      <c r="H10" s="74" t="s">
        <v>785</v>
      </c>
      <c r="I10" s="73"/>
      <c r="J10" s="71"/>
      <c r="K10" s="74"/>
      <c r="M10" s="138">
        <v>2026</v>
      </c>
      <c r="N10" s="139">
        <f>I68</f>
        <v>9</v>
      </c>
      <c r="O10" s="139">
        <f>J68</f>
        <v>7</v>
      </c>
      <c r="P10" s="139">
        <f>K68</f>
        <v>4</v>
      </c>
    </row>
    <row r="11" spans="1:16" ht="15.6" customHeight="1" thickBot="1">
      <c r="A11" s="450"/>
      <c r="B11" s="69">
        <v>5</v>
      </c>
      <c r="C11" s="70" t="s">
        <v>786</v>
      </c>
      <c r="D11" s="71"/>
      <c r="E11" s="72"/>
      <c r="F11" s="73"/>
      <c r="G11" s="71"/>
      <c r="H11" s="74"/>
      <c r="I11" s="73"/>
      <c r="J11" s="71"/>
      <c r="K11" s="74"/>
      <c r="M11" s="77" t="s">
        <v>787</v>
      </c>
      <c r="N11" s="78">
        <f>SUM(N8:N10)</f>
        <v>41</v>
      </c>
      <c r="O11" s="79">
        <f>SUM(O8:O9)</f>
        <v>12</v>
      </c>
      <c r="P11" s="80">
        <f>SUM(P8:P9)</f>
        <v>19</v>
      </c>
    </row>
    <row r="12" spans="1:16" ht="15.6" customHeight="1">
      <c r="A12" s="450"/>
      <c r="B12" s="69">
        <v>6</v>
      </c>
      <c r="C12" s="70" t="s">
        <v>30</v>
      </c>
      <c r="D12" s="71"/>
      <c r="E12" s="72"/>
      <c r="F12" s="73"/>
      <c r="G12" s="71"/>
      <c r="H12" s="74"/>
      <c r="I12" s="73"/>
      <c r="J12" s="71"/>
      <c r="K12" s="74"/>
    </row>
    <row r="13" spans="1:16" ht="15.6" customHeight="1">
      <c r="A13" s="450"/>
      <c r="B13" s="69">
        <v>7</v>
      </c>
      <c r="C13" s="70" t="s">
        <v>788</v>
      </c>
      <c r="D13" s="71"/>
      <c r="E13" s="72"/>
      <c r="F13" s="73"/>
      <c r="G13" s="71"/>
      <c r="H13" s="74"/>
      <c r="I13" s="73"/>
      <c r="J13" s="73"/>
      <c r="K13" s="74"/>
    </row>
    <row r="14" spans="1:16" ht="15.6" customHeight="1">
      <c r="A14" s="450"/>
      <c r="B14" s="69">
        <v>8</v>
      </c>
      <c r="C14" s="70" t="s">
        <v>27</v>
      </c>
      <c r="D14" s="71"/>
      <c r="E14" s="72"/>
      <c r="F14" s="73"/>
      <c r="G14" s="71"/>
      <c r="H14" s="74"/>
      <c r="I14" s="73"/>
      <c r="J14" s="71"/>
      <c r="K14" s="74"/>
    </row>
    <row r="15" spans="1:16" ht="15.6" customHeight="1">
      <c r="A15" s="450"/>
      <c r="B15" s="69">
        <v>9</v>
      </c>
      <c r="C15" s="70"/>
      <c r="D15" s="71"/>
      <c r="E15" s="72"/>
      <c r="F15" s="73"/>
      <c r="G15" s="71"/>
      <c r="H15" s="74"/>
      <c r="I15" s="73"/>
      <c r="J15" s="71"/>
      <c r="K15" s="74"/>
    </row>
    <row r="16" spans="1:16" ht="15.6" customHeight="1">
      <c r="A16" s="450"/>
      <c r="B16" s="69">
        <v>10</v>
      </c>
      <c r="C16" s="70"/>
      <c r="D16" s="71"/>
      <c r="E16" s="72"/>
      <c r="F16" s="73"/>
      <c r="G16" s="71"/>
      <c r="H16" s="74"/>
      <c r="I16" s="73"/>
      <c r="J16" s="71"/>
      <c r="K16" s="74"/>
    </row>
    <row r="17" spans="1:11" ht="15.6" customHeight="1">
      <c r="A17" s="450"/>
      <c r="B17" s="69">
        <v>11</v>
      </c>
      <c r="C17" s="70"/>
      <c r="D17" s="71"/>
      <c r="E17" s="72"/>
      <c r="F17" s="73"/>
      <c r="G17" s="71"/>
      <c r="H17" s="74"/>
      <c r="I17" s="73"/>
      <c r="J17" s="71"/>
      <c r="K17" s="74"/>
    </row>
    <row r="18" spans="1:11" ht="15.6" customHeight="1">
      <c r="A18" s="450"/>
      <c r="B18" s="69">
        <v>12</v>
      </c>
      <c r="C18" s="70"/>
      <c r="D18" s="71"/>
      <c r="E18" s="72"/>
      <c r="F18" s="73"/>
      <c r="G18" s="71"/>
      <c r="H18" s="74"/>
      <c r="I18" s="73"/>
      <c r="J18" s="71"/>
      <c r="K18" s="74"/>
    </row>
    <row r="19" spans="1:11" ht="15.6" customHeight="1">
      <c r="A19" s="450"/>
      <c r="B19" s="69">
        <v>13</v>
      </c>
      <c r="C19" s="70"/>
      <c r="D19" s="71"/>
      <c r="E19" s="72"/>
      <c r="F19" s="73"/>
      <c r="G19" s="71"/>
      <c r="H19" s="74"/>
      <c r="I19" s="73"/>
      <c r="J19" s="71"/>
      <c r="K19" s="74"/>
    </row>
    <row r="20" spans="1:11" ht="15.6" customHeight="1">
      <c r="A20" s="450"/>
      <c r="B20" s="69">
        <v>14</v>
      </c>
      <c r="C20" s="70"/>
      <c r="D20" s="71"/>
      <c r="E20" s="72"/>
      <c r="F20" s="73"/>
      <c r="G20" s="71"/>
      <c r="H20" s="74"/>
      <c r="I20" s="73"/>
      <c r="J20" s="71"/>
      <c r="K20" s="74"/>
    </row>
    <row r="21" spans="1:11" ht="15.6" customHeight="1">
      <c r="A21" s="451"/>
      <c r="B21" s="81">
        <v>15</v>
      </c>
      <c r="C21" s="82"/>
      <c r="D21" s="83"/>
      <c r="E21" s="84"/>
      <c r="F21" s="85"/>
      <c r="G21" s="86"/>
      <c r="H21" s="84"/>
      <c r="I21" s="85"/>
      <c r="J21" s="86"/>
      <c r="K21" s="84"/>
    </row>
    <row r="22" spans="1:11" ht="15.6" customHeight="1">
      <c r="A22" s="452" t="s">
        <v>789</v>
      </c>
      <c r="B22" s="87">
        <v>1</v>
      </c>
      <c r="C22" s="88" t="s">
        <v>141</v>
      </c>
      <c r="D22" s="89" t="s">
        <v>141</v>
      </c>
      <c r="E22" s="90" t="s">
        <v>790</v>
      </c>
      <c r="F22" s="91" t="s">
        <v>130</v>
      </c>
      <c r="G22" s="89" t="s">
        <v>130</v>
      </c>
      <c r="H22" s="92" t="s">
        <v>122</v>
      </c>
      <c r="I22" s="91"/>
      <c r="J22" s="95"/>
      <c r="K22" s="92"/>
    </row>
    <row r="23" spans="1:11" ht="15.6" customHeight="1">
      <c r="A23" s="453"/>
      <c r="B23" s="93">
        <v>2</v>
      </c>
      <c r="C23" s="94"/>
      <c r="D23" s="95"/>
      <c r="E23" s="96" t="s">
        <v>791</v>
      </c>
      <c r="F23" s="97"/>
      <c r="G23" s="95"/>
      <c r="H23" s="98" t="s">
        <v>124</v>
      </c>
      <c r="I23" s="97"/>
      <c r="J23" s="95"/>
      <c r="K23" s="98"/>
    </row>
    <row r="24" spans="1:11" ht="15.6" customHeight="1">
      <c r="A24" s="453"/>
      <c r="B24" s="93">
        <v>3</v>
      </c>
      <c r="C24" s="94"/>
      <c r="D24" s="95"/>
      <c r="E24" s="96"/>
      <c r="F24" s="97"/>
      <c r="G24" s="95"/>
      <c r="H24" s="98" t="s">
        <v>130</v>
      </c>
      <c r="I24" s="97"/>
      <c r="J24" s="95"/>
      <c r="K24" s="98"/>
    </row>
    <row r="25" spans="1:11" ht="15.6" customHeight="1">
      <c r="A25" s="453"/>
      <c r="B25" s="93">
        <v>4</v>
      </c>
      <c r="C25" s="94"/>
      <c r="D25" s="95"/>
      <c r="E25" s="96"/>
      <c r="F25" s="97"/>
      <c r="G25" s="95"/>
      <c r="H25" s="98" t="s">
        <v>792</v>
      </c>
      <c r="I25" s="97"/>
      <c r="J25" s="95"/>
      <c r="K25" s="98"/>
    </row>
    <row r="26" spans="1:11" ht="15.6" customHeight="1">
      <c r="A26" s="453"/>
      <c r="B26" s="93">
        <v>5</v>
      </c>
      <c r="C26" s="94"/>
      <c r="D26" s="95"/>
      <c r="E26" s="96"/>
      <c r="F26" s="97"/>
      <c r="G26" s="95"/>
      <c r="H26" s="98" t="s">
        <v>793</v>
      </c>
      <c r="I26" s="97"/>
      <c r="J26" s="95"/>
      <c r="K26" s="98"/>
    </row>
    <row r="27" spans="1:11" ht="15.6" customHeight="1">
      <c r="A27" s="453"/>
      <c r="B27" s="93">
        <v>6</v>
      </c>
      <c r="C27" s="94"/>
      <c r="D27" s="95"/>
      <c r="E27" s="96"/>
      <c r="F27" s="97"/>
      <c r="G27" s="95"/>
      <c r="H27" s="98" t="s">
        <v>143</v>
      </c>
      <c r="I27" s="97"/>
      <c r="J27" s="95"/>
      <c r="K27" s="98"/>
    </row>
    <row r="28" spans="1:11" ht="15.6" customHeight="1">
      <c r="A28" s="453"/>
      <c r="B28" s="93">
        <v>7</v>
      </c>
      <c r="C28" s="94"/>
      <c r="D28" s="95"/>
      <c r="E28" s="96"/>
      <c r="F28" s="97"/>
      <c r="G28" s="95"/>
      <c r="H28" s="98" t="s">
        <v>794</v>
      </c>
      <c r="I28" s="97"/>
      <c r="J28" s="95"/>
      <c r="K28" s="98"/>
    </row>
    <row r="29" spans="1:11" ht="15.6" customHeight="1">
      <c r="A29" s="453"/>
      <c r="B29" s="93">
        <v>8</v>
      </c>
      <c r="C29" s="94"/>
      <c r="D29" s="95"/>
      <c r="E29" s="96"/>
      <c r="F29" s="97"/>
      <c r="G29" s="95"/>
      <c r="H29" s="98" t="s">
        <v>138</v>
      </c>
      <c r="I29" s="97"/>
      <c r="J29" s="95"/>
      <c r="K29" s="98"/>
    </row>
    <row r="30" spans="1:11" ht="15.6" customHeight="1">
      <c r="A30" s="453"/>
      <c r="B30" s="93">
        <v>9</v>
      </c>
      <c r="C30" s="94"/>
      <c r="D30" s="95"/>
      <c r="E30" s="96"/>
      <c r="F30" s="97"/>
      <c r="G30" s="95"/>
      <c r="H30" s="98"/>
      <c r="I30" s="97"/>
      <c r="J30" s="95"/>
      <c r="K30" s="98"/>
    </row>
    <row r="31" spans="1:11" ht="15.6" customHeight="1">
      <c r="A31" s="453"/>
      <c r="B31" s="93">
        <v>10</v>
      </c>
      <c r="C31" s="94"/>
      <c r="D31" s="95"/>
      <c r="E31" s="96"/>
      <c r="F31" s="97"/>
      <c r="G31" s="95"/>
      <c r="H31" s="98"/>
      <c r="I31" s="97"/>
      <c r="J31" s="95"/>
      <c r="K31" s="98"/>
    </row>
    <row r="32" spans="1:11" ht="15.6" customHeight="1">
      <c r="A32" s="453"/>
      <c r="B32" s="93">
        <v>11</v>
      </c>
      <c r="C32" s="94"/>
      <c r="D32" s="95"/>
      <c r="E32" s="96"/>
      <c r="F32" s="97"/>
      <c r="G32" s="95"/>
      <c r="H32" s="98"/>
      <c r="I32" s="97"/>
      <c r="J32" s="95"/>
      <c r="K32" s="98"/>
    </row>
    <row r="33" spans="1:11" ht="15.6" customHeight="1">
      <c r="A33" s="453"/>
      <c r="B33" s="93">
        <v>12</v>
      </c>
      <c r="C33" s="94"/>
      <c r="D33" s="95"/>
      <c r="E33" s="96"/>
      <c r="F33" s="97"/>
      <c r="G33" s="95"/>
      <c r="H33" s="98"/>
      <c r="I33" s="97"/>
      <c r="J33" s="95"/>
      <c r="K33" s="98"/>
    </row>
    <row r="34" spans="1:11" ht="15.6" customHeight="1">
      <c r="A34" s="453"/>
      <c r="B34" s="93">
        <v>13</v>
      </c>
      <c r="C34" s="94"/>
      <c r="D34" s="95"/>
      <c r="E34" s="96"/>
      <c r="F34" s="97"/>
      <c r="G34" s="95"/>
      <c r="H34" s="98"/>
      <c r="I34" s="97"/>
      <c r="J34" s="95"/>
      <c r="K34" s="98"/>
    </row>
    <row r="35" spans="1:11" ht="15.6" customHeight="1">
      <c r="A35" s="453"/>
      <c r="B35" s="93">
        <v>14</v>
      </c>
      <c r="C35" s="94"/>
      <c r="D35" s="95"/>
      <c r="E35" s="96"/>
      <c r="F35" s="97"/>
      <c r="G35" s="95"/>
      <c r="H35" s="98"/>
      <c r="I35" s="97"/>
      <c r="J35" s="95"/>
      <c r="K35" s="98"/>
    </row>
    <row r="36" spans="1:11" ht="15.6" customHeight="1">
      <c r="A36" s="454"/>
      <c r="B36" s="99">
        <v>15</v>
      </c>
      <c r="C36" s="100"/>
      <c r="D36" s="101"/>
      <c r="E36" s="102"/>
      <c r="F36" s="103"/>
      <c r="G36" s="101"/>
      <c r="H36" s="104"/>
      <c r="I36" s="103"/>
      <c r="J36" s="101"/>
      <c r="K36" s="104"/>
    </row>
    <row r="37" spans="1:11" ht="15.6" customHeight="1">
      <c r="A37" s="455" t="s">
        <v>795</v>
      </c>
      <c r="B37" s="105">
        <v>1</v>
      </c>
      <c r="C37" s="106" t="s">
        <v>225</v>
      </c>
      <c r="D37" s="107" t="s">
        <v>225</v>
      </c>
      <c r="E37" s="108"/>
      <c r="F37" s="106"/>
      <c r="G37" s="109"/>
      <c r="H37" s="108" t="s">
        <v>225</v>
      </c>
      <c r="I37" s="106"/>
      <c r="J37" s="109"/>
      <c r="K37" s="108"/>
    </row>
    <row r="38" spans="1:11" ht="15.6" customHeight="1">
      <c r="A38" s="456"/>
      <c r="B38" s="110">
        <v>2</v>
      </c>
      <c r="C38" s="111" t="s">
        <v>226</v>
      </c>
      <c r="D38" s="112" t="s">
        <v>226</v>
      </c>
      <c r="E38" s="113"/>
      <c r="F38" s="111"/>
      <c r="G38" s="112"/>
      <c r="H38" s="114" t="s">
        <v>226</v>
      </c>
      <c r="I38" s="111"/>
      <c r="J38" s="112"/>
      <c r="K38" s="114"/>
    </row>
    <row r="39" spans="1:11" ht="15.6" customHeight="1">
      <c r="A39" s="456"/>
      <c r="B39" s="110">
        <v>3</v>
      </c>
      <c r="C39" s="111" t="s">
        <v>229</v>
      </c>
      <c r="D39" s="112"/>
      <c r="E39" s="113"/>
      <c r="F39" s="115"/>
      <c r="G39" s="112" t="s">
        <v>229</v>
      </c>
      <c r="H39" s="114" t="s">
        <v>229</v>
      </c>
      <c r="I39" s="115"/>
      <c r="J39" s="112"/>
      <c r="K39" s="114"/>
    </row>
    <row r="40" spans="1:11" ht="15.6" customHeight="1">
      <c r="A40" s="456"/>
      <c r="B40" s="110">
        <v>4</v>
      </c>
      <c r="C40" s="111" t="s">
        <v>211</v>
      </c>
      <c r="D40" s="112"/>
      <c r="E40" s="113"/>
      <c r="F40" s="115"/>
      <c r="G40" s="112"/>
      <c r="H40" s="114"/>
      <c r="I40" s="115"/>
      <c r="J40" s="112"/>
      <c r="K40" s="114"/>
    </row>
    <row r="41" spans="1:11" ht="15.6" customHeight="1">
      <c r="A41" s="456"/>
      <c r="B41" s="110">
        <v>5</v>
      </c>
      <c r="C41" s="111"/>
      <c r="D41" s="112"/>
      <c r="E41" s="113"/>
      <c r="F41" s="115" t="s">
        <v>227</v>
      </c>
      <c r="G41" s="112"/>
      <c r="H41" s="114"/>
      <c r="I41" s="115"/>
      <c r="J41" s="112"/>
      <c r="K41" s="114"/>
    </row>
    <row r="42" spans="1:11" ht="15.6" customHeight="1">
      <c r="A42" s="456"/>
      <c r="B42" s="110">
        <v>6</v>
      </c>
      <c r="C42" s="111"/>
      <c r="D42" s="112"/>
      <c r="E42" s="113"/>
      <c r="F42" s="115" t="s">
        <v>228</v>
      </c>
      <c r="G42" s="112"/>
      <c r="H42" s="114"/>
      <c r="I42" s="115"/>
      <c r="J42" s="112"/>
      <c r="K42" s="114"/>
    </row>
    <row r="43" spans="1:11" ht="15.6" customHeight="1">
      <c r="A43" s="456"/>
      <c r="B43" s="110">
        <v>7</v>
      </c>
      <c r="C43" s="111"/>
      <c r="D43" s="112"/>
      <c r="E43" s="113"/>
      <c r="F43" s="115"/>
      <c r="G43" s="112"/>
      <c r="H43" s="114"/>
      <c r="I43" s="115" t="s">
        <v>206</v>
      </c>
      <c r="J43" s="112"/>
      <c r="K43" s="114"/>
    </row>
    <row r="44" spans="1:11" ht="15.6" customHeight="1">
      <c r="A44" s="456"/>
      <c r="B44" s="110">
        <v>8</v>
      </c>
      <c r="C44" s="111"/>
      <c r="D44" s="112"/>
      <c r="E44" s="113"/>
      <c r="F44" s="115"/>
      <c r="G44" s="112"/>
      <c r="H44" s="114"/>
      <c r="I44" s="115"/>
      <c r="J44" s="112"/>
      <c r="K44" s="114"/>
    </row>
    <row r="45" spans="1:11" ht="15.6" customHeight="1">
      <c r="A45" s="456"/>
      <c r="B45" s="110">
        <v>9</v>
      </c>
      <c r="C45" s="111"/>
      <c r="D45" s="112"/>
      <c r="E45" s="113"/>
      <c r="F45" s="115"/>
      <c r="G45" s="112"/>
      <c r="H45" s="114"/>
      <c r="I45" s="115"/>
      <c r="J45" s="112"/>
      <c r="K45" s="114"/>
    </row>
    <row r="46" spans="1:11" ht="15.6" customHeight="1">
      <c r="A46" s="456"/>
      <c r="B46" s="110">
        <v>10</v>
      </c>
      <c r="C46" s="111"/>
      <c r="D46" s="112"/>
      <c r="E46" s="113"/>
      <c r="F46" s="115"/>
      <c r="G46" s="112"/>
      <c r="H46" s="114"/>
      <c r="I46" s="115"/>
      <c r="J46" s="112"/>
      <c r="K46" s="114"/>
    </row>
    <row r="47" spans="1:11" ht="15.6" customHeight="1">
      <c r="A47" s="456"/>
      <c r="B47" s="110">
        <v>11</v>
      </c>
      <c r="C47" s="111"/>
      <c r="D47" s="112"/>
      <c r="E47" s="113"/>
      <c r="F47" s="115"/>
      <c r="G47" s="112"/>
      <c r="H47" s="114"/>
      <c r="I47" s="115"/>
      <c r="J47" s="112"/>
      <c r="K47" s="114"/>
    </row>
    <row r="48" spans="1:11" ht="15.6" customHeight="1">
      <c r="A48" s="456"/>
      <c r="B48" s="110">
        <v>12</v>
      </c>
      <c r="C48" s="111"/>
      <c r="D48" s="112"/>
      <c r="E48" s="113"/>
      <c r="F48" s="115"/>
      <c r="G48" s="112"/>
      <c r="H48" s="114"/>
      <c r="I48" s="115"/>
      <c r="J48" s="112"/>
      <c r="K48" s="114"/>
    </row>
    <row r="49" spans="1:11" ht="15.6" customHeight="1">
      <c r="A49" s="456"/>
      <c r="B49" s="110">
        <v>13</v>
      </c>
      <c r="C49" s="111"/>
      <c r="D49" s="112"/>
      <c r="E49" s="113"/>
      <c r="F49" s="115"/>
      <c r="G49" s="112"/>
      <c r="H49" s="114"/>
      <c r="I49" s="115"/>
      <c r="J49" s="112"/>
      <c r="K49" s="114"/>
    </row>
    <row r="50" spans="1:11" ht="15.6" customHeight="1">
      <c r="A50" s="456"/>
      <c r="B50" s="110">
        <v>14</v>
      </c>
      <c r="C50" s="111"/>
      <c r="D50" s="112"/>
      <c r="E50" s="113"/>
      <c r="F50" s="115"/>
      <c r="G50" s="112"/>
      <c r="H50" s="114"/>
      <c r="I50" s="115"/>
      <c r="J50" s="112"/>
      <c r="K50" s="114"/>
    </row>
    <row r="51" spans="1:11" ht="15.6" customHeight="1">
      <c r="A51" s="457"/>
      <c r="B51" s="116">
        <v>15</v>
      </c>
      <c r="C51" s="117"/>
      <c r="D51" s="118"/>
      <c r="E51" s="119"/>
      <c r="F51" s="120"/>
      <c r="G51" s="121"/>
      <c r="H51" s="119"/>
      <c r="I51" s="120"/>
      <c r="J51" s="121"/>
      <c r="K51" s="119"/>
    </row>
    <row r="52" spans="1:11" ht="15.6" customHeight="1">
      <c r="A52" s="467" t="s">
        <v>796</v>
      </c>
      <c r="B52" s="122">
        <v>1</v>
      </c>
      <c r="C52" s="127" t="s">
        <v>797</v>
      </c>
      <c r="D52" s="123"/>
      <c r="E52" s="124"/>
      <c r="F52" s="176" t="s">
        <v>798</v>
      </c>
      <c r="G52" s="123" t="s">
        <v>798</v>
      </c>
      <c r="H52" s="125" t="s">
        <v>798</v>
      </c>
      <c r="I52" s="130" t="s">
        <v>179</v>
      </c>
      <c r="J52" s="130" t="s">
        <v>186</v>
      </c>
      <c r="K52" s="125" t="s">
        <v>162</v>
      </c>
    </row>
    <row r="53" spans="1:11" ht="15.6" customHeight="1">
      <c r="A53" s="468"/>
      <c r="B53" s="126">
        <v>2</v>
      </c>
      <c r="C53" s="127" t="s">
        <v>157</v>
      </c>
      <c r="D53" s="128"/>
      <c r="E53" s="129"/>
      <c r="F53" s="175" t="s">
        <v>158</v>
      </c>
      <c r="G53" s="130" t="s">
        <v>160</v>
      </c>
      <c r="H53" s="131"/>
      <c r="I53" s="130" t="s">
        <v>172</v>
      </c>
      <c r="J53" s="130" t="s">
        <v>173</v>
      </c>
      <c r="K53" s="131" t="s">
        <v>173</v>
      </c>
    </row>
    <row r="54" spans="1:11" ht="15.6" customHeight="1">
      <c r="A54" s="468"/>
      <c r="B54" s="126">
        <v>3</v>
      </c>
      <c r="C54" s="127"/>
      <c r="D54" s="128"/>
      <c r="E54" s="129"/>
      <c r="F54" s="177" t="s">
        <v>160</v>
      </c>
      <c r="G54" s="130" t="s">
        <v>161</v>
      </c>
      <c r="H54" s="131"/>
      <c r="I54" s="130" t="s">
        <v>193</v>
      </c>
      <c r="J54" s="130" t="s">
        <v>166</v>
      </c>
      <c r="K54" s="131" t="s">
        <v>158</v>
      </c>
    </row>
    <row r="55" spans="1:11" ht="15.6" customHeight="1">
      <c r="A55" s="468"/>
      <c r="B55" s="126">
        <v>4</v>
      </c>
      <c r="C55" s="127"/>
      <c r="D55" s="128"/>
      <c r="E55" s="129"/>
      <c r="F55" s="130" t="s">
        <v>161</v>
      </c>
      <c r="G55" s="128"/>
      <c r="H55" s="131"/>
      <c r="I55" s="130" t="s">
        <v>169</v>
      </c>
      <c r="J55" s="130" t="s">
        <v>162</v>
      </c>
      <c r="K55" s="131"/>
    </row>
    <row r="56" spans="1:11" ht="15.6" customHeight="1">
      <c r="A56" s="468"/>
      <c r="B56" s="126">
        <v>5</v>
      </c>
      <c r="C56" s="127"/>
      <c r="D56" s="128"/>
      <c r="E56" s="129"/>
      <c r="F56" s="130" t="s">
        <v>162</v>
      </c>
      <c r="G56" s="128"/>
      <c r="H56" s="131"/>
      <c r="I56" s="130" t="s">
        <v>176</v>
      </c>
      <c r="J56" s="130" t="s">
        <v>158</v>
      </c>
      <c r="K56" s="131"/>
    </row>
    <row r="57" spans="1:11" ht="15.6" customHeight="1">
      <c r="A57" s="468"/>
      <c r="B57" s="126">
        <v>6</v>
      </c>
      <c r="C57" s="127"/>
      <c r="D57" s="128"/>
      <c r="E57" s="129"/>
      <c r="F57" s="130" t="s">
        <v>163</v>
      </c>
      <c r="G57" s="128"/>
      <c r="H57" s="131"/>
      <c r="I57" s="130" t="s">
        <v>184</v>
      </c>
      <c r="J57" s="128" t="s">
        <v>157</v>
      </c>
      <c r="K57" s="131"/>
    </row>
    <row r="58" spans="1:11" ht="15.6" customHeight="1">
      <c r="A58" s="468"/>
      <c r="B58" s="126">
        <v>7</v>
      </c>
      <c r="C58" s="127"/>
      <c r="D58" s="128"/>
      <c r="E58" s="129"/>
      <c r="F58" s="130" t="s">
        <v>164</v>
      </c>
      <c r="G58" s="128"/>
      <c r="H58" s="131"/>
      <c r="I58" s="130"/>
      <c r="J58" s="128"/>
      <c r="K58" s="131"/>
    </row>
    <row r="59" spans="1:11" ht="15.6" customHeight="1">
      <c r="A59" s="468"/>
      <c r="B59" s="126">
        <v>8</v>
      </c>
      <c r="C59" s="127"/>
      <c r="D59" s="128"/>
      <c r="E59" s="129"/>
      <c r="F59" s="130" t="s">
        <v>165</v>
      </c>
      <c r="G59" s="128"/>
      <c r="H59" s="131"/>
      <c r="I59" s="130"/>
      <c r="J59" s="128"/>
      <c r="K59" s="131"/>
    </row>
    <row r="60" spans="1:11" ht="15.6" customHeight="1">
      <c r="A60" s="468"/>
      <c r="B60" s="126">
        <v>9</v>
      </c>
      <c r="C60" s="127"/>
      <c r="D60" s="128"/>
      <c r="E60" s="129"/>
      <c r="F60" s="130" t="s">
        <v>166</v>
      </c>
      <c r="G60" s="128"/>
      <c r="H60" s="131"/>
      <c r="I60" s="130"/>
      <c r="J60" s="128"/>
      <c r="K60" s="131"/>
    </row>
    <row r="61" spans="1:11" ht="15.6" customHeight="1">
      <c r="A61" s="468"/>
      <c r="B61" s="126">
        <v>10</v>
      </c>
      <c r="C61" s="127"/>
      <c r="D61" s="128"/>
      <c r="E61" s="129"/>
      <c r="F61" s="130" t="s">
        <v>173</v>
      </c>
      <c r="G61" s="128"/>
      <c r="H61" s="131"/>
      <c r="I61" s="130"/>
      <c r="J61" s="128"/>
      <c r="K61" s="131"/>
    </row>
    <row r="62" spans="1:11" ht="15.6" customHeight="1">
      <c r="A62" s="468"/>
      <c r="B62" s="126">
        <v>11</v>
      </c>
      <c r="C62" s="127"/>
      <c r="D62" s="128"/>
      <c r="E62" s="129"/>
      <c r="F62" s="130" t="s">
        <v>186</v>
      </c>
      <c r="G62" s="128"/>
      <c r="H62" s="131"/>
      <c r="I62" s="130"/>
      <c r="J62" s="128"/>
      <c r="K62" s="131"/>
    </row>
    <row r="63" spans="1:11" ht="15.6" customHeight="1">
      <c r="A63" s="468"/>
      <c r="B63" s="126">
        <v>12</v>
      </c>
      <c r="C63" s="127"/>
      <c r="D63" s="128"/>
      <c r="E63" s="129"/>
      <c r="F63" s="130" t="s">
        <v>156</v>
      </c>
      <c r="G63" s="128"/>
      <c r="H63" s="131"/>
      <c r="I63" s="130"/>
      <c r="J63" s="128"/>
      <c r="K63" s="131"/>
    </row>
    <row r="64" spans="1:11" ht="15.6" customHeight="1">
      <c r="A64" s="468"/>
      <c r="B64" s="126">
        <v>13</v>
      </c>
      <c r="C64" s="127"/>
      <c r="D64" s="128"/>
      <c r="E64" s="129"/>
      <c r="F64" s="130" t="s">
        <v>799</v>
      </c>
      <c r="G64" s="128"/>
      <c r="H64" s="131"/>
      <c r="I64" s="130"/>
      <c r="J64" s="128"/>
      <c r="K64" s="131"/>
    </row>
    <row r="65" spans="1:13" ht="15.6" customHeight="1">
      <c r="A65" s="468"/>
      <c r="B65" s="126">
        <v>14</v>
      </c>
      <c r="C65" s="127"/>
      <c r="D65" s="128"/>
      <c r="E65" s="129"/>
      <c r="F65" s="130"/>
      <c r="G65" s="128"/>
      <c r="H65" s="131"/>
      <c r="I65" s="130"/>
      <c r="J65" s="128"/>
      <c r="K65" s="131"/>
      <c r="M65" s="444"/>
    </row>
    <row r="66" spans="1:13" ht="15.6" customHeight="1" thickBot="1">
      <c r="A66" s="469"/>
      <c r="B66" s="132">
        <v>15</v>
      </c>
      <c r="C66" s="133"/>
      <c r="D66" s="134"/>
      <c r="E66" s="135"/>
      <c r="F66" s="136"/>
      <c r="G66" s="134"/>
      <c r="H66" s="135"/>
      <c r="I66" s="136"/>
      <c r="J66" s="134"/>
      <c r="K66" s="135"/>
    </row>
    <row r="68" spans="1:13">
      <c r="C68" s="53">
        <f>COUNTA(C7:C66)</f>
        <v>15</v>
      </c>
      <c r="D68" s="53">
        <f t="shared" ref="D68:K68" si="2">COUNTA(D7:D66)</f>
        <v>7</v>
      </c>
      <c r="E68" s="53">
        <f t="shared" si="2"/>
        <v>3</v>
      </c>
      <c r="F68" s="53">
        <f t="shared" si="2"/>
        <v>17</v>
      </c>
      <c r="G68" s="53">
        <f t="shared" si="2"/>
        <v>5</v>
      </c>
      <c r="H68" s="53">
        <f t="shared" si="2"/>
        <v>16</v>
      </c>
      <c r="I68" s="53">
        <f t="shared" si="2"/>
        <v>9</v>
      </c>
      <c r="J68" s="53">
        <f t="shared" si="2"/>
        <v>7</v>
      </c>
      <c r="K68" s="53">
        <f t="shared" si="2"/>
        <v>4</v>
      </c>
    </row>
    <row r="77" spans="1:13">
      <c r="M77" s="444"/>
    </row>
  </sheetData>
  <sheetProtection formatCells="0" formatColumns="0" formatRows="0"/>
  <mergeCells count="11">
    <mergeCell ref="I5:K5"/>
    <mergeCell ref="A1:K3"/>
    <mergeCell ref="A52:A66"/>
    <mergeCell ref="B5:B6"/>
    <mergeCell ref="C5:E5"/>
    <mergeCell ref="F5:H5"/>
    <mergeCell ref="M6:M7"/>
    <mergeCell ref="N6:P6"/>
    <mergeCell ref="A7:A21"/>
    <mergeCell ref="A22:A36"/>
    <mergeCell ref="A37:A5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Status xmlns="389f1ef8-9fc7-4250-9466-79c08d8bd832" xsi:nil="true"/>
    <TaxCatchAll xmlns="d5b2f26e-b630-44bd-87e5-d5d6c3db68be" xsi:nil="true"/>
    <lcf76f155ced4ddcb4097134ff3c332f xmlns="389f1ef8-9fc7-4250-9466-79c08d8bd83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3DC0BB8BE08744AAD7823D7D2EEDA58" ma:contentTypeVersion="17" ma:contentTypeDescription="Create a new document." ma:contentTypeScope="" ma:versionID="480ee920b99d23bac99646da38ccbbdc">
  <xsd:schema xmlns:xsd="http://www.w3.org/2001/XMLSchema" xmlns:xs="http://www.w3.org/2001/XMLSchema" xmlns:p="http://schemas.microsoft.com/office/2006/metadata/properties" xmlns:ns2="389f1ef8-9fc7-4250-9466-79c08d8bd832" xmlns:ns3="d5b2f26e-b630-44bd-87e5-d5d6c3db68be" targetNamespace="http://schemas.microsoft.com/office/2006/metadata/properties" ma:root="true" ma:fieldsID="2d8ae27bcc703cee76efd159f85bc346" ns2:_="" ns3:_="">
    <xsd:import namespace="389f1ef8-9fc7-4250-9466-79c08d8bd832"/>
    <xsd:import namespace="d5b2f26e-b630-44bd-87e5-d5d6c3db68b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DateTaken" minOccurs="0"/>
                <xsd:element ref="ns2:Status" minOccurs="0"/>
                <xsd:element ref="ns2:MediaServiceLocation" minOccurs="0"/>
                <xsd:element ref="ns2:MediaLengthInSecond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9f1ef8-9fc7-4250-9466-79c08d8bd8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1e15db89-250c-4d34-9bef-285ee39de08b"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Status" ma:index="19" nillable="true" ma:displayName="Status" ma:format="Dropdown" ma:internalName="Status">
      <xsd:simpleType>
        <xsd:restriction base="dms:Text">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5b2f26e-b630-44bd-87e5-d5d6c3db68be"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04103b4b-7053-4631-943a-3987abc8a121}" ma:internalName="TaxCatchAll" ma:showField="CatchAllData" ma:web="d5b2f26e-b630-44bd-87e5-d5d6c3db68be">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86A549A6-5D65-40C1-BAC8-67E305C84FD1}">
  <ds:schemaRefs>
    <ds:schemaRef ds:uri="http://schemas.microsoft.com/office/2006/metadata/properties"/>
    <ds:schemaRef ds:uri="http://schemas.microsoft.com/office/infopath/2007/PartnerControls"/>
    <ds:schemaRef ds:uri="389f1ef8-9fc7-4250-9466-79c08d8bd832"/>
    <ds:schemaRef ds:uri="d5b2f26e-b630-44bd-87e5-d5d6c3db68be"/>
  </ds:schemaRefs>
</ds:datastoreItem>
</file>

<file path=customXml/itemProps2.xml><?xml version="1.0" encoding="utf-8"?>
<ds:datastoreItem xmlns:ds="http://schemas.openxmlformats.org/officeDocument/2006/customXml" ds:itemID="{0AADCE48-190F-46EC-A742-AD626582D8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9f1ef8-9fc7-4250-9466-79c08d8bd832"/>
    <ds:schemaRef ds:uri="d5b2f26e-b630-44bd-87e5-d5d6c3db68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9B9A956-8AED-4867-8E2C-013B86FEB2D4}">
  <ds:schemaRefs>
    <ds:schemaRef ds:uri="http://schemas.microsoft.com/sharepoint/v3/contenttype/forms"/>
  </ds:schemaRefs>
</ds:datastoreItem>
</file>

<file path=customXml/itemProps4.xml><?xml version="1.0" encoding="utf-8"?>
<ds:datastoreItem xmlns:ds="http://schemas.openxmlformats.org/officeDocument/2006/customXml" ds:itemID="{2F91EBF7-AB5B-4EB3-82DA-7F426AFF8AC0}">
  <ds:schemaRefs>
    <ds:schemaRef ds:uri="http://www.w3.org/2001/XMLSchema"/>
    <ds:schemaRef ds:uri="http://www.boozallen.com/argo/gui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Marketing-Related Sheet</vt:lpstr>
      <vt:lpstr>Detailed Update</vt:lpstr>
      <vt:lpstr>Updated Progress % + TCC</vt:lpstr>
      <vt:lpstr>Completed Milestones</vt:lpstr>
      <vt:lpstr>'Detailed Update'!Print_Area</vt:lpstr>
      <vt:lpstr>'Updated Progress % + TCC'!Print_Area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Majed Alsadhan</dc:creator>
  <cp:keywords/>
  <dc:description/>
  <cp:lastModifiedBy>Ahmed Abdelzaher</cp:lastModifiedBy>
  <cp:revision/>
  <dcterms:created xsi:type="dcterms:W3CDTF">2025-06-01T12:24:45Z</dcterms:created>
  <dcterms:modified xsi:type="dcterms:W3CDTF">2026-09-01T10:46:50Z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407c91-f24b-4cd4-a76b-785b6c54b38d_Enabled">
    <vt:lpwstr>true</vt:lpwstr>
  </property>
  <property fmtid="{D5CDD505-2E9C-101B-9397-08002B2CF9AE}" pid="3" name="MSIP_Label_6b407c91-f24b-4cd4-a76b-785b6c54b38d_SetDate">
    <vt:lpwstr>2025-06-01T12:25:48Z</vt:lpwstr>
  </property>
  <property fmtid="{D5CDD505-2E9C-101B-9397-08002B2CF9AE}" pid="4" name="MSIP_Label_6b407c91-f24b-4cd4-a76b-785b6c54b38d_Method">
    <vt:lpwstr>Privileged</vt:lpwstr>
  </property>
  <property fmtid="{D5CDD505-2E9C-101B-9397-08002B2CF9AE}" pid="5" name="MSIP_Label_6b407c91-f24b-4cd4-a76b-785b6c54b38d_Name">
    <vt:lpwstr>Public</vt:lpwstr>
  </property>
  <property fmtid="{D5CDD505-2E9C-101B-9397-08002B2CF9AE}" pid="6" name="MSIP_Label_6b407c91-f24b-4cd4-a76b-785b6c54b38d_SiteId">
    <vt:lpwstr>947d9dbe-5f08-4416-96a9-8468f7f8299e</vt:lpwstr>
  </property>
  <property fmtid="{D5CDD505-2E9C-101B-9397-08002B2CF9AE}" pid="7" name="MSIP_Label_6b407c91-f24b-4cd4-a76b-785b6c54b38d_ActionId">
    <vt:lpwstr>a95e7d2b-33aa-43f7-94f2-2c6a0742d366</vt:lpwstr>
  </property>
  <property fmtid="{D5CDD505-2E9C-101B-9397-08002B2CF9AE}" pid="8" name="MSIP_Label_6b407c91-f24b-4cd4-a76b-785b6c54b38d_ContentBits">
    <vt:lpwstr>2</vt:lpwstr>
  </property>
  <property fmtid="{D5CDD505-2E9C-101B-9397-08002B2CF9AE}" pid="9" name="MSIP_Label_6b407c91-f24b-4cd4-a76b-785b6c54b38d_Tag">
    <vt:lpwstr>10, 0, 1, 1</vt:lpwstr>
  </property>
  <property fmtid="{D5CDD505-2E9C-101B-9397-08002B2CF9AE}" pid="10" name="ContentTypeId">
    <vt:lpwstr>0x01010093DC0BB8BE08744AAD7823D7D2EEDA58</vt:lpwstr>
  </property>
  <property fmtid="{D5CDD505-2E9C-101B-9397-08002B2CF9AE}" pid="11" name="MediaServiceImageTags">
    <vt:lpwstr/>
  </property>
</Properties>
</file>