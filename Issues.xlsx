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namedSheetViews/namedSheetView1.xml" ContentType="application/vnd.ms-excel.namedsheetviews+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lfanargroup.sharepoint.com/sites/ProjectPlanningdepartment/Shared Documents/General/Project Status/Project Documents/Southern Region/Overall Reports/Issues Log/"/>
    </mc:Choice>
  </mc:AlternateContent>
  <xr:revisionPtr revIDLastSave="15055" documentId="13_ncr:1_{C9BE0B09-32DC-43A7-A4E9-17CBD0456E9A}" xr6:coauthVersionLast="47" xr6:coauthVersionMax="47" xr10:uidLastSave="{240429D1-F6E9-41D0-8C30-DA6A532934AB}"/>
  <bookViews>
    <workbookView xWindow="28680" yWindow="-120" windowWidth="29040" windowHeight="15720" firstSheet="1" activeTab="1" xr2:uid="{102E570E-E1CA-4C4D-9C14-EF63274F39DA}"/>
  </bookViews>
  <sheets>
    <sheet name="Sheet3" sheetId="6" state="hidden" r:id="rId1"/>
    <sheet name="All Issues" sheetId="1" r:id="rId2"/>
    <sheet name="Statistics" sheetId="4" r:id="rId3"/>
    <sheet name="Sheet1" sheetId="10" state="hidden" r:id="rId4"/>
    <sheet name="May 25 - Achievement" sheetId="8" state="hidden" r:id="rId5"/>
    <sheet name="Urgent Support List" sheetId="9" state="hidden" r:id="rId6"/>
    <sheet name="Lists" sheetId="7" state="hidden" r:id="rId7"/>
    <sheet name="Vendor Issues" sheetId="3" state="hidden" r:id="rId8"/>
  </sheets>
  <definedNames>
    <definedName name="_xlnm._FilterDatabase" localSheetId="2" hidden="1">Statistics!$A$17:$B$43</definedName>
    <definedName name="Issue_Type">Table3[Issue Type]</definedName>
    <definedName name="Slicer_Impact">#N/A</definedName>
    <definedName name="Slicer_Impact1">#N/A</definedName>
    <definedName name="Slicer_Issue_owner1">#N/A</definedName>
    <definedName name="Slicer_Issue_Type">#N/A</definedName>
    <definedName name="Slicer_Name">#N/A</definedName>
    <definedName name="Slicer_Name1">#N/A</definedName>
    <definedName name="Slicer_Priority_by_Alfanar">#N/A</definedName>
    <definedName name="Slicer_Priority_by_SEC">#N/A</definedName>
    <definedName name="Slicer_Project">#N/A</definedName>
    <definedName name="Slicer_Project1">#N/A</definedName>
    <definedName name="Slicer_Region">#N/A</definedName>
    <definedName name="Slicer_Status">#N/A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7" i="1" l="1"/>
  <c r="F338" i="1" s="1"/>
  <c r="F339" i="1" s="1"/>
  <c r="F340" i="1" s="1"/>
  <c r="F341" i="1" s="1"/>
  <c r="F342" i="1" s="1"/>
  <c r="F343" i="1" s="1"/>
  <c r="F344" i="1" s="1"/>
  <c r="F345" i="1" s="1"/>
  <c r="F346" i="1" s="1"/>
  <c r="B60" i="4"/>
  <c r="B59" i="4"/>
  <c r="B83" i="4"/>
  <c r="B52" i="4"/>
  <c r="B53" i="4"/>
  <c r="B54" i="4"/>
  <c r="B55" i="4"/>
  <c r="B56" i="4"/>
  <c r="B57" i="4"/>
  <c r="B58" i="4"/>
  <c r="B24" i="4"/>
  <c r="B25" i="4"/>
  <c r="B26" i="4"/>
  <c r="B27" i="4"/>
  <c r="B28" i="4"/>
  <c r="B29" i="4"/>
  <c r="B49" i="4"/>
  <c r="B50" i="4"/>
  <c r="B51" i="4"/>
  <c r="B84" i="4"/>
  <c r="G300" i="1"/>
  <c r="G301" i="1"/>
  <c r="G302" i="1"/>
  <c r="G303" i="1"/>
  <c r="G304" i="1"/>
  <c r="G305" i="1"/>
  <c r="B19" i="4"/>
  <c r="B20" i="4"/>
  <c r="B21" i="4"/>
  <c r="B22" i="4"/>
  <c r="B23" i="4"/>
  <c r="B30" i="4"/>
  <c r="B31" i="4"/>
  <c r="B32" i="4"/>
  <c r="B33" i="4"/>
  <c r="B34" i="4"/>
  <c r="B35" i="4"/>
  <c r="B36" i="4"/>
  <c r="B37" i="4"/>
  <c r="B38" i="4"/>
  <c r="B39" i="4"/>
  <c r="B40" i="4"/>
  <c r="B41" i="4"/>
  <c r="B42" i="4"/>
  <c r="B43" i="4"/>
  <c r="B44" i="4"/>
  <c r="B45" i="4"/>
  <c r="B46" i="4"/>
  <c r="B47" i="4"/>
  <c r="B48" i="4"/>
  <c r="B75" i="4"/>
  <c r="B76" i="4"/>
  <c r="B77" i="4"/>
  <c r="B78" i="4"/>
  <c r="B79" i="4"/>
  <c r="B80" i="4"/>
  <c r="B81" i="4"/>
  <c r="B82" i="4"/>
  <c r="E21" i="7"/>
  <c r="E2" i="7"/>
  <c r="E3" i="7"/>
  <c r="E4" i="7"/>
  <c r="E5" i="7"/>
  <c r="E6" i="7"/>
  <c r="E7" i="7"/>
  <c r="E8" i="7"/>
  <c r="E9" i="7"/>
  <c r="E10" i="7"/>
  <c r="E11" i="7"/>
  <c r="E12" i="7"/>
  <c r="E13" i="7"/>
  <c r="E14" i="7"/>
  <c r="E15" i="7"/>
  <c r="E16" i="7"/>
  <c r="E17" i="7"/>
  <c r="E18" i="7"/>
  <c r="E19" i="7"/>
  <c r="E20" i="7"/>
  <c r="B18" i="4"/>
  <c r="B93" i="4"/>
  <c r="B94" i="4"/>
  <c r="B92" i="4"/>
  <c r="O26" i="4"/>
  <c r="O27" i="4"/>
  <c r="O28" i="4"/>
  <c r="O25" i="4"/>
  <c r="B88" i="4"/>
  <c r="K26" i="4" s="1"/>
  <c r="B87" i="4"/>
  <c r="K25" i="4" s="1"/>
  <c r="B3" i="4"/>
  <c r="W155" i="1"/>
  <c r="B85" i="4" l="1"/>
  <c r="B12" i="4"/>
  <c r="B14" i="4"/>
  <c r="S27" i="4" s="1"/>
  <c r="B13" i="4"/>
  <c r="B15" i="4"/>
  <c r="S26" i="4" s="1"/>
  <c r="B95" i="4"/>
  <c r="O29" i="4"/>
  <c r="P29" i="4" s="1"/>
  <c r="B65" i="4"/>
  <c r="K27" i="4"/>
  <c r="L27" i="4" s="1"/>
  <c r="B89" i="4"/>
  <c r="S25" i="4" l="1"/>
  <c r="S28" i="4" s="1"/>
  <c r="T28" i="4" s="1"/>
  <c r="P28" i="4"/>
  <c r="P25" i="4"/>
  <c r="P27" i="4"/>
  <c r="P26" i="4"/>
  <c r="B16" i="4"/>
  <c r="L26" i="4"/>
  <c r="L25" i="4"/>
  <c r="T27" i="4" l="1"/>
  <c r="T25" i="4"/>
  <c r="T26" i="4"/>
</calcChain>
</file>

<file path=xl/sharedStrings.xml><?xml version="1.0" encoding="utf-8"?>
<sst xmlns="http://schemas.openxmlformats.org/spreadsheetml/2006/main" count="8410" uniqueCount="2148">
  <si>
    <t>Supply chain-Purchasing</t>
  </si>
  <si>
    <t>Resource Department</t>
  </si>
  <si>
    <t xml:space="preserve">Treasury </t>
  </si>
  <si>
    <t>A</t>
  </si>
  <si>
    <t>Extremely High</t>
  </si>
  <si>
    <t>B</t>
  </si>
  <si>
    <t>High</t>
  </si>
  <si>
    <t>C</t>
  </si>
  <si>
    <t>Medium</t>
  </si>
  <si>
    <t>Low</t>
  </si>
  <si>
    <t>AES-WESTERN</t>
  </si>
  <si>
    <t>Alfanar AES Meeting Updated Tracker Status 28th May 25.xlsx</t>
  </si>
  <si>
    <t>Project</t>
  </si>
  <si>
    <t>Project Name</t>
  </si>
  <si>
    <t>Project Manager</t>
  </si>
  <si>
    <t>Region</t>
  </si>
  <si>
    <t>SN</t>
  </si>
  <si>
    <t>Issue owner</t>
  </si>
  <si>
    <t>Name</t>
  </si>
  <si>
    <t>Issue Type</t>
  </si>
  <si>
    <t>Date Issued</t>
  </si>
  <si>
    <t>Main Issue</t>
  </si>
  <si>
    <t>Impact</t>
  </si>
  <si>
    <t>Action Taken</t>
  </si>
  <si>
    <t>Action Required</t>
  </si>
  <si>
    <t>Priority By SEC</t>
  </si>
  <si>
    <t>Priority by Alfanar</t>
  </si>
  <si>
    <t>Action By</t>
  </si>
  <si>
    <t>Planned Target</t>
  </si>
  <si>
    <t>Forecast/Expected Target</t>
  </si>
  <si>
    <t>Status</t>
  </si>
  <si>
    <t>(Schedule/Cost)Impact</t>
  </si>
  <si>
    <t>Remarks</t>
  </si>
  <si>
    <t>Cost</t>
  </si>
  <si>
    <t>PO Status</t>
  </si>
  <si>
    <t>PE-243</t>
  </si>
  <si>
    <t>(DRPC) at Tabuk 380KV BSP</t>
  </si>
  <si>
    <t xml:space="preserve">Shafqat Zia </t>
  </si>
  <si>
    <t>Western</t>
  </si>
  <si>
    <t>Alfanar</t>
  </si>
  <si>
    <t>Delivery</t>
  </si>
  <si>
    <t xml:space="preserve">Revised Purchase order for TSC panel to GE from SCD
</t>
  </si>
  <si>
    <t>PM following with SCD to issues the p.o, Budget supplement of TSC Panel is under Ex VP approval</t>
  </si>
  <si>
    <t xml:space="preserve">SCD need to be issued the P.O to GE, it will affect the FAC issuance </t>
  </si>
  <si>
    <t>PM/SCD/RM</t>
  </si>
  <si>
    <t>Closed</t>
  </si>
  <si>
    <t>VO/EOT</t>
  </si>
  <si>
    <t>SCD need to finalize Alfanar claim to GE (10.2 million SAR)</t>
  </si>
  <si>
    <t>PM following with scd settle the claim, Diemention changes in the tranformer.</t>
  </si>
  <si>
    <t>SCD need to be settled alfanar claim at earliest</t>
  </si>
  <si>
    <t>PE-270</t>
  </si>
  <si>
    <t>110/13.8KV  HARAZAT SUB JEDDAH</t>
  </si>
  <si>
    <t>Muhammed Ilyas</t>
  </si>
  <si>
    <t>Client</t>
  </si>
  <si>
    <t>SEC</t>
  </si>
  <si>
    <t>Client Issues</t>
  </si>
  <si>
    <t xml:space="preserve">Fiber &amp; Data Route Establishment 
</t>
  </si>
  <si>
    <t xml:space="preserve">Following with SEC
</t>
  </si>
  <si>
    <t xml:space="preserve">SEC need to provide
</t>
  </si>
  <si>
    <t>PM</t>
  </si>
  <si>
    <t xml:space="preserve">For Energization
</t>
  </si>
  <si>
    <t xml:space="preserve">1. Final Settings of Line Protection Panels. (Testing will be done, once line readiness from client).
2. AMI integration with WRCC
</t>
  </si>
  <si>
    <t xml:space="preserve">Following  up with SEC
</t>
  </si>
  <si>
    <t>SEC need to expedite</t>
  </si>
  <si>
    <t>Dependent on Line Readiness from Client</t>
  </si>
  <si>
    <t>Open</t>
  </si>
  <si>
    <t>PE-265</t>
  </si>
  <si>
    <t>110/33 KV ALMAHANI S/S IN TAIF</t>
  </si>
  <si>
    <t>Sohaib Afdal</t>
  </si>
  <si>
    <t>Vendor</t>
  </si>
  <si>
    <t>HITACHI</t>
  </si>
  <si>
    <t xml:space="preserve">Complete Production (11 bays) status for the 110kv GIS and LCC panels, not yet confirmed by Hitachi  </t>
  </si>
  <si>
    <t>Email communication and followup with Hitachi team to expeditet the delivery</t>
  </si>
  <si>
    <t>Hitachi need to confirm the status of Complete produciton status and FAT Date. As per p.o terms delivery by 28th Jan 25.</t>
  </si>
  <si>
    <t>"P.O issued on ( Jan 24). (LOA signed on 20-Aug-23, GAFM date by 28th Jan 24) Delivery 13 months from LOA signed date and 10 month from GAFM , as per P.O delivery by . 28-Jan-25. Delivery to be expedited.
GIS Material is partially delivered to site. 
waiting for CT&amp;PT approval</t>
  </si>
  <si>
    <t>Test &amp; Comm.</t>
  </si>
  <si>
    <t>delay in final setting approval and Line Parameters for SWGR and Capacitor bank and line protection delaying open loop test</t>
  </si>
  <si>
    <t>Submittal was provided to SEC requesting the approval to proceed 
Letter submitted to SE highlighting the key issues holding the testing progress</t>
  </si>
  <si>
    <t>Need to expedite final setting approval for SWGR and Capacitor bank and line protection to proceed immediately with Open Loop Tests</t>
  </si>
  <si>
    <t>PM/SEC</t>
  </si>
  <si>
    <t>AP / SE</t>
  </si>
  <si>
    <t>Installation</t>
  </si>
  <si>
    <t>Delayed installations of the (HV Terminations, CSE, MV Terminations) pending qualified subcontractor.</t>
  </si>
  <si>
    <t>Prequalification Submitted to SE, Awaiting Approval to Close the PO</t>
  </si>
  <si>
    <t>support with SE to finalize the prequalification to close the PO</t>
  </si>
  <si>
    <t>Material delivered (except for MV Terminations, expected by 1st week of Aug-26)</t>
  </si>
  <si>
    <t>Construction</t>
  </si>
  <si>
    <t>Costly design of the road works connection with the main road that will require additional 1.6m to the available Asphalt PO</t>
  </si>
  <si>
    <t>Alternative offers were acquired with 0.9M SAR, however still no Budget to proceed with the current design</t>
  </si>
  <si>
    <t>Arrange with SE to agree on a proposal to link the road, SCD to provide Cheaper offers</t>
  </si>
  <si>
    <t>MV Capacitor Banks, During unpacking of the MV Capacitor Bank units, one unit out of four was found damaged with oil leakage, rendering it defective and unfit for installation. The unit requires full replacement.</t>
  </si>
  <si>
    <t>HITACHI was formally notified of the damaged unit and requested to propose a replacement solution.
HITACHI confirmed remanufacturing of a replacement unit, with delivery estimated by Aug-26.</t>
  </si>
  <si>
    <t>HITACHI to formally assess responsibility for transit damage and explore schedule acceleration options (priority manufacturing, parallel FAT, or air shipment where feasible).</t>
  </si>
  <si>
    <t>additional 3 months delay</t>
  </si>
  <si>
    <t>Material delivered</t>
  </si>
  <si>
    <t>SPTC</t>
  </si>
  <si>
    <t>Power Transformer 80/100 MVA Delivery</t>
  </si>
  <si>
    <t>Mail shared to supplier,supplier informed FAT from 22nd May to 29th May.</t>
  </si>
  <si>
    <t>FAT date to be improved by end of Apr. Need delivery by 10th May 25</t>
  </si>
  <si>
    <t>Vendor/PM</t>
  </si>
  <si>
    <t>Three month impact</t>
  </si>
  <si>
    <t>P.O issued on 4th Sep 24, Delivery period 16.5 Months from p.o issuancw. as per P.O delivery by 21th Jan 25, delivery to be expedited.Delivery is expected on 15-Jul-25
FAT Is completed.</t>
  </si>
  <si>
    <t>Prainsa</t>
  </si>
  <si>
    <t>110KV Building precast material delivery and instllation delayed, till date no materials delivered at site</t>
  </si>
  <si>
    <t>Supplier send the plan for delivery by Mid of may and installation by mid of June, Alfanar not accepted.</t>
  </si>
  <si>
    <t>Supplier should supply all the materials immediately and installation need to complete by end of May-25</t>
  </si>
  <si>
    <t>One month impact</t>
  </si>
  <si>
    <t>All precast material is delivered</t>
  </si>
  <si>
    <t>110kv GIS ct-vt-Exceptional approval</t>
  </si>
  <si>
    <t>high</t>
  </si>
  <si>
    <t xml:space="preserve">Email communication and followup  </t>
  </si>
  <si>
    <t>sec NEED TO APPROVE THE EXCEPTIONAL APPROVAL</t>
  </si>
  <si>
    <t>Client/PM</t>
  </si>
  <si>
    <t>Still SEC not replied.</t>
  </si>
  <si>
    <t>DAR</t>
  </si>
  <si>
    <t>Design Submission / Rectifications</t>
  </si>
  <si>
    <t>Delay in Submission and revision comments reply by DAR</t>
  </si>
  <si>
    <t>E-mails and follow up is made with DAR Team to submit design pending works</t>
  </si>
  <si>
    <t>Dar need to Expedite the compliance SEC comments and submit revisions within 3-4 days</t>
  </si>
  <si>
    <t>Al Mahani Dar submittal tracking (22-Apr-25).xlsx</t>
  </si>
  <si>
    <t>Now DAR is replying for Comments from SEC</t>
  </si>
  <si>
    <t>PE-315</t>
  </si>
  <si>
    <t>110KV Salam Royal Palace</t>
  </si>
  <si>
    <t>Ahmed Faisal</t>
  </si>
  <si>
    <t>M/S FAWAZ REFR &amp; AIRCONDITIONING</t>
  </si>
  <si>
    <t>Ventilation Fans &amp; Smoke Purging Fans-Delivery</t>
  </si>
  <si>
    <r>
      <rPr>
        <sz val="12"/>
        <color rgb="FF000000"/>
        <rFont val="Calibri"/>
        <family val="2"/>
      </rPr>
      <t>Vendor has confirmed the shipment will start by 15</t>
    </r>
    <r>
      <rPr>
        <vertAlign val="superscript"/>
        <sz val="12"/>
        <color rgb="FF000000"/>
        <rFont val="Calibri"/>
        <family val="2"/>
      </rPr>
      <t>th</t>
    </r>
    <r>
      <rPr>
        <sz val="12"/>
        <color rgb="FF000000"/>
        <rFont val="Calibri"/>
        <family val="2"/>
      </rPr>
      <t xml:space="preserve"> Aug 25 and expected delivery will be 30</t>
    </r>
    <r>
      <rPr>
        <vertAlign val="superscript"/>
        <sz val="12"/>
        <color rgb="FF000000"/>
        <rFont val="Calibri"/>
        <family val="2"/>
      </rPr>
      <t>th</t>
    </r>
    <r>
      <rPr>
        <sz val="12"/>
        <color rgb="FF000000"/>
        <rFont val="Calibri"/>
        <family val="2"/>
      </rPr>
      <t xml:space="preserve"> Sep’2 which affect the TCC date.  </t>
    </r>
  </si>
  <si>
    <t>Expedite the vendor to start the shipment immediately.</t>
  </si>
  <si>
    <t>AES</t>
  </si>
  <si>
    <t>Protection Panel-Consumer feeder is still pending and expected delivery 10th july'25.FAT for 5 panels completed on yesterday</t>
  </si>
  <si>
    <t>Continous follow up and meeting to expedite the delivery.</t>
  </si>
  <si>
    <t>AES should deliver the consumer feeder by 10th July'25 as committed.</t>
  </si>
  <si>
    <t>No impact</t>
  </si>
  <si>
    <t>ACDC Lighting Panel-FAT date yet to be confirmed. Base design approved on 8th May'25.We are pushing AES to the target FAT date of 15th July'25.</t>
  </si>
  <si>
    <t>Expedite the AES to the target FAT date of 15th July'25</t>
  </si>
  <si>
    <t>Station Service Transformer-FAT will be on 30th Aug'25.Expected delivery by Sep'25</t>
  </si>
  <si>
    <t>AES should improve the FAT date before 15th July'25.</t>
  </si>
  <si>
    <t>2 months impact</t>
  </si>
  <si>
    <t>LEEEC</t>
  </si>
  <si>
    <t>Power Transformer-RFS issued. However , shipment still not processed waiting conclusion of SEC visit to M/S LEEEC factory.</t>
  </si>
  <si>
    <t>FAT completed on 10 Mar'25.Due to quality inspection,SEC visited the factory and review the comments give release for shipment.</t>
  </si>
  <si>
    <t>LEEEC should deliver the power transformer by 1st Aug'25.</t>
  </si>
  <si>
    <t>SEC/Royal Palace Security team</t>
  </si>
  <si>
    <t>Security system  &amp; Access control scope yet to be finalized by SEC &amp; Royal Palace security team.</t>
  </si>
  <si>
    <t>PO finalized to Etech and awaiting for Technical Submittal.</t>
  </si>
  <si>
    <t>SEC should confirm the security system scope required or not for this project.</t>
  </si>
  <si>
    <t>SEC/PM</t>
  </si>
  <si>
    <t xml:space="preserve">Cable route finalized 25th june'25 and given for manufacturing clearance.Submitted schematic diagram to SEC.
</t>
  </si>
  <si>
    <t>Submitted the schematic diagram to SEC.Once we get approval,we will start civil works.</t>
  </si>
  <si>
    <t>SEC should expedite the approval of cable route outside palace.</t>
  </si>
  <si>
    <t>PE-280</t>
  </si>
  <si>
    <t>110KV SS - KAEC-2</t>
  </si>
  <si>
    <t>Hossam Mahrous</t>
  </si>
  <si>
    <t>Permits / Request from Client</t>
  </si>
  <si>
    <t>Armored cable requirement for LV cable</t>
  </si>
  <si>
    <t>Matter has been highlighted to SEC &amp; EMAAR as well</t>
  </si>
  <si>
    <t>Armored Cable requirement to be waived off from SEC &amp;  Issue highlighted to SEC &amp; KAEC as well. PM to have close follow-up with SEC/KAEC to resolve the issue</t>
  </si>
  <si>
    <t>One month impact (Cost Impact after vendor quote its price)</t>
  </si>
  <si>
    <t>Matter has been closed &amp; SEC has approved LV cable design without armor  rerquirement</t>
  </si>
  <si>
    <t>No Impact</t>
  </si>
  <si>
    <t>PO Placed</t>
  </si>
  <si>
    <t>FAT Approval &amp; Delivery for Power Transformer</t>
  </si>
  <si>
    <t>Letter sent to SEC by VP for two times to expedite FAT &amp; Rectification approval 
RFSC already given to supplier (Material is stuck with Supplier)</t>
  </si>
  <si>
    <t xml:space="preserve">SEC to provide FAT &amp; Rectification approval </t>
  </si>
  <si>
    <t>Client/Vendor/PM</t>
  </si>
  <si>
    <t>Power Transformer to be dispatched within this week</t>
  </si>
  <si>
    <t>T&amp;C</t>
  </si>
  <si>
    <t>Resources</t>
  </si>
  <si>
    <t xml:space="preserve">Mobilization of T&amp;C team </t>
  </si>
  <si>
    <t>Portfolio Manager has communicated AT&amp;C to finalization of PO</t>
  </si>
  <si>
    <t>Need support from management in mobilization of T&amp;C team by 1st June 2025</t>
  </si>
  <si>
    <t>T&amp;C Team starts working at site</t>
  </si>
  <si>
    <t>Under Negotiation</t>
  </si>
  <si>
    <t xml:space="preserve">AES to get exceptional approval for (Duplex painting system-Double coat) Service station transformer from SEC. </t>
  </si>
  <si>
    <t xml:space="preserve">AES has submitted exceptional letter to SEC </t>
  </si>
  <si>
    <t>AES to get the exceptional approval and delivery to be expedited  before 30-Apr-25</t>
  </si>
  <si>
    <t xml:space="preserve">Design approved </t>
  </si>
  <si>
    <t>Need exceptional approval of Faradol 810 used for capacitor bank</t>
  </si>
  <si>
    <t>Letter sent to SEC by PM
GAFM already given to supplier (Material under Manufacturing)</t>
  </si>
  <si>
    <t>Project team to have close follow-up with SEC to close the matter</t>
  </si>
  <si>
    <t>FAT scheduled on first week of August</t>
  </si>
  <si>
    <t>Need exceptional approval for battery type HOPPECKE</t>
  </si>
  <si>
    <t>Letter sent to SEC on 23.01.2025 by PM
GAFM already given to supplier (Material under Manufacturing)</t>
  </si>
  <si>
    <t>FAT completed</t>
  </si>
  <si>
    <t>PE-281</t>
  </si>
  <si>
    <t>110KV SS - KAEC-3</t>
  </si>
  <si>
    <t>Letter sent to SEC &amp; under approval</t>
  </si>
  <si>
    <t>Letter sent to SEC &amp; under approval for battery type</t>
  </si>
  <si>
    <t xml:space="preserve">PE-330 </t>
  </si>
  <si>
    <t>Construction of OTOUD SS and interconnections</t>
  </si>
  <si>
    <t>Ahmed Hussein</t>
  </si>
  <si>
    <t>Southern</t>
  </si>
  <si>
    <t>*Delay of issuing Municipalty permit for Substation due to missing title deed</t>
  </si>
  <si>
    <t>Issue is discussed with SEC by Portfolio Manager and PM and Letter is submitted to SEC</t>
  </si>
  <si>
    <t>SEC to follow Up to get the title deed of the Land</t>
  </si>
  <si>
    <t>Project Team</t>
  </si>
  <si>
    <t>GIS  Manufacturing Duration is very high relative to the 18 Months TCC which is expected to impact the TCC by 6 months delay</t>
  </si>
  <si>
    <t>communicated with the supplier and the manufacturing duration is reduced to 11.5 months (Expected delivery date as stated by Hitachi is 6-Aug-2026 instead of 15-Sep-2026)</t>
  </si>
  <si>
    <t>Try to make the delivery date earlier to have enough time for Installation &amp; T&amp;C</t>
  </si>
  <si>
    <t>Transformers Manufacturing Duration is very high relative to the 18 Months TCC which is expected to impact the TCC by 7 months delay</t>
  </si>
  <si>
    <t>Requested to swap to VoltAMP or LEEEC but rejected multiple times by local content department in SEC
the GAFM letter is issued to SPTC  in less than one month to expedite the delivery of TRFs</t>
  </si>
  <si>
    <t>Minimize the duration of manufacuring to 11 months or less</t>
  </si>
  <si>
    <t>7 months impact</t>
  </si>
  <si>
    <t>Design inputs</t>
  </si>
  <si>
    <t>Identification of Circuit Number to make Loop in/Loop Out (UGC Connection to Abha east-Khamis south-1 Line)</t>
  </si>
  <si>
    <t xml:space="preserve">Requested from SEC the Identification </t>
  </si>
  <si>
    <t>Issue Letter to SEC and follow up to expedite</t>
  </si>
  <si>
    <t>PO Issuance Delay</t>
  </si>
  <si>
    <t>Delay of Isssuance of AC/DC System PO</t>
  </si>
  <si>
    <t>Design in progress</t>
  </si>
  <si>
    <t>Expedite all the related calculations (HVAC, C.B Sizing,etc..) to issue GAFM for the AC/DC System</t>
  </si>
  <si>
    <t>PE</t>
  </si>
  <si>
    <t>Critical activity (if delivery delayed wrt target date, it will impact the schedule)</t>
  </si>
  <si>
    <t>Delay of Isssuance Precast and accordingly delay of design of precast which delays the Civil Design</t>
  </si>
  <si>
    <t>Collecting offers</t>
  </si>
  <si>
    <t>Expedite PO Issuance to finalize precast design then Civil Design</t>
  </si>
  <si>
    <t>Civil PE</t>
  </si>
  <si>
    <t>Delay in Civil works(if Municipality permit issued)</t>
  </si>
  <si>
    <t>Delay of Issuance of Insurance Bond which delays collection of Advance payment</t>
  </si>
  <si>
    <t>Expedite issuance of insurance Bond to collect the advance payment</t>
  </si>
  <si>
    <t>Relocation of the store is required to completed excavation for the SS Building</t>
  </si>
  <si>
    <t xml:space="preserve"> PM find new store and Relocation of Mobilization location ongoing </t>
  </si>
  <si>
    <t>Expedite store relocation and civil works to ensure building readiness</t>
  </si>
  <si>
    <t xml:space="preserve">PM </t>
  </si>
  <si>
    <t>Delay in Civil works</t>
  </si>
  <si>
    <t>Single UGC Permits rejection by Municipality</t>
  </si>
  <si>
    <t>PM sent letters to stakeholders to resolve the issue and is closely following up on permits with the municipality
EOT submitted to SE on 17-Aug-2026, requesting a 12-month extension, Currently under SE review.</t>
  </si>
  <si>
    <t xml:space="preserve">Urgent Support Required from SE to Facilitate Municipality Permit Issuance
</t>
  </si>
  <si>
    <t>1-Impacting start of Underground cable scope.
2- impact energization and potentially result in TCC delay.</t>
  </si>
  <si>
    <t>HDD Alignment Impacted by existing deep water-pipeline</t>
  </si>
  <si>
    <t>PM sent letters to stakeholders to resolve the issue</t>
  </si>
  <si>
    <t>Freeze design and finalize routes to avoid further delays and rework (HDD / UGC)</t>
  </si>
  <si>
    <t>design team/PM</t>
  </si>
  <si>
    <t>1-Delay in single circuit UGC works.
2- Risk of potential design changes and associated technical calculations due to</t>
  </si>
  <si>
    <t>Civil Readiness delay</t>
  </si>
  <si>
    <t>1-Expedite the Site Activities by flow internal Construction Plan , 2-High coordination with All  supply to deliver the Equipment in proper time</t>
  </si>
  <si>
    <t xml:space="preserve">Expedite the Precast Activities and closed the Change order matters ASAP </t>
  </si>
  <si>
    <t>Construction team/PM</t>
  </si>
  <si>
    <t>1-Delay in in installation scope 2-1-Equipments will arrive before building readiness, thus will increase storage-related risks and additional storage/handling costs</t>
  </si>
  <si>
    <t>Equipment/ Engineering</t>
  </si>
  <si>
    <t>The issuance of GAFM for the Double-Circuit HV Cable has been delayed due to design finalization delay.</t>
  </si>
  <si>
    <t>1-A joint site visit was conducted to locate the existing link boxes.
2-Induced Voltage and Circulating Current Calculations were submitted.
3-M55The resubmission approach was agreed upon.</t>
  </si>
  <si>
    <t xml:space="preserve">1- Expedite the Submittal cycle Approval to avoid any additional delays
2- High coordination with the AES to reduce manufacturing Duration 
</t>
  </si>
  <si>
    <t>20/8/2026</t>
  </si>
  <si>
    <t>The delay in issuing the GAFM for the Double-Circuit HV Cable impacting the UGC scope , SS energization, and completion dates</t>
  </si>
  <si>
    <t>Delivery terms as per PO are 4 months from GAFM issuance, the forecast Completion for Double Circuit is 14-Feb-2027</t>
  </si>
  <si>
    <t xml:space="preserve">Protection Panels Detail Design are not Approved​ yet Subject to IRF  ZIV Relays are received rejection from PED
</t>
  </si>
  <si>
    <t>Close coordination was conducted with AES to resolve the issue  or arrange a replacement for IRF ZIV, followed by resubmission at the earliest.</t>
  </si>
  <si>
    <t xml:space="preserve">1- Expedite the Submittal cycle Approval to avoid any additional delays
2- High coordination with the AES to To determine the FAT date
</t>
  </si>
  <si>
    <t>The delay in approving the Protection Panels Detailed Design has impacted both the SWGR and SAS systems, consequently affecting the contractual TCC date.</t>
  </si>
  <si>
    <t>The resubmission is currently in progress, while the 132kV Transformer Protection Panel Detailed Design has already been approved. on 22-Jul-2026</t>
  </si>
  <si>
    <t xml:space="preserve">MV SWGR Detail Design are not Approved​ yet Subject to Protection Panels Detail Design and IRF  ZIV Relays are received rejection from PED, while the FAT date has not yet been confirmed
 </t>
  </si>
  <si>
    <t>Close coordination is ongoing with AES to resolve and close the Protection Panel issue.</t>
  </si>
  <si>
    <t>The delay in approving the Protection Panels Detailed Design has impacted the SWGR FAT schedule and is expected to delay the SWGR delivery by approximately two months</t>
  </si>
  <si>
    <t>equipment/ Engineering</t>
  </si>
  <si>
    <t>Delay in issuing the GAFM for the SAS system due to the Protection Panels Detailed Design not yet being approved.</t>
  </si>
  <si>
    <t>Close coordination is ongoing with AES to resolve the Protection Panel issue</t>
  </si>
  <si>
    <t>1-Expedite the submittal approval cycle to avoid any further delays.
2-Request AES to reduce the manufacturing duration.</t>
  </si>
  <si>
    <t xml:space="preserve">directe impacting the Contractual TCC date around 6 months </t>
  </si>
  <si>
    <t>Delay in issuing the GAFM for the Batteries and Battery Chargers due to the pending Base Design approval and PO cancellation with AES, due to they request a Variation Order.</t>
  </si>
  <si>
    <t>new PO was issued on 12 July 2026, and the Base Design is currently under review for approval.</t>
  </si>
  <si>
    <t>1-Expedite the submittal approval cycle to avoid any further delays.</t>
  </si>
  <si>
    <t>GAFM for Battery done today 12/8/2026</t>
  </si>
  <si>
    <t>PE-331</t>
  </si>
  <si>
    <t>110kV Taif OHTL</t>
  </si>
  <si>
    <t>Engr Sudhakar</t>
  </si>
  <si>
    <t xml:space="preserve">Delay in Hardware PO issuance due to Revising the technical submittal of Insulator and Line H/W
</t>
  </si>
  <si>
    <t>Hence insulator  Supplier  has been swapped ZAPEL to LAPP. Accordingly revised Technical submittal submitted to SEC for approval</t>
  </si>
  <si>
    <t>Awaiting the Final Offer from Vendor, to finalise the PO.</t>
  </si>
  <si>
    <t>SCD</t>
  </si>
  <si>
    <t>Hydrology Study and report submission</t>
  </si>
  <si>
    <t>SEC asked to submit the change order and parallely to conduct hydrology study for OHTL.</t>
  </si>
  <si>
    <t xml:space="preserve"> Offers  collected from third party for carry the study.PO issued on 6th May25.work to start ASAP.VO to be submitted.</t>
  </si>
  <si>
    <t>Tender team</t>
  </si>
  <si>
    <t>Moneer Al Boqami</t>
  </si>
  <si>
    <t>Concrete supplier price escalllation</t>
  </si>
  <si>
    <t>RFQ rasied to alternative suppliers</t>
  </si>
  <si>
    <t>SCD to secure alternative supplier for concrete ASAP</t>
  </si>
  <si>
    <t>LAPP</t>
  </si>
  <si>
    <t xml:space="preserve">Extending the delays in  delivery  against the PO agreed delivery dates
</t>
  </si>
  <si>
    <t>GFAM issued on 26 April 2025, followed by remainder mails sent to supplier for knowing the date of factory test.</t>
  </si>
  <si>
    <t xml:space="preserve">Supply chain to interfere to push the vendor to take agreed delivered dates mentioned PO. </t>
  </si>
  <si>
    <t>Tender</t>
  </si>
  <si>
    <t xml:space="preserve">Require Budgeted supplement for Unit price of Structural pads in hilly area locations.
</t>
  </si>
  <si>
    <t>Visited the Site progress, observed the condition at site</t>
  </si>
  <si>
    <t>Need to be revised budgeted unit prices as per the site special condition</t>
  </si>
  <si>
    <t>Management</t>
  </si>
  <si>
    <t>Deployed sub contractors as per the tender rates.</t>
  </si>
  <si>
    <t xml:space="preserve">Under Crossing Gantry and transposition towers PO finalization </t>
  </si>
  <si>
    <t>Official email was sent to place the order with approved supplier.</t>
  </si>
  <si>
    <t>SCD has to finalise the order with already supplier in PE-329 to avoid the further delay.</t>
  </si>
  <si>
    <t>Dalkevod</t>
  </si>
  <si>
    <t>Forecasted delay in the delivery of Line Hardware materials at Site.</t>
  </si>
  <si>
    <t>Following up with SCD to Coordinate to Supplier  for early delivery of material</t>
  </si>
  <si>
    <t>SCD should negotiate with Supplier for earlier material delivery as per PO Conditions.</t>
  </si>
  <si>
    <t xml:space="preserve">GAFM Issued on 15-April -2025. As per PO Delivery will be 28-30 Weeks from GAFM. 
(As per the Baseline MF Finish Sept 2025)
</t>
  </si>
  <si>
    <t>Foundation subcontractors PO Issuance delay</t>
  </si>
  <si>
    <t>Following up with SCD for PO issuance</t>
  </si>
  <si>
    <t>SCD should expedite the PO issuance to avoid the mobilisation delay of the sub contractor.</t>
  </si>
  <si>
    <t>PR Created on May 08 2025</t>
  </si>
  <si>
    <t>Delay in Tower foundation work PO</t>
  </si>
  <si>
    <t>Following up with mail by mentioning the impact in the construction delay.</t>
  </si>
  <si>
    <t>SCD to expedite the finalisation of PO, as Foundation design status are under approval with SEC.</t>
  </si>
  <si>
    <t>Delay in the approval of foundation design submission &amp; approval</t>
  </si>
  <si>
    <t>Borehole layout submission complaince and Soil investigation report submissions  are done.</t>
  </si>
  <si>
    <t>Project team need to expedite with client for approval, is there any complaince with DAR to be done on priority to avoid the delay in the construction works.</t>
  </si>
  <si>
    <t xml:space="preserve">110kV Taif OHTL </t>
  </si>
  <si>
    <t>Structure Pad Works Delay due to change in Plan and Profile Portion</t>
  </si>
  <si>
    <t>Remainder Mails were sent to DAR for Compliance and Timely approval from Client.</t>
  </si>
  <si>
    <t>Plan and Profile Portion received  and submitted , Structure Pads Works resumed.</t>
  </si>
  <si>
    <t>110kVTaif OHTL</t>
  </si>
  <si>
    <t>Forecasted Delay in insulators delivery</t>
  </si>
  <si>
    <t>Approved  PLR Insulator supplier Proposed us the long delivery time due to production issues.
Alternative supplier proposed to SEC and already approved and PO issued</t>
  </si>
  <si>
    <t>PO for alternative supplier already obtained,MFC for LOT-1 is released</t>
  </si>
  <si>
    <t>Delay in resubmission in Plan and profile affecting civil submission ( Bohre Hole Layout &amp; Access Road)</t>
  </si>
  <si>
    <t>Project team highlighted  delays and urgencies via a lot reminders  to DAR Team .</t>
  </si>
  <si>
    <t>Design team to immediate finalization of P&amp; P revisions and approval which highly impacted the construction activities and project completion. Milestones.</t>
  </si>
  <si>
    <t>PE-331 110kV OHTL Design Submittal Delay List 20-04-2025..xlsx</t>
  </si>
  <si>
    <t>PE-307</t>
  </si>
  <si>
    <t>132/13.8KV Sub Industrial City Tabuk</t>
  </si>
  <si>
    <t xml:space="preserve">AES pending Deliverable </t>
  </si>
  <si>
    <t>Continuous follow up, meetings and letters shared to AES to expedite the deliverys</t>
  </si>
  <si>
    <r>
      <rPr>
        <sz val="11"/>
        <color rgb="FF000000"/>
        <rFont val="Aptos Narrow"/>
        <family val="2"/>
        <scheme val="minor"/>
      </rPr>
      <t xml:space="preserve">PM need to have close followup with AES to delivery the pending deliverables. </t>
    </r>
    <r>
      <rPr>
        <b/>
        <sz val="11"/>
        <color rgb="FF000000"/>
        <rFont val="Aptos Narrow"/>
        <family val="2"/>
        <scheme val="minor"/>
      </rPr>
      <t>Current status : delivered and closed</t>
    </r>
  </si>
  <si>
    <t xml:space="preserve"> FAT for Cyber Security</t>
  </si>
  <si>
    <t>FAT dates confirmed by AES after follow-up and FAT Completed on 25-Mar-25</t>
  </si>
  <si>
    <t>FAT Completed, report approved. Release of shipment issued from AES.</t>
  </si>
  <si>
    <t>Power Transformer delivery as per baseline is 05-Feb-26, which is critical activity. Need to ensure delivery on time.</t>
  </si>
  <si>
    <t>Highlighted to MODON, as they went to SPTC office to followup earlier delivery plan from SPTC.</t>
  </si>
  <si>
    <r>
      <rPr>
        <sz val="11"/>
        <color rgb="FF000000"/>
        <rFont val="Aptos Narrow"/>
        <family val="2"/>
        <scheme val="minor"/>
      </rPr>
      <t xml:space="preserve">FAT ongoing (04-14th Jan-26); Expected delivery 1st week of Jan'26. </t>
    </r>
    <r>
      <rPr>
        <b/>
        <sz val="11"/>
        <color rgb="FF000000"/>
        <rFont val="Aptos Narrow"/>
        <family val="2"/>
        <scheme val="minor"/>
      </rPr>
      <t>Current status : delivered and closed</t>
    </r>
  </si>
  <si>
    <t>Vendor/MODON</t>
  </si>
  <si>
    <t>Critical activity (if delivery delayed wrt target date, it will impact both schedule &amp; cost)</t>
  </si>
  <si>
    <t>P.O issued on 20th May 24, Delivery period 22 Months from 13-May-24. as per P.O delivery by 4th Mar 26, requested delivery by 30-Nov-25 for the delivery</t>
  </si>
  <si>
    <t>Ramz Alataa</t>
  </si>
  <si>
    <t>HVAC Materials - Delivery of PACU Units, HVAC Fans, DDC Control Panels</t>
  </si>
  <si>
    <t>All DTS revised submittal closed and approved; Delivery plan to be expedited from Supplier</t>
  </si>
  <si>
    <r>
      <rPr>
        <sz val="11"/>
        <color rgb="FF000000"/>
        <rFont val="Aptos Narrow"/>
        <family val="2"/>
        <scheme val="minor"/>
      </rPr>
      <t xml:space="preserve">1) PACU Units - FAT planned on 14-Jan-26
2) HVAC Fans Delivery expected 25-Jan-26;
3) HVAC DDC Control Panels dispatched, this week 15-Jan-2026
 </t>
    </r>
    <r>
      <rPr>
        <b/>
        <sz val="11"/>
        <color rgb="FF000000"/>
        <rFont val="Aptos Narrow"/>
        <family val="2"/>
        <scheme val="minor"/>
      </rPr>
      <t>Current status : delivered and closed</t>
    </r>
  </si>
  <si>
    <t>Schedule impact</t>
  </si>
  <si>
    <t xml:space="preserve">PO issued on 24-Nov-24,  PACU units, Fans, DDC Panels 12-16 weeks from GAFM; </t>
  </si>
  <si>
    <t>13.8KV 7MVAR CAPACITOR BANK Delivery FAT date confirmation required from Supplier</t>
  </si>
  <si>
    <t>LOT 1 (mechanical parts) FAT Completed; 
LOT 2 (Main materials) yet to deliver at Dammam (FAT completed on 17-Aug-25)</t>
  </si>
  <si>
    <t>"P.O issued on (05th Jun 24). (GAFM on 28-oct-24 ) Delivery 45 Weeks from GAFM date, as per P.O delivery by 8th Sep 25. Delivery to be expedited by Jul-25.</t>
  </si>
  <si>
    <t>SEC/MODON</t>
  </si>
  <si>
    <t>Civil Structural drawing submitted &amp; awaiting for approval</t>
  </si>
  <si>
    <t>Continuous follow up with Precast vendor (PRIANSA) and closed the comments, obtained Approved from SEC.</t>
  </si>
  <si>
    <t>Civil Structural drwg submitted on 30-Oct-24 &amp; approval awaiting from SEC. Since SEC is inter linking with Approval of super structure Precast drawings (M/s Prainsa) which (Rev. R2 submitted to SEC on 26-Feb-25) &amp; Approved on 16-Mar-25. - Structural drwg approved on 01-Jun-25</t>
  </si>
  <si>
    <t>PE-340</t>
  </si>
  <si>
    <t>132kV OHTL JIZAN</t>
  </si>
  <si>
    <t>Amir Abo Mansour</t>
  </si>
  <si>
    <t>GE</t>
  </si>
  <si>
    <t xml:space="preserve">Long lead duration for GIS delivery of 20 month exceeding project duration of 18 Month 
</t>
  </si>
  <si>
    <t xml:space="preserve">SWAP letter to alternate supplier sent offically to SEC
</t>
  </si>
  <si>
    <t>Approval from SEC recived on 5th May</t>
  </si>
  <si>
    <t>closed</t>
  </si>
  <si>
    <t>delayed agreement by Supply Chain Department with the alternate supplier
the manufacturing &amp; delivey duration is 13.5 months starting from 12-Jun-2025 (expected delivery by 1st of Aug-2026
this will impact negatively on the TCC milestone of the project</t>
  </si>
  <si>
    <t xml:space="preserve">Costing file not shared to release tender budget
</t>
  </si>
  <si>
    <t>Reminder email sent to Tender team. Files recived on 16 April 26</t>
  </si>
  <si>
    <t>Budget released on 5th May</t>
  </si>
  <si>
    <t>Tender/PM</t>
  </si>
  <si>
    <t>Delay Start in Route Survey works</t>
  </si>
  <si>
    <t xml:space="preserve">Survey Works at site to be Start as early as possible, either with in house survey teams or outsourcing whichever is reliable and efficient. </t>
  </si>
  <si>
    <t>PO with S/c to be finalized at the erliest to start survey and to complet with one week</t>
  </si>
  <si>
    <t>As per PTS &amp; KMZ File Provided, there is Mis matching of Co ordinates from PI Start to PI End by SEC</t>
  </si>
  <si>
    <t>Email has been  sent to concern Engr; SEC replied that required coordinates will be shared shortly</t>
  </si>
  <si>
    <t>SEC to resolve the issue on priority to avoid further delays in design submission</t>
  </si>
  <si>
    <t>Delay in Design office finalization</t>
  </si>
  <si>
    <t>Following up with email to the supply chain department to finalise the PO</t>
  </si>
  <si>
    <t>SCD need to Issue the PO on urgent basis.</t>
  </si>
  <si>
    <t>Closed on 27-May-2025
Comments completed on 10-Jul-2025</t>
  </si>
  <si>
    <t>Delay in the issuance of PO for Long lead items or other items</t>
  </si>
  <si>
    <t>Offical Email and New Target dates has been given for Quick finalisation of the POs</t>
  </si>
  <si>
    <t>SCD to expedite the collecting of Offers and negotiation with Vendors as earliest posible to avoid further delay.</t>
  </si>
  <si>
    <t>closed 22-Jul-2025
process took 15 weeks to be completed</t>
  </si>
  <si>
    <t>GIS Supplier Swapping from Hyundai to GE</t>
  </si>
  <si>
    <t>By reconciling the cost of GE, comparing with Hyundai, Project team planning to SWAP Again Hyundai to GE.</t>
  </si>
  <si>
    <t>Even GE Cost is low, But SCD to Negotiate the Delivery terms with Vendor before proceeding.</t>
  </si>
  <si>
    <t>SE</t>
  </si>
  <si>
    <t xml:space="preserve"> Delay in the submission &amp; approval of plan and profile</t>
  </si>
  <si>
    <t>*Portion 1,2&amp;3 are approved 
*Portion 4, New proposal for PIs affected by availability of rock crusher company is submitted to SEC for approval to submit plan &amp; profile accordingly</t>
  </si>
  <si>
    <t>*Follow up with SEC to get approval on new proposal for portion 4</t>
  </si>
  <si>
    <t>SCD/PM</t>
  </si>
  <si>
    <t>7 Months</t>
  </si>
  <si>
    <t xml:space="preserve">SE </t>
  </si>
  <si>
    <t xml:space="preserve">Delay in submission &amp; approval of foundation design which is affecting the start of foundation works
 </t>
  </si>
  <si>
    <t>Only 15 locations approved out of 99 submitted</t>
  </si>
  <si>
    <t>Follow up with SE to obtain approval on submitted portion to start work on site</t>
  </si>
  <si>
    <t>SC/PM</t>
  </si>
  <si>
    <t>4 Months</t>
  </si>
  <si>
    <t>PE-327</t>
  </si>
  <si>
    <t xml:space="preserve">132kVNajran OHTL </t>
  </si>
  <si>
    <t>Engr Ayman Al Attar</t>
  </si>
  <si>
    <t>Permits</t>
  </si>
  <si>
    <t>ROW ISSUES ( 9 Private Lands) affecting 9-10 Towers</t>
  </si>
  <si>
    <t>Emails and offical Letter and  sent to SEC to clear the area and proceed with soil investigation</t>
  </si>
  <si>
    <t>Follow up with Client to clear the ROW Obstacles</t>
  </si>
  <si>
    <t>Delay in PO issuance for some main items (Piling, Foundation Works,  Access Roads,Surege arrestor)</t>
  </si>
  <si>
    <t>Reminder Mails have been sent to SCD</t>
  </si>
  <si>
    <t>PO's has been Issued as per the Request</t>
  </si>
  <si>
    <t>Engr Ayamn Al Attar</t>
  </si>
  <si>
    <t>Delay in the process of Engineering for the submission and the comment rectifications</t>
  </si>
  <si>
    <t>2 warning letters have been submitted to DAR for these issue as it's the main bottleneck of the Project
A recovery action plan for Submission of Design Submittals is given by Design Engineering team on 15-April-2025.</t>
  </si>
  <si>
    <t xml:space="preserve">
Project team has to Co ordinate with DAR to Ensure the Commitments dates followed. </t>
  </si>
  <si>
    <t>https://alfanargroup-my.sharepoint.com/:x:/g/personal/mohamed_sanan_alfanar_com/Ec86f57lNyRKvQRWJWbuVfEBlKYrNtnqm64PQlUVHRHKqg?e=TjfBCu</t>
  </si>
  <si>
    <t>Approval of proposal Cable entry to BSP  &amp; GIS basement</t>
  </si>
  <si>
    <t xml:space="preserve"> Three proposals are already sent to M/s SEC for 132KV UG Cable Routing Entry insideNajran BSP, till date we are awaiting SEC approval.</t>
  </si>
  <si>
    <t>Following up with Client, as this approval is required for proceeding the Work of under cable scope.</t>
  </si>
  <si>
    <t>Approval from SEC to Swap Gantry Supplier (MS Energiya) from Alternative to Main Supplier</t>
  </si>
  <si>
    <t>Official letter was sent to SEC for Swapping the alternative Contractor(M/s Energiya) to maine contractor (M/s Babatain Steel) as exisiting main contractor is decling to provide the offer due to small Quantity</t>
  </si>
  <si>
    <t>Approval received by SEC on 17-April-2025 with reference to approval mail Manufacturing release for  LOT-1  released.</t>
  </si>
  <si>
    <t xml:space="preserve">Delay in the re submission of key plan of 132kv UG Cable </t>
  </si>
  <si>
    <t>Remainder mails was sent to DAR , later we recieved the date of action plan for Submission. After 15 days from Rev 01 DAR wen sec replied on 10-April-25 again resubmitted REV 02 on 27-April-2025.</t>
  </si>
  <si>
    <t>Required  Approvals are impacting the Manufacturing release of the Major UG Materals,  Following up with SEC to Expedite the Further actions</t>
  </si>
  <si>
    <t xml:space="preserve">Delay in the start of Soil investigation work by M/s GSL </t>
  </si>
  <si>
    <t>As the Call for Start of the Work done on  06-March-2025, Even with Contionus Follow up vendor is delaying the start , Remainder mails were sent to Concern party.</t>
  </si>
  <si>
    <t>Supply chain department should intervene in this matter, proper action plan to be obtained to recover the delay in the performance.</t>
  </si>
  <si>
    <t>Official mail sent to SCD for PO Cancellation</t>
  </si>
  <si>
    <t>Saden</t>
  </si>
  <si>
    <t>Slow rate of Soil Investigation works by M/s saden 2 Tower per day with only two rig machine, in view this rate, Soil investigation go for 8.5 Months for Completion.</t>
  </si>
  <si>
    <t>In view with Productivity of the soil investigation Works, Site Management is asked to mobilise the borehole machine by M/s Saden to catch up the progress.</t>
  </si>
  <si>
    <t>A meeting with Sub con and  project team is required for resolving the equipment mobilisation plan by assuring work front.</t>
  </si>
  <si>
    <t>Slow rate of Structure pad works and access road works due sand dunes.</t>
  </si>
  <si>
    <t>Sub Contractor evaluation meeting was Conducted at site along with Project Manager and Site Management. Total no Sub contractor was 03 , recently added 1 that is sum upto 04 Nos contractors at site.</t>
  </si>
  <si>
    <t>As the Site is accompained Majorly by High Dunes, its is required to Improve the no of Sub contractors other wise the Mobilisation of equipments from the existing sub contractors to acheive the progress as planned.</t>
  </si>
  <si>
    <t>Pfisterer Switzerland AG</t>
  </si>
  <si>
    <t>Long Duration of the Delivery  for Line Hardware materials</t>
  </si>
  <si>
    <t>Communication with vendor has been done for reducing the delivery date of the hardware materials by mentioning our TCC date Mar 2026.</t>
  </si>
  <si>
    <t>A Meeting with Supplier along with SCD to be conducted to reduce the delivery dates of the materials</t>
  </si>
  <si>
    <t>PM/SCD</t>
  </si>
  <si>
    <t>1 Month</t>
  </si>
  <si>
    <t>Delay in the Tower foundation work PO issuance</t>
  </si>
  <si>
    <t>Delay in the complaince of foundation design resubmission</t>
  </si>
  <si>
    <t>Following with client &amp; design engineering team for approval and submission as per the action commitment date.</t>
  </si>
  <si>
    <t>Delay in the PO of OHTL Stringing Works</t>
  </si>
  <si>
    <t>SCD to expedite the finalisation of PO, as time prolongs may impact the vendor rate of work</t>
  </si>
  <si>
    <t>Delay in the PO of Concrete ready mix</t>
  </si>
  <si>
    <t>As Foundation works planned to start in the coming week, SCD should expedite the finalisation of PO which was agreed by PM on urgent basis to avoid unforeseen delays in the construction</t>
  </si>
  <si>
    <t xml:space="preserve">Delay in the delivery of 132KV Lattice Steel towers </t>
  </si>
  <si>
    <t>Delay notice has been submitted to SEC From Project team and higher management  level to SEC management representatives.</t>
  </si>
  <si>
    <t>85% of Material has been received, Still 15% Materials needs to expedite for completion to avoid the halt in the work front for sub contractor.</t>
  </si>
  <si>
    <t>5 Months schedule impacted</t>
  </si>
  <si>
    <t>LOT-05 Tower Materials and , lot-3 &amp; Lot-4 Missing materials is pending for delivery for major works</t>
  </si>
  <si>
    <t>By Saudi Energy.</t>
  </si>
  <si>
    <t>Delay in the Angle tower Essential bolts and other accessories</t>
  </si>
  <si>
    <t>Notification  has been sent to SEC / Energya supplier, as this missing accessories impacted the planned  stringing works.</t>
  </si>
  <si>
    <t>Efforts are ongoing to get the material purchase from other sites as there is no availability of materials in the local market</t>
  </si>
  <si>
    <t>2 Months schedule impacted</t>
  </si>
  <si>
    <t>Client/EOT/VO</t>
  </si>
  <si>
    <t>Revised Change order submission and approvals impacting the PO issuance of Transposition and UC Gantry tower.</t>
  </si>
  <si>
    <t>R0 Change order has been submitted to SEC , Received with comments, new revised change order has been under complaince with tender team</t>
  </si>
  <si>
    <t>Complaince of revised change order, will be prepared and submitted by this week, follow up is required for approval to proceed with PO issuance.</t>
  </si>
  <si>
    <t>SEC/ALFANAR</t>
  </si>
  <si>
    <t>CLosed</t>
  </si>
  <si>
    <t>Delay in the finalisation of PO for Transposition tower</t>
  </si>
  <si>
    <t>DPO has been finalised and sent to SCD on 02-May-2026, follow up remainder has been sent.</t>
  </si>
  <si>
    <t>PO has been issued to Energya.</t>
  </si>
  <si>
    <t>Towers being new scope , change order along with time extention has been submitted, technical approval for towers has been received.</t>
  </si>
  <si>
    <t>PO Finalised without type testing.</t>
  </si>
  <si>
    <t>Delay in the finalisation of PO for  Under crossing Gantry.</t>
  </si>
  <si>
    <t>SCD to finalised the PO with Energya, as delay catastrophically , material delivery.</t>
  </si>
  <si>
    <t>PO issued FAT on 21 Aug 2026.</t>
  </si>
  <si>
    <t>Delay in the finalisation of PO for  OHTL Stringing works</t>
  </si>
  <si>
    <t>DPO has been finalised and sent to SCD on 03-May-2026, follow up remainder has been sent.</t>
  </si>
  <si>
    <t>Stringing Works PO is required urgently to expedite the stringing works at site, SCD to finalise the PO given to eastern horizon company.</t>
  </si>
  <si>
    <t>Stringing rate as per plan is 30km/ month will impact</t>
  </si>
  <si>
    <t>PR Issued on 05-April-2025, DPO finalised on 03-05-2026.</t>
  </si>
  <si>
    <t>AMD/EDD</t>
  </si>
  <si>
    <t>Commencement of UG Cable Works inside sub station</t>
  </si>
  <si>
    <t>Technical Change order has been received from Client, Draft proposals of UG Cable route done, Where AMD department asking for concrete duct bank, EDD Asking Cable trench, discussion still pending.</t>
  </si>
  <si>
    <t>Permit approvals needs to be follo up for starting the work</t>
  </si>
  <si>
    <t>SE/PM</t>
  </si>
  <si>
    <t>UG Cable works is already due.</t>
  </si>
  <si>
    <t>Awaiting approval of permits of machineries and equipment for inside substation work from SE.</t>
  </si>
  <si>
    <t>132kv Najran OHTL</t>
  </si>
  <si>
    <t>Project team</t>
  </si>
  <si>
    <t>Slow progress in the Tower tightening and tower erection works</t>
  </si>
  <si>
    <t>Two sub contractors are mobilised for installation works.</t>
  </si>
  <si>
    <t>Productivity to be maintained 4 towers per day for installation and 3 towers per day for tower tightening works.</t>
  </si>
  <si>
    <t>Begining of the Month there were three sub contractors working, one S/C emaar demobilised which impacts the productivity.</t>
  </si>
  <si>
    <t>PE-118</t>
  </si>
  <si>
    <t>380 KV U/G Cable Makkah Central BSP</t>
  </si>
  <si>
    <t>Bandar Khalid Al Qalah</t>
  </si>
  <si>
    <t>No permit for work in Ramadan &amp; Hajj period</t>
  </si>
  <si>
    <t>There will be no permit to work during Hajj Period. SEC has been informed for the delay in work due to non-issuance of permit</t>
  </si>
  <si>
    <t>Alfanar need to start the work with full force after issuance of permit to avoid delay.</t>
  </si>
  <si>
    <t>Section#23 Joint Bay work for Circuit #02 on Hold</t>
  </si>
  <si>
    <t>Due to Existing Strom Drain Pipeline, work is on hold. LAlready paid SR 300,000 to National water company to remove the pipe. Received the permit to start the work. As confirmed by National water Company by next week they will start the relocation work and in parallel CEPCO will start preparing for installation for Joint Bay work.
PO already issued to CEPCO.</t>
  </si>
  <si>
    <t>Project team need to follow up for the same to expedite the work.</t>
  </si>
  <si>
    <t>HAWA</t>
  </si>
  <si>
    <t>Due to change in Tunnel Design, Manufacturing of Lighting Panels (2 nos.) is on Hold.</t>
  </si>
  <si>
    <t>GAFM issued on 21-Jun-25 and expected delivery within 6 to 8 weeks as per PO.</t>
  </si>
  <si>
    <t>Project team need to push the vendor for on time delivery of material</t>
  </si>
  <si>
    <t>Termination work at Remote Ends by other contractor</t>
  </si>
  <si>
    <t>As confirmed by SEC, CEPCO team will be mobilized from next week to start the termination work at remote ends.</t>
  </si>
  <si>
    <t>SEC need to engage the CEPCO team to start the termination work at remote ends</t>
  </si>
  <si>
    <t>Funding</t>
  </si>
  <si>
    <t>TAX Invoice no# 23 on Hold</t>
  </si>
  <si>
    <t>TAX Invoice submitted to SEC after the approval but now they want to deduct advance payment from the invoice. 
Already issue highlighted to SEC project Manager, but no response.</t>
  </si>
  <si>
    <t>SEC need to support Alfanar for considering the Submitted TAX invoive and releasing the Payment.
The advance value can be deducted in next Invoice submission.</t>
  </si>
  <si>
    <t>PE-294</t>
  </si>
  <si>
    <t>Airport C (KAIA) Interconnection Reinforcement in Jeddah-WOA</t>
  </si>
  <si>
    <t>Abdelazeem Morsy</t>
  </si>
  <si>
    <t>SEC/JEDCO</t>
  </si>
  <si>
    <t>Permit for Crane to Install GIS at site and also to install Site Office Porta Cabin</t>
  </si>
  <si>
    <t>Letter written to SEC</t>
  </si>
  <si>
    <t>Permit to be issued from JEDCO/SEC to start site mobilization and install GIS</t>
  </si>
  <si>
    <t>Delay in Civil/Installation works</t>
  </si>
  <si>
    <t>T&amp;C cannot be started due to existing HV Cable Issue from SE. 
TCC Letter submitted on 30-Mar-26 to SE for approval. Still Pending with SE.</t>
  </si>
  <si>
    <t xml:space="preserve">TCC Requested Letter Written to SE as Remaining work cannot be proceed due to HV cable issue from SE. </t>
  </si>
  <si>
    <t>Follow-up required with SE for TCC Approval to start demobilization</t>
  </si>
  <si>
    <t>PE-237</t>
  </si>
  <si>
    <t>Al-Baha SS</t>
  </si>
  <si>
    <t>Hany Kamal</t>
  </si>
  <si>
    <t>Shutdown</t>
  </si>
  <si>
    <t>Shutdown required to start remote end activity</t>
  </si>
  <si>
    <t xml:space="preserve">This Issue is shared with SEC on weekly basis through emails &amp; meetings to confirm the required dates. </t>
  </si>
  <si>
    <t>SEC to confirm final date of Shutdown, expected shutdown date is: 26-Oct-2025</t>
  </si>
  <si>
    <t>PE-343</t>
  </si>
  <si>
    <t>Al-Baha SS (Amendment Works)</t>
  </si>
  <si>
    <t>SEC didn’t update the project’s contract duration as per Alfanar’s offer</t>
  </si>
  <si>
    <t>Regular communications with SEC to check the status of the letter of extension of time. Latest feedback from SEC that the EOT letter is being prepared and reviwed by SEC contract department and shall be sent by 20-Sep-2025</t>
  </si>
  <si>
    <t>New extension of time will be submitted to SEC accordingly.</t>
  </si>
  <si>
    <t>Low productivity for the remaining Cutting scope</t>
  </si>
  <si>
    <t>Recommended to increase the resources (excavation equipment, dumb trucks, and related manpower) to achieve the TCC Date (17-Feb-2026)</t>
  </si>
  <si>
    <t>Some Land hand over required which impact a Delay to finalize civil work</t>
  </si>
  <si>
    <t>This Issue is shared with SEC on weekly basis through emails &amp; meetings to finalize this issue</t>
  </si>
  <si>
    <t>SEC PDC have to finalize this issue by 20-Sep-2025</t>
  </si>
  <si>
    <t>Delay of delivery of Security System (Expected deliverey end of Feb-2026)</t>
  </si>
  <si>
    <t>Enhance the delivery date to meet the contractual TCC</t>
  </si>
  <si>
    <t>Mech. Engineer</t>
  </si>
  <si>
    <t>Subcontractor</t>
  </si>
  <si>
    <t>Delay in blasting works</t>
  </si>
  <si>
    <t>Communication has been made with the police regarding the Police Permit. They advised that it will proceed after the Eid vacation</t>
  </si>
  <si>
    <t>Pending on Subcontractor mobilization</t>
  </si>
  <si>
    <t>Delay in resolving existing utilities issue ( by SEC)</t>
  </si>
  <si>
    <t>A decision has been made to modify the design in order to continue the remaining work after Eid and avoid any delays.</t>
  </si>
  <si>
    <t xml:space="preserve">Pending on Police Permit </t>
  </si>
  <si>
    <t>PE-267</t>
  </si>
  <si>
    <t>CONST KAR 380 110KV BSP</t>
  </si>
  <si>
    <t xml:space="preserve">67MVA GT power Transformer, Delay in manufacturing. GAFM issued on 07-Dec-23. FAT done on 17th Mar 25, Delivery delayed. </t>
  </si>
  <si>
    <t>FAT done on  6 to 17-Mar-25. FAT comments closed on 24th Apr 25 and RFS issued on 28th Apr 25.  Vendor got issue with the transportation of material &amp; material deliverey delayed. Expected on 22-Jun-25</t>
  </si>
  <si>
    <t>Material tracking for ontime delivery at site is required</t>
  </si>
  <si>
    <t>P.O issued on 2nd Oct 23, GAFM issued on 7th Dec 23, Delivery period 14.5 Months from GAFM. as per P.O delivery by 14th Feb 25, still not delivered</t>
  </si>
  <si>
    <t>Hyundai</t>
  </si>
  <si>
    <t>Delivery of GIS for Remote End (Delay in manufactruing due to remote end design finalization). GAFM issued on 26-Dec-23.</t>
  </si>
  <si>
    <t>FAT done on 7 to 12-May-25 &amp; report approved on 18-May-25. RFSP issued on 12-May-25.Material delayed &amp; expected to receive on Port by 10-Aug-25 &amp; Expected Delivery at site on 25-Aug-25 due to Yemen &amp; Israel War.</t>
  </si>
  <si>
    <t>AES pending deliverables</t>
  </si>
  <si>
    <t>Weekly meeting and Pending tracker with letters shared to AES to expedited the pending deliverables.</t>
  </si>
  <si>
    <t>PM followup required with AES to expedite the pending deliverables, Detailed issues mentioned in the link</t>
  </si>
  <si>
    <t>Alfanar AES Issues Log (PE-296, 267 &amp; 305)- 20-Apr-25.xlsx</t>
  </si>
  <si>
    <t>ABB</t>
  </si>
  <si>
    <t>SCADA for Remote End Design document (Rev-02 under comment since 23-Jun-25) and delivery</t>
  </si>
  <si>
    <t>GAFM issued  on 16-Mar-25 &amp; Manufacturing done. Expected delivery by 30-Jul-25. Design need to be re-submitted</t>
  </si>
  <si>
    <t>Followup is required for Design compliance submission. Also vendor to be monitered for ontime delivery of material.</t>
  </si>
  <si>
    <t>SEC(Consultant)/Vendor/PM</t>
  </si>
  <si>
    <t>DAR/PE</t>
  </si>
  <si>
    <t>PE-267_DAR Issues Log (20-Apr-25).xlsx</t>
  </si>
  <si>
    <t>Delay in delivery of Capacitor Bank by Vendor (Hitachi),FAT Done on 29th Apr 25</t>
  </si>
  <si>
    <t>Capacitor bank delivered on 19-Jun-25</t>
  </si>
  <si>
    <t>Issue Closed</t>
  </si>
  <si>
    <t>"P.O issued on (24th Mar 24), GAFM issued (01-Aug-24) 
1)30-40 weeks from GAFM, delivery date as per P.O 8th May 25.</t>
  </si>
  <si>
    <t>Hitachi Telecom Testing team not yet mobilized due to Advance bank gur. from Alfanar Accounts departs</t>
  </si>
  <si>
    <t>Bank gaurantee issue resolved on 05-Jul-25. Supervisor visited the site and by next week Testing team will be moblized.</t>
  </si>
  <si>
    <t>Project Team to communicate with Telecom team for smooth moblization without any delay.</t>
  </si>
  <si>
    <t>PO Issued for MV Cable Accessories &amp; Ring Type CT</t>
  </si>
  <si>
    <t>Material under shippment. MV Cable Accessories delivered on 09-Jul-25.  and Ring Type CT will reach at Port on 24-Jul-25 &amp; delivered at site by 10-Aug-25</t>
  </si>
  <si>
    <t>Vendor/ALF-SCD</t>
  </si>
  <si>
    <t>Twin City</t>
  </si>
  <si>
    <t>Awaiting for Quotation from Vendor for  Ampacity Calculation for New Design Tunnel Ventilation Fans</t>
  </si>
  <si>
    <t>Alfanar suggested vendor  to manufacture the Fan based on full efficiency Load</t>
  </si>
  <si>
    <t>Issued Closed</t>
  </si>
  <si>
    <t>FW AMPACITY CALCULATION-KAR 380KV.msg</t>
  </si>
  <si>
    <t>Pending Base Design Approval &amp; GAFM issuance for Lighting Panels (Rawabi).</t>
  </si>
  <si>
    <t>Supplier has raised a variation order 7th Apr 25 and issued communicated to Supply chain Department. DPO issued on 26-Apr-25 &amp; Approval done by project team, PO &amp; GAFM issued on 08-May-25</t>
  </si>
  <si>
    <t>Pending Protection Sysytem &amp; SCADA Point List for MKW. Under review since 08-Jan-25 with REV00.</t>
  </si>
  <si>
    <t>All design approved on 06-May-25.</t>
  </si>
  <si>
    <t>Readiness of Fiber Cable from CEPCO (Other Contractor) for Close loop</t>
  </si>
  <si>
    <t>After continous meetings with SEC &amp; CEPCO, SEC responded that the Fiber readiness will be by Oct-25.</t>
  </si>
  <si>
    <t>SEC to expedite the Readiness of FOC for remote ends</t>
  </si>
  <si>
    <t>MASSAR</t>
  </si>
  <si>
    <t>Variation Order-District Cooling Duct issued on 12-Apr-25</t>
  </si>
  <si>
    <t>Variation Order Submitted on 08-Jul-25 by Alfanar for review.</t>
  </si>
  <si>
    <t>Massar/SEC need to finalize the variation order as soon as possible</t>
  </si>
  <si>
    <t xml:space="preserve">Pending 125V DC circuit breaker selection calculations for control room of expansion of MKW DIA-C06. Under review Since 15-May-25 with REV01.
</t>
  </si>
  <si>
    <t>DC Panels Revised PO issued &amp; GAFM issued on 16-Jul-25</t>
  </si>
  <si>
    <t>Required PO finalization from SCD as soon as possible</t>
  </si>
  <si>
    <t>DAR/PM</t>
  </si>
  <si>
    <t>Pending LV DC CABLE AMPACITY &amp; VOLTAGE DROP CALCULATION FOR CONTROL ROOM OF EXPANSION OF MKW DIA-C06. Under Review Since 19-Feb-25 with REV00.</t>
  </si>
  <si>
    <t>LV DC Cable design approved on 08-Jul-25 &amp; cable under manufacturing</t>
  </si>
  <si>
    <t>Revise PO required for LV control Cable.</t>
  </si>
  <si>
    <t>Alfanar project team inimated SCD to issue the Revise PO for Vendor to confrim the delivery of remaining control cables.</t>
  </si>
  <si>
    <t>SCD to finalize the revise PO as soon as possible</t>
  </si>
  <si>
    <t>Pending AC SLD for MKW. Under review since 15-May-25 with REV02.</t>
  </si>
  <si>
    <t>AC Panels Revised PO issued. GAFM issued on 16-Jul-25</t>
  </si>
  <si>
    <t>Required PO finalization from SCD as soon as possible for issuance of GAFM.</t>
  </si>
  <si>
    <t>PE-312</t>
  </si>
  <si>
    <t>Const of Southern 380KV BSP | Al Ula</t>
  </si>
  <si>
    <t xml:space="preserve">Pervaiz Akbar </t>
  </si>
  <si>
    <t>Hitachi four installation supervisors to work in two shifts, which may support to achieve the planned TCC</t>
  </si>
  <si>
    <t>Requested Hitachi to provide additional supervisors</t>
  </si>
  <si>
    <t>Four installation supervisors to work in two shifts from material delivery, which may support to achieve the planned TCC</t>
  </si>
  <si>
    <t>Issued</t>
  </si>
  <si>
    <t>SPTC latest delivery date for 67 MVA Transformer delivery by Dec-25 and 100 MVA in Transforner in Nov-25 by SPTC, not accepted by Alfanar asked to supply by Jun-25</t>
  </si>
  <si>
    <t xml:space="preserve">Matter has been higlighted to SEC &amp; RCU 
</t>
  </si>
  <si>
    <t xml:space="preserve">SEC support required for Transformer Delivery on before 30-Jun-25 with two installation supervisor for two shifts. </t>
  </si>
  <si>
    <t>Schedule 4 Month</t>
  </si>
  <si>
    <t xml:space="preserve"> P.O issued on 07-Mar-24 , Delivery is 18 Months  from P.O issuance dates (Delivery required end of Aug-25 as per the P.O), Base desing submitted on 5th Jun 24 by SPTC and approved on 21st Jul 24 approved. (GAFM issued on 8th Sep 24 67MVA, 100MVA 21st Nov 24)</t>
  </si>
  <si>
    <t>Arteche</t>
  </si>
  <si>
    <t>Arteche has propsed F.S.C.T delivery by Jan'26, Which is after contractual TCC</t>
  </si>
  <si>
    <t xml:space="preserve">Matter has been higlighted to SEC </t>
  </si>
  <si>
    <t>Management and sec support required get the improved delivery dates</t>
  </si>
  <si>
    <t>Schedule 3 Month</t>
  </si>
  <si>
    <t>Required Confirmed improved FAT dates for 33  switcgear</t>
  </si>
  <si>
    <t>Constant followup for improved FAT is on going</t>
  </si>
  <si>
    <t>AES to provide improve FAT dates</t>
  </si>
  <si>
    <t>Schedule 2 Month</t>
  </si>
  <si>
    <t>DSM base design to be closed as soon as possible</t>
  </si>
  <si>
    <t>Constant followup for improved revised submitall</t>
  </si>
  <si>
    <t>Comments to be complied by AES and revision to be submitted asap</t>
  </si>
  <si>
    <t>Required Confirmed improved FAT dates for AC/DC Panels</t>
  </si>
  <si>
    <t>Matter was highlighted during AES meeting held in Jeddah office</t>
  </si>
  <si>
    <t>AES has to expediate in design of AC/DC panels.</t>
  </si>
  <si>
    <t>PE-283</t>
  </si>
  <si>
    <t>Construction of 132 KV SS AlKara</t>
  </si>
  <si>
    <t>Ahmed Huissein</t>
  </si>
  <si>
    <t>Shutdown is delayed due to the client, as the remote-end transmission lines have not yet provided clearance</t>
  </si>
  <si>
    <t>Regular followups with SEC to get the shutdown without any further delay</t>
  </si>
  <si>
    <t xml:space="preserve"> We should actively follow up with SEC to secure approval for the shutdown</t>
  </si>
  <si>
    <t>PD/Mng</t>
  </si>
  <si>
    <t>06 Months Delay</t>
  </si>
  <si>
    <t>Delay in manufacturing of Power Transformer by SPTC as the delivery for one transformer was on 22nd Nov'25 and Delay in transist for 2nd Transformer and received only on 13th Jan'26</t>
  </si>
  <si>
    <t xml:space="preserve">Regular meetings and factory visits have been conducted with M/s. SPTC to expedite delivery and mitigate any impact on TCC, which is contractually set for 12 July 2025. However, during the meeting held on 16 April 2025 with M/s. SPTC and SEC, it was confirmed that delivery is now expected by end of August 2025 but now as per current status delivery for one transformer was on 22nd Nov'25 and Delay in transits for 2nd Transformer due to unforeseen accident during transits and delivery made on 13th Jan'26 </t>
  </si>
  <si>
    <t xml:space="preserve"> We should actively follow up with SEC to secure approval for the Extension of Time (EOT). Additionally, senior management should consider initiating necessary action against the vendor due to the significant delay in delivery because it may impact our target energization</t>
  </si>
  <si>
    <t>10 Months Delay</t>
  </si>
  <si>
    <t>RITZ</t>
  </si>
  <si>
    <t>Ther's a delay from the Vendor in supplying (SIS) and they delayed the FAT from Mid of Apr till End of July 2025 which results in delay in delivery</t>
  </si>
  <si>
    <t>Multiple meetings have been held with M/s. SIS to accelerate delivery and prevent any impact on the TCC, which is contractually set for 12 July 2025. However, the vendor has confirmed that delivery will now take place by the end of September 2025 but delivered on 21st Oct 2025</t>
  </si>
  <si>
    <t>The vendor's full support is crucial to accelerate material delivery. Given the substantial delay, senior management should consider pursuing legal action against the vendor</t>
  </si>
  <si>
    <t>07 Months Delay</t>
  </si>
  <si>
    <t>SIEMENS</t>
  </si>
  <si>
    <t>Delay in manufacturing of SWGR due to design change as the delivery is expected by mid of July 25</t>
  </si>
  <si>
    <t xml:space="preserve">Regular meetings and factory visits with M/s. SIEMENS are being conducted to expedite the delivery timeline. </t>
  </si>
  <si>
    <t xml:space="preserve">Management need to take action fro speedup delivery </t>
  </si>
  <si>
    <t>3 Months Delay</t>
  </si>
  <si>
    <t>Delay in manufacturing of GIS by HITACHI due to manufacturing demand &amp; design change for 2 times the final date should be confirmed by them</t>
  </si>
  <si>
    <t>On 16.04.2025 conducted with M/S Hitichi along SEC and confirmed that Fat of GIS will be Mid of May25 and remaining equipment will be delivery on or before end of May25</t>
  </si>
  <si>
    <t xml:space="preserve">PD and Higher managerment Should put a legal charges against vendor for Huge delay. </t>
  </si>
  <si>
    <t>2 months Delay</t>
  </si>
  <si>
    <t>TRENCH</t>
  </si>
  <si>
    <t>Delay in manufacturing of out doors CT by TRENCH due to force majeure  (Flood) stopped production line at the supplier Factory.</t>
  </si>
  <si>
    <t>Frequent meeting with TRENCH to enhance deliver  to end of May-25 to mitigate the delay.</t>
  </si>
  <si>
    <t xml:space="preserve">Full support is required from vendor to expedite the material delivery. </t>
  </si>
  <si>
    <t>PM Vendor</t>
  </si>
  <si>
    <t>Delay in All submissions and replies from DAR Jeddah Office</t>
  </si>
  <si>
    <t>Several Meetings have been held with DAR to enhance these delays
the work has been shifted from Jeddah office to Egypt office and that made a very good differnce</t>
  </si>
  <si>
    <t>to enhance these delays and go forward</t>
  </si>
  <si>
    <t>2 months</t>
  </si>
  <si>
    <t>Cummulative delay of major designs</t>
  </si>
  <si>
    <t>PE-284</t>
  </si>
  <si>
    <t>Construction of 132 KV SS Qilwah</t>
  </si>
  <si>
    <t>Khawaja Fayyaz</t>
  </si>
  <si>
    <t xml:space="preserve">Delay in manufacturing of Power Transformer by SPTC as the FAT is Aug-25 and delaying in delivery </t>
  </si>
  <si>
    <t xml:space="preserve">Frequent meeting &amp; Factory visit with SPTC to enhance deliver before Apr 25 to mitigate the delay as our TCC Contractual is 12-Jul-25​
On 16.04.2025 conducted with M/S SPTC along SEC and confirmed that delivery will be in Aug 2025 and Fat was completed on 17.08.2025,pushing the transportation supplier to expedite the delivery  and after all efforts PT delivered on 23rd Nov'25
</t>
  </si>
  <si>
    <t xml:space="preserve">The vendor's full cooperation is essential to expedite material delivery. We should actively follow up with SEC to secure approval for the Extension of Time (EOT). Additionally, senior management should consider initiating legal action against the vendor due to the significant delayPD to push both supplier of transportation to shift all material ASAP
</t>
  </si>
  <si>
    <t>7 months.</t>
  </si>
  <si>
    <t xml:space="preserve">Major delay of project </t>
  </si>
  <si>
    <t>On 16.04.2025 conducted with M/S Hitichi along SEC and confirmed that Fat of GIS will be 15.05.2025 and remaining equipment will be delivery on or before 15.05.2025.</t>
  </si>
  <si>
    <t>3months</t>
  </si>
  <si>
    <t>Ther's a delay from the Vendor in supplying (SIS) and they delayed the FAT from Mid of Apr till End of July 2025 and delaying in delivery also</t>
  </si>
  <si>
    <t>We make several meetings with them, and also inform Purchase department
GAFM has been issued in Aug-24, But now delaying in delivery and delivered on 20 Nov 2025</t>
  </si>
  <si>
    <t xml:space="preserve">erection is going on for GIS , need one more supervisior to expidite erection of GIB as informed in Hitich meeting 11.08.2025, Delay in providing </t>
  </si>
  <si>
    <t>6 months.</t>
  </si>
  <si>
    <t>Delay in manufacturing of SWGR due to design change as the delivery is expected by End of June 25</t>
  </si>
  <si>
    <t xml:space="preserve">.Regular meetings and factory visits with SIEMENS are being conducted to expedite the delivery timeline. </t>
  </si>
  <si>
    <t>erection completed with Gassing 100% completed.</t>
  </si>
  <si>
    <t>3 months</t>
  </si>
  <si>
    <t>Delay in Submission of  Design from AES &amp; DAR of all three remote</t>
  </si>
  <si>
    <t xml:space="preserve">Follow up with both AES &amp; DAR for design </t>
  </si>
  <si>
    <t>set -1 and Set-2 for all remote ends with AES along wih unit relay setting.</t>
  </si>
  <si>
    <t>2months</t>
  </si>
  <si>
    <t>PE-271</t>
  </si>
  <si>
    <t>CONSTRUCTION OF 132/13.8 KV ALDAAR ALBAIDAA SUBSTATION IN RIYADH</t>
  </si>
  <si>
    <t>Hassan Ayloti</t>
  </si>
  <si>
    <t>Central</t>
  </si>
  <si>
    <t>1. Delay in Scheduling the HV test for 132KV GIS 
2. Delay in Responding to the raised T&amp;C snags and NCR's</t>
  </si>
  <si>
    <t>Continuous Follow-up with the Vendor to expedite the Response.</t>
  </si>
  <si>
    <t>SEC Support to prioritize our substation HV test schedule with  supplier as they are claiming that  SEC sets their priority, and to expedite their action to clear the Snags</t>
  </si>
  <si>
    <t>Client/Vendor</t>
  </si>
  <si>
    <t>PE-276</t>
  </si>
  <si>
    <t>Construction of 380kV ALSHARFYA BSP #9086</t>
  </si>
  <si>
    <t>Mohammed Sabri</t>
  </si>
  <si>
    <t>Delay in Delivery of GIS LCC</t>
  </si>
  <si>
    <t>Follow up with supplier to expedite the delivery</t>
  </si>
  <si>
    <t xml:space="preserve">Expedite the delivery </t>
  </si>
  <si>
    <t>Material delivered &amp; installation ongoing.</t>
  </si>
  <si>
    <t>PE-254</t>
  </si>
  <si>
    <t>Construction of 380KV PV substation in Henakiyah</t>
  </si>
  <si>
    <t>Sobhy</t>
  </si>
  <si>
    <t>Approval aginest Shoutdown 2. As the proposal was 13th Jul 2025. still there is no approval</t>
  </si>
  <si>
    <t>As per to SEC still they are under cordination with other departments</t>
  </si>
  <si>
    <t>Expidate the approval to avoid any impact on the budget plan</t>
  </si>
  <si>
    <t>Alfanar/ SEC</t>
  </si>
  <si>
    <t>Idle Manpower will be charged on the project</t>
  </si>
  <si>
    <t>PE-335</t>
  </si>
  <si>
    <t>CONSTRUCTION OF BATTERY ENERGY STORAGE SYSTEM (BESS) 500/2000 in Qaisumah</t>
  </si>
  <si>
    <t>Tariq Mahmoud Ali Alsheyab</t>
  </si>
  <si>
    <t>Cooperation is needed from site consultants</t>
  </si>
  <si>
    <t>-</t>
  </si>
  <si>
    <t xml:space="preserve">Accelerate the construction at site </t>
  </si>
  <si>
    <t>Disruption in construction works</t>
  </si>
  <si>
    <t>Ranco &amp; Zamil</t>
  </si>
  <si>
    <t>Precast Not Delivered</t>
  </si>
  <si>
    <t>Expidate the supplier</t>
  </si>
  <si>
    <t xml:space="preserve">Should be delivered 30th  July </t>
  </si>
  <si>
    <t>Supplier / SEC</t>
  </si>
  <si>
    <t>Delay in readiness of main building by 60 Days as precast to be delivered 8th.Aug</t>
  </si>
  <si>
    <t>TBEA</t>
  </si>
  <si>
    <t>Delay in Delivery of Power Transformer Impacting the Project by 3 Months</t>
  </si>
  <si>
    <t>Escalate the issue to SEC</t>
  </si>
  <si>
    <t xml:space="preserve">SEC is to wave the type test for transformers </t>
  </si>
  <si>
    <t xml:space="preserve">SEC / TBEA </t>
  </si>
  <si>
    <t>Delay the energization by more than 3 Months</t>
  </si>
  <si>
    <t>AES poor performance
1-AC/DC Design
2-Protection DD Design</t>
  </si>
  <si>
    <t xml:space="preserve">Escalate the issue to ALF Top Management &amp; SEC to Push AES </t>
  </si>
  <si>
    <t xml:space="preserve">Reevaluate their promises </t>
  </si>
  <si>
    <t>SEC/ AES / ALF</t>
  </si>
  <si>
    <t>Delay the energization by 2 Months</t>
  </si>
  <si>
    <t>Delay in GIS &amp; HGIS Delivery Impacting the TCC by 3 Months</t>
  </si>
  <si>
    <t>Agree with HITACHI on the new FAT proposal</t>
  </si>
  <si>
    <t>SEC/ Supplier</t>
  </si>
  <si>
    <t>Advanced Elements Contracting</t>
  </si>
  <si>
    <t>Pump Delivery</t>
  </si>
  <si>
    <t>Highlight the expected delayed material</t>
  </si>
  <si>
    <t>Reach Aggrement to squeeze the delivery</t>
  </si>
  <si>
    <t>SEC / Seupplier / ALF</t>
  </si>
  <si>
    <t>Delay the energization by more than 2.5 Months</t>
  </si>
  <si>
    <t>BYD</t>
  </si>
  <si>
    <t xml:space="preserve">Delayed BYD Delivery </t>
  </si>
  <si>
    <t>BYD To finalize the Delivery of all materials by 15-Aug-25</t>
  </si>
  <si>
    <t xml:space="preserve">Delay in Cable Pulling of MV </t>
  </si>
  <si>
    <t>PE-336</t>
  </si>
  <si>
    <t>CONSTRUCTION OF BATTERY ENERGY STORAGE SYSTEM (BESS) 500/2000 in  Dawadmi</t>
  </si>
  <si>
    <t>Mohamed Ahmed Abdellatif Abdelkader</t>
  </si>
  <si>
    <t xml:space="preserve">Precast Not Delivered </t>
  </si>
  <si>
    <t>Delay in readiness of main building by 60 Days</t>
  </si>
  <si>
    <t>Escalate the issue to ALF Top Management &amp; SEC to Push AES</t>
  </si>
  <si>
    <t>SEC is to wave the type test for transformers &amp; Push vendor to squeeze manf.</t>
  </si>
  <si>
    <t>BYD/SEC</t>
  </si>
  <si>
    <t>Delay the energization by more than 2 Months</t>
  </si>
  <si>
    <t>Negative cash flow due to approval of invoicing</t>
  </si>
  <si>
    <t>Esclate to SEC top management</t>
  </si>
  <si>
    <t xml:space="preserve">Negative Cash Flow on the project </t>
  </si>
  <si>
    <t>TAIHAN</t>
  </si>
  <si>
    <t>Delay in Del. Of HV Termination KIT due to delayed GAFM</t>
  </si>
  <si>
    <t>Reach Agreement with vendor to be delivered maximum by 1st Nov.25</t>
  </si>
  <si>
    <t>Delay in Energizing by 1.5 Months</t>
  </si>
  <si>
    <t>PE-337</t>
  </si>
  <si>
    <t>CONSTRUCTION OF BATTERY ENERGY STORAGE SYSTEM (BESS) 500/2000 in Airport</t>
  </si>
  <si>
    <t xml:space="preserve">Tarig Mohammed	</t>
  </si>
  <si>
    <t>PE-339</t>
  </si>
  <si>
    <t>CONSTRUCTION OF BATTERY ENERGY STORAGE SYSTEM (BESS) 500/2000 in Aljouf</t>
  </si>
  <si>
    <t xml:space="preserve">Khalid Mohamed Abdul-Fattah	</t>
  </si>
  <si>
    <t>Delivery of MV Cables</t>
  </si>
  <si>
    <t>33KV switchgear – Relay list approval still not granted and SIEMENS might delay the delivery 2-3 months</t>
  </si>
  <si>
    <t>Approval of the Relay List to allow release for shipment</t>
  </si>
  <si>
    <t>Delay the delivery of the SWGR by 2 to 3 Months</t>
  </si>
  <si>
    <t>Agree with HITACHI on the new FAT propsal</t>
  </si>
  <si>
    <t xml:space="preserve">Post insulator delivery </t>
  </si>
  <si>
    <t>Check Alternative no available stock at vendor</t>
  </si>
  <si>
    <t>Delay energizing till april-26</t>
  </si>
  <si>
    <t>PE-338</t>
  </si>
  <si>
    <t>CONSTRUCTION OF BATTERY ENERGY STORAGE SYSTEM (BESS) 500/2000 in Rabigh</t>
  </si>
  <si>
    <t xml:space="preserve">Mohamed Elmazawy
</t>
  </si>
  <si>
    <t>1-MV Cables Delivery</t>
  </si>
  <si>
    <t>2-Protection DD Design</t>
  </si>
  <si>
    <t>Reduce the review process</t>
  </si>
  <si>
    <t>Rework of Casted without Approval</t>
  </si>
  <si>
    <t>SEC is required to finalize the Fire Fighting Package</t>
  </si>
  <si>
    <t>HCIS design approval</t>
  </si>
  <si>
    <t>Escalate the issue to SEC about long lead duration</t>
  </si>
  <si>
    <t>PE-334</t>
  </si>
  <si>
    <t>CONSTRUCTION OF GHAZLAN-3 PP 380KV BSP</t>
  </si>
  <si>
    <t>Mohammed Al-Herz</t>
  </si>
  <si>
    <t>Eastern</t>
  </si>
  <si>
    <t>Firefighting design approval</t>
  </si>
  <si>
    <t>Hitachi shall provide the entire PDM cabling for the entire GIS sensors to the OPDM panels</t>
  </si>
  <si>
    <t>380kv GIS supplied by SEC
Base design approval expected on 15-May-25
380Kv GIS to be delivered on 12-Jan-26 in order to meet TCC milestone</t>
  </si>
  <si>
    <t>PE-273</t>
  </si>
  <si>
    <t>CONSTRUCTION OF Manfoha 132/13.8KV  # 8154 AND NETWORK CONNECTION</t>
  </si>
  <si>
    <t>Mohamed El hag</t>
  </si>
  <si>
    <t>Close Out</t>
  </si>
  <si>
    <t>PE-344</t>
  </si>
  <si>
    <t>Construction of Nariyah IPP 380 BSP, Exp</t>
  </si>
  <si>
    <t>Sami Abdou Sayed Atta</t>
  </si>
  <si>
    <t>Waiting for Base Design submission with coming two weeks after building layout finalization.</t>
  </si>
  <si>
    <t>Coordination with DAR and HE is ongoing to finalize the building layout and base design finalization.</t>
  </si>
  <si>
    <t>Base Design submission</t>
  </si>
  <si>
    <t>PM/Vendor</t>
  </si>
  <si>
    <t>PO issue date (06.04.2025), LOA Signed on (27.02.2025) Delivery Date (11 - 12 MONTHS FROM THE SIGNING DATE OF LOA BY BOTH PARTIES)</t>
  </si>
  <si>
    <t>PE-274</t>
  </si>
  <si>
    <t>CONSTRUCTION OF NASIRIYAH 132/13.8KV  # 8154 AND NETWORK CONNECTION</t>
  </si>
  <si>
    <t>Omar Samman</t>
  </si>
  <si>
    <t xml:space="preserve">1. Delay in Scheduling the HV test for 132KV GIS   specially the point related to Disconnector  Switch. SEC asking  for Root cause analysis.
2. Delay in Responding to the raised T&amp;C snags and NCR's
</t>
  </si>
  <si>
    <t>E-mails / Letter and  Continuous Follow-up with the Vendor to expedite the Response.</t>
  </si>
  <si>
    <t>PE-306</t>
  </si>
  <si>
    <t>CONSTRUCTION OF NEW ALARED 380 kV BSP AND EXPANSION OF 9050</t>
  </si>
  <si>
    <t>Munther Salah Al Khatib</t>
  </si>
  <si>
    <t>Delay in Installation of GIS SEC vendor Hitachi</t>
  </si>
  <si>
    <t>Follow up the vendor to increase the supervisor</t>
  </si>
  <si>
    <t xml:space="preserve">Increase the number of Supervisor </t>
  </si>
  <si>
    <t>open</t>
  </si>
  <si>
    <t>PO is issue from SEC ( Material supply by SEC )</t>
  </si>
  <si>
    <t>PE-333</t>
  </si>
  <si>
    <t>CONSTRUCTION OF NEW DHAHRAN ALJANOUB-2 132/13.8KV SUBSTATION IN ASIR REGION</t>
  </si>
  <si>
    <t>Mohammad Monawwar Eqbal</t>
  </si>
  <si>
    <t>HITACHI has not provided their I&amp;C supervisor to proceed with Installation works despite the delivery of 90% of the material since March 26'</t>
  </si>
  <si>
    <t xml:space="preserve">Alf has escalated this issue with HITACHI top management but till date, HITACHI have not resolved the case. </t>
  </si>
  <si>
    <t xml:space="preserve">HITACHI to expedite providing the I&amp;C inspector. </t>
  </si>
  <si>
    <t xml:space="preserve"> -2 MONTHS</t>
  </si>
  <si>
    <t>Revised PO</t>
  </si>
  <si>
    <r>
      <rPr>
        <b/>
        <u/>
        <sz val="11"/>
        <color rgb="FF000000"/>
        <rFont val="Aptos Narrow"/>
        <family val="2"/>
        <scheme val="minor"/>
      </rPr>
      <t xml:space="preserve">LEEEC Transformer Suspension (Suspension Released)
</t>
    </r>
    <r>
      <rPr>
        <sz val="11"/>
        <color rgb="FF000000"/>
        <rFont val="Aptos Narrow"/>
        <family val="2"/>
        <scheme val="minor"/>
      </rPr>
      <t>Design delayed due to LEEEC suspension (from 08-Apr to 24-Jul-25) / GAFM issued on 14-Aug-25 / Exp. Delivery mid of May 26.</t>
    </r>
  </si>
  <si>
    <t>GAFM Issued on 14/Aug/25</t>
  </si>
  <si>
    <t>Follow up with LEEEC to squeeze delivery time.</t>
  </si>
  <si>
    <t>SEC/Procurement</t>
  </si>
  <si>
    <t xml:space="preserve"> -3 MONTHS</t>
  </si>
  <si>
    <t>The recommended crown level for access road specified in PTS not achievable due to the huge level difference between SEC requirements, which delaying civil works on site, however we are doing our best to achieve crown level as SECrequirements as per below recommended condition. 
As per discussion with design team, retaining wall will not more required and we will get further approval from SEC for change it to some other alternative technical options, such as  Slope protection.</t>
  </si>
  <si>
    <t>To avoid any further delay, we are proposing the crown level as per SEC requirements and submit Site grading accordingly for SEC approval.</t>
  </si>
  <si>
    <t>As per discussion with design team, retaining wall will not more required and we will get further approval from SEC for change it to some other alternative technical options, such as  Slope protection</t>
  </si>
  <si>
    <t>PM/Tender team</t>
  </si>
  <si>
    <t>No impact on TCC</t>
  </si>
  <si>
    <t>Delay in issuance MV SWGR PO since AES is not complying the Tender MOM  as CTs and VTs parameters of SEC requirement since last 02 months</t>
  </si>
  <si>
    <t>follow up with procurement team to finalization of the purchase order with Siemens as MOM with Siemens has already been concluded.</t>
  </si>
  <si>
    <t>To expedite POs issuance and expedite receiving base design from the vendors</t>
  </si>
  <si>
    <t>New Copy of Discussion on PE 333 PE 341 - long lead items MOM (14-Apr).xlsx</t>
  </si>
  <si>
    <t>SAR 8,375,000</t>
  </si>
  <si>
    <t>10-Apr'25 PO Issued to Siemens</t>
  </si>
  <si>
    <t>BUSINESS OPERATIONS SUPPORT</t>
  </si>
  <si>
    <t>IQAMA Issues</t>
  </si>
  <si>
    <t>IQAMA Need to be updated for project team members to issue SEC ID and this will be impacting physical discuss with SEC Team</t>
  </si>
  <si>
    <t xml:space="preserve">several mails send (starting from 26-Jan-25) to admin department for expedite updating IQAMA </t>
  </si>
  <si>
    <t>following up with admin department for expedite updating IQAMA</t>
  </si>
  <si>
    <t>Delay in approval blasting permits to complete excavation works</t>
  </si>
  <si>
    <t>Permit approved but the delay continues due to the postponed police visit required to initiate the blasting (1st blasting stage schedule to be on 19-Jun)</t>
  </si>
  <si>
    <t>Following up with Police for next blasting stages visits</t>
  </si>
  <si>
    <r>
      <rPr>
        <b/>
        <u/>
        <sz val="11"/>
        <color rgb="FF000000"/>
        <rFont val="Aptos Narrow"/>
        <family val="2"/>
        <scheme val="minor"/>
      </rPr>
      <t xml:space="preserve">Delay in Approval Transformer Consequences :
</t>
    </r>
    <r>
      <rPr>
        <strike/>
        <sz val="11"/>
        <color rgb="FF000000"/>
        <rFont val="Aptos Narrow"/>
        <family val="2"/>
        <scheme val="minor"/>
      </rPr>
      <t xml:space="preserve">• Delay in final approval of GLO.
</t>
    </r>
    <r>
      <rPr>
        <sz val="11"/>
        <color rgb="FF000000"/>
        <rFont val="Aptos Narrow"/>
        <family val="2"/>
        <scheme val="minor"/>
      </rPr>
      <t xml:space="preserve">• Delay in final approval of Precast &amp; Civil design.
</t>
    </r>
    <r>
      <rPr>
        <strike/>
        <sz val="11"/>
        <color rgb="FF000000"/>
        <rFont val="Aptos Narrow"/>
        <family val="2"/>
        <scheme val="minor"/>
      </rPr>
      <t xml:space="preserve">• Delay in Precast PO issuance &amp; Design.
</t>
    </r>
    <r>
      <rPr>
        <sz val="11"/>
        <color rgb="FF000000"/>
        <rFont val="Aptos Narrow"/>
        <family val="2"/>
        <scheme val="minor"/>
      </rPr>
      <t xml:space="preserve">• Expected Delay in Civil Works due to GLO Delay
</t>
    </r>
    <r>
      <rPr>
        <strike/>
        <sz val="11"/>
        <color rgb="FF000000"/>
        <rFont val="Aptos Narrow"/>
        <family val="2"/>
        <scheme val="minor"/>
      </rPr>
      <t xml:space="preserve">• Delay in BD for GIB &amp; LCC.
• Mechanical Desgin as result of delaying Arch.
</t>
    </r>
    <r>
      <rPr>
        <sz val="11"/>
        <color rgb="FF000000"/>
        <rFont val="Aptos Narrow"/>
        <family val="2"/>
        <scheme val="minor"/>
      </rPr>
      <t>• Earthing sizing Calc.</t>
    </r>
  </si>
  <si>
    <t>GLO, Transformer &amp; Arch . design approved</t>
  </si>
  <si>
    <t>Expediting submssion &amp; approval of  Precast/Civil Design</t>
  </si>
  <si>
    <t>PM/PRECAST VENDOR / DAR</t>
  </si>
  <si>
    <t xml:space="preserve"> -1 MONTH</t>
  </si>
  <si>
    <r>
      <t xml:space="preserve">As result of delaying of Approval of GLO due to LEEEC Suspension, Precast PO issuance &amp; Civil Design Delayed
</t>
    </r>
    <r>
      <rPr>
        <sz val="11"/>
        <color rgb="FF000000"/>
        <rFont val="Aptos Narrow"/>
        <family val="2"/>
        <scheme val="minor"/>
      </rPr>
      <t>• Delay in Arch., Precast PO issuance &amp; Design as result of delaying GLO.
• This delay in the precast design impact also building foundations design which will delay all civil work.</t>
    </r>
  </si>
  <si>
    <t>*Expedite approval precast design. (GAFM Issued) 
*PO Issued &amp; all required design inputs shared with Precast subcontractor
* DAR Civil Design received all required inputs from Precast subcontractor</t>
  </si>
  <si>
    <t>Compress Precast Manufacturing &amp; Erection schedule.</t>
  </si>
  <si>
    <t>PO issued</t>
  </si>
  <si>
    <r>
      <rPr>
        <b/>
        <u/>
        <sz val="11"/>
        <color rgb="FF000000"/>
        <rFont val="Aptos Narrow"/>
        <family val="2"/>
        <scheme val="minor"/>
      </rPr>
      <t xml:space="preserve">Continuous design Delays by AES:
</t>
    </r>
    <r>
      <rPr>
        <sz val="11"/>
        <color rgb="FF000000"/>
        <rFont val="Aptos Narrow"/>
        <family val="2"/>
        <scheme val="minor"/>
      </rPr>
      <t>Still awaiting your response regarding the submission of:
1- LIGHTING PANEL Base Design Rev.01, pending with AES from 01.12.25
2-  SAS Block Diagram and Cable List.  pending with AES from 01.12.25
3- AC/DC PANEL, pending with AES from 16.12.25 ( B Status ) 
4- Detail Design of AC/DC Panels.
5- the latest OPDS approved for the protection relays of the remote ends as per the latest approved relay list .</t>
    </r>
  </si>
  <si>
    <t>Serval mails &amp; Meeting held with AES  to expedite design submission</t>
  </si>
  <si>
    <t>Expediting design for All AES Packages</t>
  </si>
  <si>
    <t>AES/PM</t>
  </si>
  <si>
    <r>
      <rPr>
        <b/>
        <u/>
        <sz val="11"/>
        <color rgb="FF000000"/>
        <rFont val="Aptos Narrow"/>
        <family val="2"/>
        <scheme val="minor"/>
      </rPr>
      <t xml:space="preserve">Delay in removal of blasting waste materials  
</t>
    </r>
    <r>
      <rPr>
        <sz val="11"/>
        <color rgb="FF000000"/>
        <rFont val="Aptos Narrow"/>
        <family val="2"/>
        <scheme val="minor"/>
      </rPr>
      <t>1. Due to the huge blasting waste amount</t>
    </r>
  </si>
  <si>
    <t>1. increasing dump truck from 16 to 20 truck
2. increasing excavators  from 3 to 5 excavators</t>
  </si>
  <si>
    <t>Expediting Blasting Subcontractor to complete the work &amp; increase number of trucks</t>
  </si>
  <si>
    <t xml:space="preserve">After reaching substation zero level ,the measured soil electrical resistivity is far beyond acceptable limits. </t>
  </si>
  <si>
    <t>1- Multiple earthing design proposals were submitted by Alfanar and its consultant, involving various depths (0.5m to 3m) of improved backfill soil. However, even at 3 meters depth, critical parameters like Grid Resistance and Ground Potential Rise (GPR) remained above the required thresholds (1 ohm and 5000 V).
2- Despite these efforts, the design targets could not be met under current soil conditions.
3- After assessing alternatives, the team identified Ground Enhancement Material (GEM) as the most viable solution. GEM offers low resistivity (0.02 ohm.m), long lifespan (50+ years), and safe integration with natural soil.</t>
  </si>
  <si>
    <t xml:space="preserve">1- The team is requesting SEC-PDC’s urgent support to approve the use of GEM for this project.
(As Approved and used in other substations (e.g., Baha BSP))
</t>
  </si>
  <si>
    <t>1.5 Months delay in Civil work</t>
  </si>
  <si>
    <r>
      <rPr>
        <b/>
        <u/>
        <sz val="11"/>
        <color rgb="FF000000"/>
        <rFont val="Aptos Narrow"/>
        <family val="2"/>
        <scheme val="minor"/>
      </rPr>
      <t xml:space="preserve">Expected Delay In GIS Delivery
</t>
    </r>
    <r>
      <rPr>
        <sz val="11"/>
        <color rgb="FF000000"/>
        <rFont val="Aptos Narrow"/>
        <family val="2"/>
        <scheme val="minor"/>
      </rPr>
      <t xml:space="preserve">Delay in design approval &amp; delay in LCC &amp; GIB design due to delay of GLO Approval which lead to expected Delay in delivery of GIS </t>
    </r>
  </si>
  <si>
    <t>GIS, LCC &amp; GIB GAFM Issued</t>
  </si>
  <si>
    <t>Follow up with Hitachi to squeeze delivery time for GIS, LCC &amp; GIB</t>
  </si>
  <si>
    <t>PM/HITACHI</t>
  </si>
  <si>
    <t>Exp. Impact on TCC 2 months</t>
  </si>
  <si>
    <t>GIB not  received yet &amp; Need to be mobilized supervisor from HITACHI which will lead to delay of GIS Installation.</t>
  </si>
  <si>
    <r>
      <rPr>
        <b/>
        <u/>
        <sz val="11"/>
        <color rgb="FF000000"/>
        <rFont val="Aptos Narrow"/>
        <family val="2"/>
        <scheme val="minor"/>
      </rPr>
      <t xml:space="preserve">OPGW retrofitting for Existing OHL
</t>
    </r>
    <r>
      <rPr>
        <sz val="11"/>
        <color rgb="FF000000"/>
        <rFont val="Aptos Narrow"/>
        <family val="2"/>
        <scheme val="minor"/>
      </rPr>
      <t>Missing actual inputs from SEC regarding the existing OHTL which lead delay in design &amp; issuance PO for the Correct Materials for Existing Conductor.</t>
    </r>
  </si>
  <si>
    <t>Several site visit has been done to collect the data</t>
  </si>
  <si>
    <t>1. Expediting SEC Approval for OPGW retrofitting from EDD (Major Comments required existing OHTL inputs which AMD mentioned they don’t have any data for this line). 
2. Expediting Issuance PO for Subcontractor.</t>
  </si>
  <si>
    <t>SEC/SCD</t>
  </si>
  <si>
    <r>
      <rPr>
        <b/>
        <u/>
        <sz val="11"/>
        <color rgb="FF000000"/>
        <rFont val="Aptos Narrow"/>
        <family val="2"/>
        <scheme val="minor"/>
      </rPr>
      <t>Retrofitting of the existing OGW additional scope</t>
    </r>
    <r>
      <rPr>
        <sz val="11"/>
        <color rgb="FF000000"/>
        <rFont val="Aptos Narrow"/>
        <family val="2"/>
        <scheme val="minor"/>
      </rPr>
      <t xml:space="preserve">
ALF has confirmed their interest in the new scope and is currently awaiting the official amendment along with the Scope of Work (SOW).</t>
    </r>
  </si>
  <si>
    <t>ALF informed PDC either to proceed with the original scope or approve the variation order. Also, ALF informed PDC any delay will be claimed (cost/time)</t>
  </si>
  <si>
    <t>PDC confirm to proceed with original scope to plan the shutdown plan accordingly.</t>
  </si>
  <si>
    <t>SWGR Detailed Design Not Approved Yet</t>
  </si>
  <si>
    <t>Project team Following up with Siemens for resubmission</t>
  </si>
  <si>
    <t>Project team to Following up with Siemens for resubmission</t>
  </si>
  <si>
    <t>PM/PE</t>
  </si>
  <si>
    <r>
      <rPr>
        <b/>
        <u/>
        <sz val="11"/>
        <color rgb="FF000000"/>
        <rFont val="Aptos Narrow"/>
        <family val="2"/>
        <scheme val="minor"/>
      </rPr>
      <t>SAS Design delay</t>
    </r>
    <r>
      <rPr>
        <sz val="11"/>
        <color rgb="FF000000"/>
        <rFont val="Aptos Narrow"/>
        <family val="2"/>
        <scheme val="minor"/>
      </rPr>
      <t xml:space="preserve">
SAS Design Not Approved Yet (Subsequent  Work 8 months till TCC) (SAS Point List Code C)</t>
    </r>
  </si>
  <si>
    <t>SAS Point List Under SEC Review</t>
  </si>
  <si>
    <t>Expedite SEC Reviewing SAS Point List. ((Multiplied SPL)</t>
  </si>
  <si>
    <t xml:space="preserve"> -4 MONTHS</t>
  </si>
  <si>
    <t>EDD/ALF/DAR</t>
  </si>
  <si>
    <r>
      <rPr>
        <b/>
        <u/>
        <sz val="10.5"/>
        <color rgb="FF000000"/>
        <rFont val="Calibri"/>
        <family val="2"/>
      </rPr>
      <t xml:space="preserve">UDE tower design
</t>
    </r>
    <r>
      <rPr>
        <sz val="10.5"/>
        <color rgb="FF000000"/>
        <rFont val="Calibri"/>
        <family val="2"/>
      </rPr>
      <t xml:space="preserve">After the approval of the plan and profile, outline and erection drawings have been submitted to EDD, but EDD has rejected the utilization of the UDE tower in the LILO configuration despite its approval of the plan and profile. Alfanar has shared all the supporting documents on 23rd July after discussion meeting and SE /EDD has raised comments on (SAG &amp; TENSION CALCS, PLAN AND PROFILE DRAWING, OUTLINE DRAWING and VALIDATION REPORT) on 16th Aug. </t>
    </r>
  </si>
  <si>
    <t>Alfanar are working to close all comments.</t>
  </si>
  <si>
    <t xml:space="preserve">Please accelerate to close those comments </t>
  </si>
  <si>
    <r>
      <rPr>
        <b/>
        <u/>
        <sz val="11"/>
        <color rgb="FF000000"/>
        <rFont val="Aptos Narrow"/>
        <family val="2"/>
        <scheme val="minor"/>
      </rPr>
      <t xml:space="preserve">UDE tower erection: 
</t>
    </r>
    <r>
      <rPr>
        <sz val="11"/>
        <color rgb="FF000000"/>
        <rFont val="Aptos Narrow"/>
        <family val="2"/>
        <scheme val="minor"/>
      </rPr>
      <t xml:space="preserve">Alfanar has raised the concerns regarding the erection of the LILO tower as per design the tower is constrained to be in the center of the existing line, this constrain will lead to cutting the existing line along with OPGW which will effect the direct communication between HARAJA S/S &amp; DHAHRAN AL-JANOUB 1 S/S.
</t>
    </r>
  </si>
  <si>
    <t>ALF raised this case with PDC management and will proceed with Adequacy load check for Design validation and will be submitted to SE / EDD</t>
  </si>
  <si>
    <t xml:space="preserve">Principal approval from SE / EDD for UDE tower to proceed with manufacturing release. </t>
  </si>
  <si>
    <r>
      <rPr>
        <b/>
        <u/>
        <sz val="11"/>
        <color rgb="FF000000"/>
        <rFont val="Aptos Narrow"/>
        <family val="2"/>
        <scheme val="minor"/>
      </rPr>
      <t xml:space="preserve">OPGW Retrofitting
</t>
    </r>
    <r>
      <rPr>
        <sz val="11"/>
        <color rgb="FF000000"/>
        <rFont val="Aptos Narrow"/>
        <family val="2"/>
        <scheme val="minor"/>
      </rPr>
      <t xml:space="preserve">Scope requires cutting the existing OPGW and considering that the OGW retrofitting project is not yet finalized from the other contractor of the general projects department, this will lead to complete loss of direct communication between HARAJAH 132/33 kV and DHAHRAN AL-JANOUB 132/33/13.8 kV during OPGW stringing, splicing, and testing activities.
</t>
    </r>
  </si>
  <si>
    <t>Project team Following up with SEC/PDC to solve this issues.</t>
  </si>
  <si>
    <t xml:space="preserve">1. Obtain SCADA &amp; Telecom Field Maintenance Division recommended approach and necessary shutdown permissions, ensuring that the retrofitting process can be carried out without leading to a direct OPGW communication disconnection between HARAJA S/S and DHAHRAN AL-JANOUB 1 S/S.
2. Alfanar proposed on (05-Feb) a resolution for the above and waiting for SEC Reply
</t>
  </si>
  <si>
    <t>Gantry and outdoor Steel Structure delay in manufacturing due to lack of raw material as officially stated by the manufacturer M/S Energya</t>
  </si>
  <si>
    <t xml:space="preserve">Project Execution has shared the request for additional cost requested by the manufacturer. </t>
  </si>
  <si>
    <t xml:space="preserve">Manufacturer M/S Energya to provide the expected FAT date within the PO delivery terms. </t>
  </si>
  <si>
    <t>Supply Chain</t>
  </si>
  <si>
    <t>Delay in completion of the 13.8 kV MV Switchgear due to delay  Busduct delivery resulted by the ongoing geopolitical global situation.</t>
  </si>
  <si>
    <t xml:space="preserve">Alfanar has requested from the manufacturer M/S Siemens to expedite the delivery by using freight shippment. </t>
  </si>
  <si>
    <t>M/S Siemens to provide the expedited delivery date of the Busduct</t>
  </si>
  <si>
    <t>PE-264</t>
  </si>
  <si>
    <t>CONSTRUCTION OF TABARJAL-B132/13.8KV SUBSTATION IN JOUF AREA</t>
  </si>
  <si>
    <t>Mohammed Azhar</t>
  </si>
  <si>
    <t>- Excavation and backfilling beyond 1 meter is highly challenging due to the terrain, requiring hot blasting and extensive material removal, making deeper backfill solutions impractical.</t>
  </si>
  <si>
    <t>follow up with vendor /SEC by mails &amp; calls to expedite the delivery</t>
  </si>
  <si>
    <t>vendor to expedite the delivery as earliest</t>
  </si>
  <si>
    <t>PO issued by Alfanar (11.10.2023)
LOA Signing date ( 21.06.2023)</t>
  </si>
  <si>
    <t>PE-259</t>
  </si>
  <si>
    <t>Construction of Waad Al Shamal 380/132 KV BSP</t>
  </si>
  <si>
    <t>Muhannad Ibrahim Al Heh</t>
  </si>
  <si>
    <t>- Despite these efforts, the design targets could not be met under current soil conditions.</t>
  </si>
  <si>
    <t>Despite multiple follow-up meetings (twice per week) conducted with Hitachi to emphasize the urgency and accelerate the resolution of outstanding NCRs and snag list items, Hitachi has failed to meet the committed timeframe for closure.
Now Hitachi has been instructed to submit a revised action plan and ensure closure of all outstanding items by 05 May 2025</t>
  </si>
  <si>
    <t>Hitachi is required to close all open Non-Conformance Reports (NCRs) &amp; deliver the related NCRs materials and snag list items issued by the Commissioning Service Department (CSD – SEC) no later than 05 May 2025.</t>
  </si>
  <si>
    <t>GIS materials were delivered by Hitachi with a significant delay of 5 months, citing various reasons for the delay and had a direct impact on the project timeline already. Supervision of Installation and Testing &amp; Commissioning (T&amp;C) activities are currently in progress. The first operation and high-voltage (HV) testing fall within Hitachi’s scope and are critical milestones for the project.</t>
  </si>
  <si>
    <t>PE-325</t>
  </si>
  <si>
    <t>Darb -BSP-PV</t>
  </si>
  <si>
    <t>Musab Ismeal</t>
  </si>
  <si>
    <t>- Although GEM has been approved and used in other substations (e.g., Baha BSP), the proposal was rejected by SEC-EDD.</t>
  </si>
  <si>
    <t>official letters were submitted to the client to formalize the delay in the Environmental Study.</t>
  </si>
  <si>
    <t>scalation to SEC's higher management is necessary to ensure timely resolution.</t>
  </si>
  <si>
    <t>Cost Impact if Penalty applied</t>
  </si>
  <si>
    <t xml:space="preserve">OHTL proposal line (as per PTS) will cross an existing 380 KV OHTL line., which requires a variation order </t>
  </si>
  <si>
    <t xml:space="preserve">Design proposals for a variation order submitted to address the crossing of the existing 380 kV OHTL line - Sec Approved .Alfanar tender to provide change order estimation 
Tender team to expedite the VO estimation process to ensure timely submission to SEC    Design proposals for a variation order submitted to address the crossing of the existing 380 kV OHTL line
-Amendment received on 12 Jul 25 
-Tender team evaluate and prepare Schedule B&amp;C
</t>
  </si>
  <si>
    <t>New proposal received from SEC , need t expidite evaluation and start for design procurement process asap</t>
  </si>
  <si>
    <t>Client /Alfanar tender team</t>
  </si>
  <si>
    <t>Schedule / Cost Impact</t>
  </si>
  <si>
    <r>
      <t xml:space="preserve">AES Packages Delays
1. ACDB &amp; DCDB Panels :- </t>
    </r>
    <r>
      <rPr>
        <sz val="11"/>
        <color theme="1"/>
        <rFont val="Aptos Narrow"/>
        <family val="2"/>
        <scheme val="minor"/>
      </rPr>
      <t>To provide the compliance for DC system ,No Confrimation FAT &amp; Delivery Dates Till now</t>
    </r>
    <r>
      <rPr>
        <b/>
        <u/>
        <sz val="11"/>
        <color theme="1"/>
        <rFont val="Aptos Narrow"/>
        <family val="2"/>
        <scheme val="minor"/>
      </rPr>
      <t xml:space="preserve">
2.AMI &amp; Revenue System:- </t>
    </r>
    <r>
      <rPr>
        <sz val="11"/>
        <color theme="1"/>
        <rFont val="Aptos Narrow"/>
        <family val="2"/>
        <scheme val="minor"/>
      </rPr>
      <t>To provide the compliance for remaining comments. .No Confrimation FAT &amp; Delivery Dates Till now</t>
    </r>
    <r>
      <rPr>
        <b/>
        <sz val="11"/>
        <color theme="1"/>
        <rFont val="Aptos Narrow"/>
        <family val="2"/>
        <scheme val="minor"/>
      </rPr>
      <t xml:space="preserve">
</t>
    </r>
    <r>
      <rPr>
        <b/>
        <u/>
        <sz val="11"/>
        <color theme="1"/>
        <rFont val="Aptos Narrow"/>
        <family val="2"/>
        <scheme val="minor"/>
      </rPr>
      <t xml:space="preserve">3.MV&amp;LV Cables :- </t>
    </r>
    <r>
      <rPr>
        <sz val="11"/>
        <color theme="1"/>
        <rFont val="Aptos Narrow"/>
        <family val="2"/>
        <scheme val="minor"/>
      </rPr>
      <t xml:space="preserve">No Confrimation FAT &amp; Delivery Dates Till now
</t>
    </r>
    <r>
      <rPr>
        <b/>
        <u/>
        <sz val="11"/>
        <color theme="1"/>
        <rFont val="Aptos Narrow"/>
        <family val="2"/>
        <scheme val="minor"/>
      </rPr>
      <t>4.Communication Sytem :-</t>
    </r>
    <r>
      <rPr>
        <sz val="11"/>
        <color theme="1"/>
        <rFont val="Aptos Narrow"/>
        <family val="2"/>
        <scheme val="minor"/>
      </rPr>
      <t xml:space="preserve"> No Confrimation FAT &amp; Delivery Dates Till now</t>
    </r>
    <r>
      <rPr>
        <b/>
        <u/>
        <sz val="11"/>
        <color theme="1"/>
        <rFont val="Aptos Narrow"/>
        <family val="2"/>
        <scheme val="minor"/>
      </rPr>
      <t xml:space="preserve">
5.13.8kV  SWGR:-</t>
    </r>
    <r>
      <rPr>
        <sz val="11"/>
        <color theme="1"/>
        <rFont val="Aptos Narrow"/>
        <family val="2"/>
        <scheme val="minor"/>
      </rPr>
      <t xml:space="preserve"> No Confrimation FAT &amp; Delivery Dates Till now
</t>
    </r>
    <r>
      <rPr>
        <b/>
        <u/>
        <sz val="11"/>
        <color theme="1"/>
        <rFont val="Aptos Narrow"/>
        <family val="2"/>
        <scheme val="minor"/>
      </rPr>
      <t xml:space="preserve">6.Control &amp;  Protection &amp; SAS Panels:- </t>
    </r>
    <r>
      <rPr>
        <sz val="11"/>
        <color theme="1"/>
        <rFont val="Aptos Narrow"/>
        <family val="2"/>
        <scheme val="minor"/>
      </rPr>
      <t>To finalize Protection DD, No Confrimation FAT &amp; Delivery Dates Till now</t>
    </r>
  </si>
  <si>
    <t>Arranged several meetings with AES and a warning letter has been issued. Telecom and Grounding situation has been enhanced.</t>
  </si>
  <si>
    <t>Close follow up on the remaining Points below:
1. Protection detail design and delivery 
2. SAS system Design and Delivery 
3. Fault Locator Detail Design and Delivery
High management follow up to get the delivery in line with the time schedule as they confirmed date by End of Aug while the planned is 15-Jul</t>
  </si>
  <si>
    <t>PM/Vendor/Client</t>
  </si>
  <si>
    <t>90- days delay</t>
  </si>
  <si>
    <t>Delayed PO Issuance for the following:
- Tower Painting workmanship
- RTV coating
- Access road &amp; structural pad contractor
- building painting
- PO for AT&amp;C
- Rental Electrical manpower</t>
  </si>
  <si>
    <t>serval mails sent to SCD to expedite PO's Issuance</t>
  </si>
  <si>
    <t>required to finalize pending PO Issuance</t>
  </si>
  <si>
    <t>PE-313</t>
  </si>
  <si>
    <t>Dhahyah BSP</t>
  </si>
  <si>
    <t>Ahmed Sadek</t>
  </si>
  <si>
    <t>New addendum received from SEC on date 30.01.2025 to supersede the previous PTS drawings which has an impact on ongoing activities.​</t>
  </si>
  <si>
    <t>Email has been sent to the client on 01 Feb 2025 showing the impact of the new addendum received and highlighting the impact.
Official letter sent to the client on 13 Feb 2025 highlighting the impact and concerns.
Hitachi confirmed delivery date by 29-Apr-2026.
Official letter for claim already submitted to the client on 12-July-2025.</t>
  </si>
  <si>
    <t>Approval required for submitted claim from the client.</t>
  </si>
  <si>
    <t>PM/Client</t>
  </si>
  <si>
    <t>EOT 333 calendar days</t>
  </si>
  <si>
    <t>EOT Ammedment by SE was sent (by mail) with Revised TCC 24-Dec-26 instead of 25-Jan-2026 (requesting Alfanar PM signature)
Ammendment was signed by Mr. Ahmed Sadek (PM), waiting receiving signed documents from SE</t>
  </si>
  <si>
    <t>To be identified after receiving the feedback from supplier.</t>
  </si>
  <si>
    <t>Delay delivery forecast for GIS 132 KV by Hitachi
As per latest update from Hitachi, the delivery will be on 29-Apr-2026 which exceed the Contractual TCC date 25-Jan-2026</t>
  </si>
  <si>
    <t>Several Meetings and mails have been sent from Project team to accelerate the feedback from Vendor.
132KV GIS FAT to be confirmed after approval of revised base design (Approved).
Meeting held with Hitachi on 19-May-2025 and agreed to provide the final delivery date Max. by 29-May-2025.
Hitachi confirmed 132KV GIS delivery date by 29-Apr-2026.
Delivery of LCC confirmed by HE to be by Dec-2025.
Official letter for claim already submitted to the client on 12-July-2025.</t>
  </si>
  <si>
    <t>Close follow up with Hitachi to enhance delivery date.
Approval required for submitted claim from the client.</t>
  </si>
  <si>
    <t>EOT Ammedment by SE was sent (by mail) with Revised TCC 24-Dec-26 instead of 25-Jan-2026 (requesting Alfanar PM signature)
Ammendment was signed by Mr. Ahmed Sadek (PM), waiting receiving signed documents from SE
Materials delivered and installation started on 22-Apr-2026</t>
  </si>
  <si>
    <t>PO. No: 4800029879
PO. Amount: 10,000,000 USD</t>
  </si>
  <si>
    <t>Issued.
Delivery as per PO:
16-Jun-2025</t>
  </si>
  <si>
    <t>Delay delivery forecast for Power Transformers 132 KV by SPTC
As per latest update from SPTC, the delivery will be on 30-Mar-2026 which exceed the Contractual TCC date 25-Jan-2026</t>
  </si>
  <si>
    <t>Letter has been sent to the client on 09 May' 2024 for swapping the supplier from SPTC to LEEEC to meet the delivery schedule as per planned delivery date on May' 2025.
Another letter sent to the client regarding the delay in response to swap the manufacturer on 08 Aug 2024.</t>
  </si>
  <si>
    <t>Close follow up with manufacturer to enhance delivery date.</t>
  </si>
  <si>
    <t>PM/Management</t>
  </si>
  <si>
    <t>Schedule.
9 Months</t>
  </si>
  <si>
    <t>Materials completely delivered and on 06-May-2026</t>
  </si>
  <si>
    <t>PO. No: 4800030060
PO Amount: 33,187,500 SAR</t>
  </si>
  <si>
    <t>Issued.
Delivery as per PO:
16-Dec-2025</t>
  </si>
  <si>
    <t>The vendor of Free-Standing CT sent an email to delay the delivery to be on Mar’26 which scheduled to be on Jul’25</t>
  </si>
  <si>
    <t>The issue has been escalated to supply chain and supply chain sent official letter to the supplier.
Official letter sent to the client on 20.03.25 explaining the situation with currebt in delivery and required to change to alternate factory.
Supplier confirm that the partiall delivery will be on Jan-2026.</t>
  </si>
  <si>
    <t>The supplier must follow the contractual delivery schedule.
Follow up with the supplier to adhere the delivery.</t>
  </si>
  <si>
    <t>Schedule.
8 Months</t>
  </si>
  <si>
    <t>PO. No: 4800030496
PO. Amount: 346,500 EUR.</t>
  </si>
  <si>
    <t>"Issued.
Delivery as per PO:
29-Jul-2025"</t>
  </si>
  <si>
    <t>EPC</t>
  </si>
  <si>
    <t>Delay in erection of precast for main buildings which affected whole subsequent activities.
The EPC is not professional and has too many safety iddues which led to delay the progress also on site.</t>
  </si>
  <si>
    <t>Plan has been prepared with EPC but not followed.
Email sent by PM to provide finishing date to EPC but no reply.
EPC provided remaining teams to start working in Control building, SWGR-02 to mitigiate the delay.
PM has regularly pushed the EPC to enhance the progress.
Warning leter issued to EPC.
Meeting arranged between EPC and PM and agreed for final finishing dates for the buildings.
EPC to provide remaining teams to start working 132KV GIS building to mitigiate the delay.</t>
  </si>
  <si>
    <t>EPC is required to expedite in finishing the works in 132 and Control buildings to avoid any further delay and to start the electrical works.
The readiness for Buildings due to delay from EPC:
380KV GIS Building 29-Oct-2025.
132KV GIS Building  29-Nov-2025.
Control Building  27-Nov-2025.</t>
  </si>
  <si>
    <t>PM/SM/Vendor</t>
  </si>
  <si>
    <t>Schedule.</t>
  </si>
  <si>
    <t>Delay in delivery of precast which scheduled to be delivered on Feb’25.</t>
  </si>
  <si>
    <t>Warning email has been sent to the vendor on 10 Mar 2025 regarding the delay of manufacturing progress.</t>
  </si>
  <si>
    <t>Pushing the supplier to expedite in delivery of remaining precast.</t>
  </si>
  <si>
    <t>Schedule.
3 Months</t>
  </si>
  <si>
    <t>PO. No: 4800031042
PO Amount: 12,427,874 SAR</t>
  </si>
  <si>
    <t>FAT Test</t>
  </si>
  <si>
    <t>SEC has rejected the FAT reports of SWGR and Protection panels since there are one relay type used by AES are hold by SEC in the time being which cause to delay the FAT approval and accordingly we can't invoice the materials which will effect the POC ratio.</t>
  </si>
  <si>
    <t>PM has replied to SEC that we are following the approved design and any change in this relay in this stage will have time and cost impact</t>
  </si>
  <si>
    <t xml:space="preserve">Waiting SEC response. </t>
  </si>
  <si>
    <t>Waiting to finalize the required insurance ( Malath ) in order to proceed with building permits accordingly.</t>
  </si>
  <si>
    <t>PO issued to Malath and the payment is under process</t>
  </si>
  <si>
    <t>Following with supply chain to finalize the payment process.</t>
  </si>
  <si>
    <t>Delay in the confirmation date for FAT and delivery for the main Material and Equipment (SWGR, Station service TR, Panels, Protection, SAS, Communication).</t>
  </si>
  <si>
    <t>Several mails has been sent to them requiring the FAT date Max by 1st of June</t>
  </si>
  <si>
    <t>Follow up with Vendor to confirm the final date of delivery of every item
SWGR Confirmed in June'25.
SST confirmed in Apr'25.</t>
  </si>
  <si>
    <t>Delayed in starting works in opening area such as SA, CT, GIB, Tunnels, 132KV Power transformer, Ducts</t>
  </si>
  <si>
    <t>Recovery Schedule for civil works to complete the works by Dec'2025.
Email Sent to resources department for required manpower.
Works started for gantries and tunnels between 132KV GIS Building and Control Building and 380KV to Control Building.</t>
  </si>
  <si>
    <t>Increase the manpower to expedite in finishing the remaining works and to mitigate the deviation in construction works.
Expedite to finishe the oigoing works in 5 tunnels between 132PT and SWGR buildings, pump house, security building, gantries, ducts, SA, CT.</t>
  </si>
  <si>
    <t>PM/SM</t>
  </si>
  <si>
    <t>Major scope of cutting required for many work packages (such as: ducts, equipment foundation, gantries foundations)
reuired to increase the excavation resources (excavator and dump trucks) to complete this scope which affect the subsequent activities</t>
  </si>
  <si>
    <t>Increase the excavation resources (excavator and dump trucks) to complete this scope which affect the subsequent activities</t>
  </si>
  <si>
    <t>Scope of backfilliing in substation is very huge around 540,000 M3 which need individual plan and daily follow up.</t>
  </si>
  <si>
    <t>We have tried to increase the S/C but the samples rejected from the consultant.
Plan for backfilling already completed and shared with site team.</t>
  </si>
  <si>
    <t>PO need to be issued for new S/C to accelerate the backfilling works on site to mitigate and to avoid any further delays .</t>
  </si>
  <si>
    <t>Delayed of approval of GLO which impacted the consequences submittals of civil drawings.​</t>
  </si>
  <si>
    <t>Rev.0 Submitted on 27 May 2024 and we got approval on Rev.05 on 25 Nov 2024.
Many reminders sent through email to the client to expedite in get the approvals.</t>
  </si>
  <si>
    <t>To accelerate the civil works in the site to mitigate the design delay.​</t>
  </si>
  <si>
    <t>Schedule.
6 Months</t>
  </si>
  <si>
    <t>Delay in approval of change order. (Affect manufacturing of 132KV GIS, SA, CT &amp; 132KV Gantry).
Status: Rejected.</t>
  </si>
  <si>
    <t>Letter has been sent to the client on 31 Jul 2024 for additional scop as per amend.01_x000B_Another letter sent to the client regarding the delay in response to the change order on 14 Oct 2024</t>
  </si>
  <si>
    <t>Engineering</t>
  </si>
  <si>
    <t>Approved design for site slope (1:4) make the slope protection exceed the contractual site borders limit
Alfanar sent a proposal to SE requesting to change the side slpoe (to be 1:1 instead of 1:4)
SE not responding to the proposed solution which affect completion of the remaining backfilling works and subsequent landscape activities</t>
  </si>
  <si>
    <t>Alfanar sent a proposal to SE requesting to change the side slpoe (to be 1:1 instead of 1:4)</t>
  </si>
  <si>
    <t>SE to expedite approval of Alfanar proposal to complete the remaining backfilling quantities</t>
  </si>
  <si>
    <t>The existing locations of GIB wall openings in JRP substation (for GIS 380 KV expansion) are not matching with the GIB sizing of the delivered GIS materials
GE (GIS supplier) requested to make modifications for wall opening to be matched with the sizing of the delivered GIB materials
The Engineering approval / Permits to make the wall opening modifications are delayed by SE conerned departments which delay wall opening modifications
Also, GE reject to start installation GIS 380 KV (1 dia. expansion) till completion of all civil work (wall openings) to ensure dust-free</t>
  </si>
  <si>
    <t>PM is following up with SE concerned departments to provide work permits to start working for the wall openings</t>
  </si>
  <si>
    <t>SE to expedite providing work permits to start working for the wall openings</t>
  </si>
  <si>
    <t>Enginnering was approved by SE engineering department. However, SE maintenace department rejected to give a permit to Alfanar to start working requesting further engineering details</t>
  </si>
  <si>
    <t>Materials storage locations</t>
  </si>
  <si>
    <t>The current locations of Materials storage, Rest rooms, Workshops affect working / completion of the following activities:
- Completion of Backfilling
- Base course works
- Completion of Curbs
- Asphalt works</t>
  </si>
  <si>
    <t>*A new temproray storage outside the boundary walls shall be constructed to shift the materials inside it.
*A new mobilization plan shall be prepared to shift the stored materials, workshops, rest rooms to other areas to open works for pending civil activities</t>
  </si>
  <si>
    <t>PM/Site Manager to expedite construction of the new temporary storage and make new mobilization for stored materials, rest rooms and workshops to open works for the remaining civil activities</t>
  </si>
  <si>
    <t>Delay completion of Power Transformers 380 KV testing works</t>
  </si>
  <si>
    <t>Delay completion of Power Transformers 380 KV testing works which Affect GIS 380KV Outdoor GIB termination which affects completion of GIS 380KV installation and commissioning</t>
  </si>
  <si>
    <t>PM contacted the supplier (Hysong) to find a solution for this isuue, they sent specialist engineer at site 22-Aug-26 to find solution</t>
  </si>
  <si>
    <t>PM/Site Manager to coordinate with Hysong and Alfanar T&amp;C to find a solution for the technical issue with power transformers 380KV</t>
  </si>
  <si>
    <t>PE-275</t>
  </si>
  <si>
    <t>DIRIYA GATE-2 BSP 9080 - 380/132/13.8KV</t>
  </si>
  <si>
    <t>Amin Mohammed</t>
  </si>
  <si>
    <t>Submission FAT report of 132KV GIS on Hold - Hitachi not complied SEC-inspector comments on FAT,  by not submitting the Routine Test Repots for all GIS Bays.
Hitachi Telecom - Awaited DDF approval</t>
  </si>
  <si>
    <t xml:space="preserve">ALF PM has already instructed the supplier to send all reports via email with SEC comments incorporated and complying the comments from SEC related to ITP of DDF </t>
  </si>
  <si>
    <t>Supplier to confirm the availability of materials for balance bays, and also need to comply with SEC comments and to comply with the comments from SEC related to DDF panel and commitment letter, (HITACHI shall provide the commitment letter as requested by SEC for approval of ITP.)</t>
  </si>
  <si>
    <t xml:space="preserve">PO issued by Alfanar. </t>
  </si>
  <si>
    <t>PE-287</t>
  </si>
  <si>
    <t>Exp. of YCNT BSP for Power to Neom</t>
  </si>
  <si>
    <t>Zohaib Iqbal</t>
  </si>
  <si>
    <t>2 Nos GIS breakers damaged due to heavy wind (Fell down, no major damage).</t>
  </si>
  <si>
    <t xml:space="preserve">Need to close the issues with GE Team, Breakers are sent to France Factory to get the repaired materials expected Repaired materials delivery by End of Sep-26.
</t>
  </si>
  <si>
    <t>Follow up with GE to sort out the issue of breakers, to avoid 
delay in remaining 2 breakers material delivery.</t>
  </si>
  <si>
    <t>PE-241</t>
  </si>
  <si>
    <t>Expansion of Existing Yanbu Central (YCNT) 380KV BSP, Umluj North (UMN) 380KV BSP and Al-Wajh (WJH) 380KV BSP – (PHASE-I)</t>
  </si>
  <si>
    <t xml:space="preserve"> Alwajh: Swapping of existing reactors (40MVAR to 80MVAR) pending, Target - Depends on OHTL Readiness.
</t>
  </si>
  <si>
    <t xml:space="preserve">SEC has informed that shutdown will be given after completion of OHTL by other contractor
</t>
  </si>
  <si>
    <t xml:space="preserve">To expedite the readiness of OHTLs by other contractors
</t>
  </si>
  <si>
    <t xml:space="preserve">Expansion of Existing Yanbu Central (YCNT) 380KV BSP, Umluj North (UMN) 380KV BSP and Al-Wajh (WJH) 380KV BSP – (PHASE-I)
</t>
  </si>
  <si>
    <t xml:space="preserve"> Umluj: Swapping of existing reactors (40MVAR to 80MVAR) pending, Target - Depends on OHTL Readiness.
</t>
  </si>
  <si>
    <t xml:space="preserve">Commissioning activities are in progress  with CSD (YCNT)
</t>
  </si>
  <si>
    <t xml:space="preserve">Request has been submitted to SEC-PDC to arrange CSD to start commissioning at Yanbu. 
</t>
  </si>
  <si>
    <t xml:space="preserve">To expedite T&amp;C activities
</t>
  </si>
  <si>
    <t>PE-301</t>
  </si>
  <si>
    <t>Expansion of Mowaih PV 380kV BSP</t>
  </si>
  <si>
    <t>Ahmed Aboelsoued</t>
  </si>
  <si>
    <t>Hyosung</t>
  </si>
  <si>
    <t>Delay in Power transformer</t>
  </si>
  <si>
    <t>After continuous follow-up, Hyosung has improved the delivery date from 1st November 2025 to 25th August 2025.</t>
  </si>
  <si>
    <t>As committed,Hyosung should deliver the Power transformer by 25th Aug'25.</t>
  </si>
  <si>
    <t>2 months schedule impact</t>
  </si>
  <si>
    <r>
      <rPr>
        <sz val="11"/>
        <color rgb="FFFF0000"/>
        <rFont val="Aptos Narrow"/>
        <family val="2"/>
      </rPr>
      <t xml:space="preserve"> Hitachi-Expected delivery for 110KV GIS/380KV GIB is 27-Nov-25 which 
</t>
    </r>
    <r>
      <rPr>
        <sz val="11"/>
        <color rgb="FF000000"/>
        <rFont val="Aptos Narrow"/>
        <family val="2"/>
      </rPr>
      <t>doesn’t align with contractual TCC date 16th Oct 25</t>
    </r>
  </si>
  <si>
    <t>Continous follow ups mails and weekly meetings with Hitachi and SEC to improvise the date.</t>
  </si>
  <si>
    <t>We have requested SEC intervention to expedite the delivery.</t>
  </si>
  <si>
    <t>6 months schedule impact</t>
  </si>
  <si>
    <t>"P.O issued on (5th Nov 24). (LOA signed on 6th Oct 24) Delivery 12 months from LOA signed date as per P.O delivery by 30 Sep 25. But Hitachi confirmed the delivery on 27th Nov'25.</t>
  </si>
  <si>
    <t>3 months schedule impact</t>
  </si>
  <si>
    <t xml:space="preserve"> Alfanar AES Meeting Updated Tracker Status 30th Jun 25.xlsx</t>
  </si>
  <si>
    <t>Trench</t>
  </si>
  <si>
    <t>Delay in Free standing Current Transformer-Expected delivery is 30th Nov'25.</t>
  </si>
  <si>
    <r>
      <rPr>
        <sz val="11"/>
        <color rgb="FF000000"/>
        <rFont val="Calibri"/>
        <family val="2"/>
      </rPr>
      <t>As per PO,6-5 Months from GAFM.FAT date is 30</t>
    </r>
    <r>
      <rPr>
        <vertAlign val="superscript"/>
        <sz val="11"/>
        <color rgb="FF000000"/>
        <rFont val="Calibri"/>
        <family val="2"/>
      </rPr>
      <t>th</t>
    </r>
    <r>
      <rPr>
        <sz val="11"/>
        <color rgb="FF000000"/>
        <rFont val="Calibri"/>
        <family val="2"/>
      </rPr>
      <t xml:space="preserve"> Oct’25 and expected delivery date is 30th Nov'25.</t>
    </r>
  </si>
  <si>
    <t>Trench should deliver the material before Aug'25.</t>
  </si>
  <si>
    <t>4 months schedule impact</t>
  </si>
  <si>
    <t>Tridelta</t>
  </si>
  <si>
    <t>Delay in Surge Arrestor</t>
  </si>
  <si>
    <r>
      <rPr>
        <sz val="11"/>
        <color rgb="FF000000"/>
        <rFont val="Aptos Narrow"/>
        <family val="2"/>
        <scheme val="minor"/>
      </rPr>
      <t>As per PO,6 Months from GAFM.FAT date is 30</t>
    </r>
    <r>
      <rPr>
        <vertAlign val="superscript"/>
        <sz val="11"/>
        <color rgb="FF000000"/>
        <rFont val="Calibri"/>
        <family val="2"/>
      </rPr>
      <t>th</t>
    </r>
    <r>
      <rPr>
        <sz val="11"/>
        <color rgb="FF000000"/>
        <rFont val="Calibri"/>
        <family val="2"/>
      </rPr>
      <t xml:space="preserve"> Aug’25 and delivery date not yet confirmed from TRI Delta.</t>
    </r>
  </si>
  <si>
    <t>Tri Delta should deliver the material before Aug'25.</t>
  </si>
  <si>
    <t xml:space="preserve"> 2 months schedule impact</t>
  </si>
  <si>
    <t>PE-314</t>
  </si>
  <si>
    <t xml:space="preserve">Expansion of Tabuk BSP &amp; Duba BSP </t>
  </si>
  <si>
    <t>Delivery of GIS 380KV, 3150A, GIB &amp; HGIS (2nos) at Tabuk  &amp; 380KV GIB at Duba</t>
  </si>
  <si>
    <t>Email communication and followup with Hitachi team to expedite the delivery</t>
  </si>
  <si>
    <t>All materials delivered</t>
  </si>
  <si>
    <t>"P.O issued on (26th Sep 24). (LOA signed on 28-Feb-24) Delivery 14 months from LOA signed date, as per P.O delivery by 23rd Apr 24. Delivery to be expedited.</t>
  </si>
  <si>
    <t>Tabuk BSP: 380kV GIB Foundation Excavation/Construction works was on hold at Tabuk BSP due to Civil works rectification being done by M/s TAQAA. Alfanar activity was on hold since 16-Apr-2025 and finally allowed by SEC on 24-May-2025.</t>
  </si>
  <si>
    <t>Regular followup with SEC for clearance and Zone 2 Clearance received on 24-May-25</t>
  </si>
  <si>
    <t>Current status: Zone 1 &amp; Zone 2 &amp; 3 also completed (except 1LCLM Foundation)</t>
  </si>
  <si>
    <t xml:space="preserve">Schedule Impact </t>
  </si>
  <si>
    <t xml:space="preserve">Firefighting Materials Technical submittal finalization to be expedited </t>
  </si>
  <si>
    <t>Material submittal comments received from SEC, addressed to Vendor for compliance. Resubmitted and approved</t>
  </si>
  <si>
    <t xml:space="preserve">All materials delivered </t>
  </si>
  <si>
    <t>PO issued on 03-Feb-2025. FIRE DETECTION AND FIRE ALARM SYSTEM DEVICES - 12-14 weeks from GAFM. PORTABLE FIRE EXTINGUISHERS - 18-20 Weeks from GAFM;</t>
  </si>
  <si>
    <t>Surge Arrestor ITP Finalization &amp; FAT to be confirmed</t>
  </si>
  <si>
    <t>ITP Approved and FAT Completed</t>
  </si>
  <si>
    <t>SA Delivered on 11-Oct-25</t>
  </si>
  <si>
    <t>PO issued on 19-Dec-2024. Delivery is 15 Weeks from the issuance date of GAFM</t>
  </si>
  <si>
    <t>1) Tabuk BSP: C02 Dia. &amp; C10 Dia. Energization to be targetted before end of July’26 as per Revised baseline schedule.
2) Duba BSP: Outage requested from SE for C5 Dia.  &amp; given on 30-Apr-26, as per EOT-01 Energization target is 30-Nov-26.</t>
  </si>
  <si>
    <t xml:space="preserve">1) Tabuk BSP: C02 Dia: OLT &amp; CLT completed. Outage for BB coupling submitted to SE. C10 Dia:  1st Operation completed. 
2) C5 Dia. Outage given from SE on 30-Apr-26. </t>
  </si>
  <si>
    <t>1) Tabuk BSP: C02 Dia. SE informed outage will not be received during current season due to peak load. Expected outage will be around Sep’26, awaiting from SE.
2) Duba BSP: Foundation Raft completed for Line reactor and Fire wall.
Civil Work completion expected 30-Aug-26 and energization to be achieved 30-Nov-26 as per EOT-01</t>
  </si>
  <si>
    <t>Nil</t>
  </si>
  <si>
    <t>PE-266</t>
  </si>
  <si>
    <t>EXT. OF THE EXIS. THAGEF &amp;ADAM</t>
  </si>
  <si>
    <t xml:space="preserve">Mahmoud Sobhy
</t>
  </si>
  <si>
    <t>Delayed MIMIC Control Panel, Prolonged Design cycle (Detailed design Under Approval) Tentative Delivery by Sep-26</t>
  </si>
  <si>
    <t>Base Design approved and GAFM issued.
Multiple letters, emails, and coordination meetings held requesting Detailed Design, FAT schedule, and delivery commitment.</t>
  </si>
  <si>
    <t>Awaiting DD comment compliance. Tentative delivery by Sep-26, Confirmation awaited from AES after approval</t>
  </si>
  <si>
    <t>ADAM &amp; THAGEEF DAR Submittal Tracking.xlsx</t>
  </si>
  <si>
    <t>PO Issued &amp; Base design Approved</t>
  </si>
  <si>
    <t>Missing BCU units for ADAM LCC (Hyundai), Provided by AES (Purchased from SIEMENS)</t>
  </si>
  <si>
    <t>Coordination meetings with AES and previously confirmed delivery by May-26</t>
  </si>
  <si>
    <t>Siemens delivery delayed every time, delivery expected end of Aug-26. AES to expedite the delivery by Jul-26.</t>
  </si>
  <si>
    <t>Delay in delivery of  LTCB, ITP and FAT pending , no Update on FAT and delivery of the LTCB.</t>
  </si>
  <si>
    <t>E-mails and follow up is made with hitachi for the delivery</t>
  </si>
  <si>
    <t>Hitachi need to finalise ITP approval and FAT date to be issued, need material delivery by May-25.As per p.o terms delivery by 19th Nov 24.</t>
  </si>
  <si>
    <t>"P.O issued on ( 2 Oct 23). (GAFM date by 14th May 24) Delivery 27 weeks from GAFM , as per P.O delivery by  19-Nov-24. Delivery to be expedited.ITP is submitted</t>
  </si>
  <si>
    <t>PE-290</t>
  </si>
  <si>
    <t>Fadelah 110/13.8KV SS - JEDDAH</t>
  </si>
  <si>
    <t xml:space="preserve">Khaled Abdelaty
</t>
  </si>
  <si>
    <t>Modon GIS extension bays (Shutdown -Relay setting )
AMI integration with WRCC</t>
  </si>
  <si>
    <t>Following with SEC</t>
  </si>
  <si>
    <t>PE-291</t>
  </si>
  <si>
    <t>HAMRA AL ASAD 110/13.8 KV SUB</t>
  </si>
  <si>
    <t>Mohamed Omar</t>
  </si>
  <si>
    <t>Interface mark-up drawings &amp; Cable Termination schedules for SWGR panels</t>
  </si>
  <si>
    <t>Matter is being higlighted to Alfanar &amp; DAR management by PM to close on priority</t>
  </si>
  <si>
    <t>DAR needs to provide by 17 april 2025</t>
  </si>
  <si>
    <t xml:space="preserve">One month impact </t>
  </si>
  <si>
    <t xml:space="preserve">AES FAT delayed for: 
**lighting panel  - FAT date not yet confirmed. (BD approved in ststus B on 18th Dec-24). and revise submittal is submitted to SEC for approval.( Detail Design in status C and revise submittal submit to client for approval)
**DC-DC converter  - FAT date not yet confirmed. (DC Sizing Calculation and technical submittal is approved in status A)
**IP TELEPHONY - FAT date not yet confirmed. ( Tecnhincal submittal is approved in status B revise submittal is submitted to SEC for approval)
**110KV Sync Trolley- FAT date not confirmed. ( Technical submittal is not provided by AES) 
</t>
  </si>
  <si>
    <t>Matter highlighted to AES team to ensure timley FAT as well as delivery</t>
  </si>
  <si>
    <t>DC-DC converter - FAT date confirmed as 14th Jul 25. Expected delivery by end of July.
IP TELEPHONY - FAT date confirmed as 14th Jul 25. Expected delivery by end of July.</t>
  </si>
  <si>
    <t>PE-324</t>
  </si>
  <si>
    <t>HVDC OHTL</t>
  </si>
  <si>
    <t>Ahmed Radwan</t>
  </si>
  <si>
    <t>Resignation of the high expert dedidcated design Engineer  Farhan from DAR affecting design submission and  Qualatiy</t>
  </si>
  <si>
    <t xml:space="preserve">Issue Escalated to Alfanar Top managment and advised to negotiate with the engineer to work remotely  </t>
  </si>
  <si>
    <t xml:space="preserve">Negotiation Completed with the Engineer and work resumed </t>
  </si>
  <si>
    <t>Delay in tower E base design review by PMO</t>
  </si>
  <si>
    <t>Notice to EOT due to delay in design review to be sent to SEC</t>
  </si>
  <si>
    <t>Tower Type E Base design Approved code B</t>
  </si>
  <si>
    <t>Delay in Plan and profile Portion 1 &amp; 2 submission due to special Crossing</t>
  </si>
  <si>
    <t>The remaining length will be submitted for approval be the end of the current week (i.e. 19-Jun-25).Special crossing issues escalated to SEC, proposal prepared by Alfanar and awaiting SEC's response.</t>
  </si>
  <si>
    <t>Project team to keep following with SEC</t>
  </si>
  <si>
    <t>Al Babain</t>
  </si>
  <si>
    <t>Delay in Tension Towers design and Testing by M/s Al Babtin</t>
  </si>
  <si>
    <t>1.Remaining Base design for tension tower will be submitted this week, for final tower design is awaiting from M/s Al Babtin.
2.Tension tower Type E will be tested on 23 july 2025, for remaining towers  testing date is beyound the plan date, mitigation with testing team to be carried out. without dependencies on testing all angle towers, tension towers MFC Released.</t>
  </si>
  <si>
    <t xml:space="preserve">Project team to keep following with Albabtin to receive the enhancement of design and delivery. </t>
  </si>
  <si>
    <t>ZECK</t>
  </si>
  <si>
    <t>delivery date on the quotation of 2nd set of Puller and tension machine not matching with project requirment</t>
  </si>
  <si>
    <t>Negotiation ongoing witn supplier and meeting on conduct on 9 April and waiting for final offer by friday 12 April</t>
  </si>
  <si>
    <t>PO issued as per project requiments</t>
  </si>
  <si>
    <t xml:space="preserve">Sawaed AL Ezz </t>
  </si>
  <si>
    <t>Acceess road subcontractor Sawaed AL Ezz  no machines had been mobilized at site</t>
  </si>
  <si>
    <t>Issue escalated to top Management for advice, Agreed to cancel the PO and arrange another subcontract to attack the work</t>
  </si>
  <si>
    <t>PO already issed for M/s M/s Khalid Alswat and started the works and another PO with M/s talal under process</t>
  </si>
  <si>
    <t>Foundations Concrete casting stopped due to Supplier price escalation 200%</t>
  </si>
  <si>
    <t>Issue escalated to top Management for advice, Agreed to Rent concrete pump and mixers and supply concrete from the vendor as ex stock for alt lest 3-4 Months till the construction of new batch plant by M/s Al-Arabiya</t>
  </si>
  <si>
    <t>Project team to keep following applying new proposal</t>
  </si>
  <si>
    <t>Top Managment/PM</t>
  </si>
  <si>
    <t>Budget shortfall for Towers Erection Works</t>
  </si>
  <si>
    <t>Issue escalated to top Management for advice, agreed for Stringing sub contarctors offers to be collected to check the overall installtaion budget then, meeting required to define the resonable traget price for towers erection works</t>
  </si>
  <si>
    <t>Project team to collect the Stringing sub contarctors offers  to check the overall installtaion budget</t>
  </si>
  <si>
    <t>Delay the delivery of steel plates which used to connect the tower element together</t>
  </si>
  <si>
    <t xml:space="preserve">Issue eslation to M/s Albabtin Top Management to supplort to accelerate the delivery of the plates to allow the site team starting the erection the tower </t>
  </si>
  <si>
    <t xml:space="preserve">Project team to keep following with Albabtin to receive the Material at the site </t>
  </si>
  <si>
    <t>PE-282</t>
  </si>
  <si>
    <t>Installation of 2X25 MVAR 33KV STATCOM Mikhwah</t>
  </si>
  <si>
    <t>Variation in Auxillary Transformer ratings in the remote end (existing one), so changes for AC Auxillary system for STATCOM installation with 33KV RMUs (2 Nos).</t>
  </si>
  <si>
    <t>Several coordination meetings were held with SEC, and a change order was proposed and submitted on 31 December 2024. A discount request letter was received from SEC on 5 March 2025, and, following the tender team's advice, we have responded and reminded them continuously and now we completed Energization and TCC certificate is obtained but still change order is not accepted.</t>
  </si>
  <si>
    <t>Full support from the client is essential to secure approval to start activities at site. Multiple follow-ups have been made to expedite the approval process.</t>
  </si>
  <si>
    <t>Continous Delay in Delivery of STATCOM from the Vendor (M/s. ETS)</t>
  </si>
  <si>
    <t>Despite multiple coordination meetings between the PM and Portfolio Manager with the vendor—held in the presence of SEC—the vendor continued to postpone. They have now finally committed to a delivery by the end of September 2025 but delivered on 21st Nov'25. However, this significant delay already impacted our TCC</t>
  </si>
  <si>
    <t>We request full backing from management and recommend initiating legal proceedings against the vendor for the extensive delay</t>
  </si>
  <si>
    <t>M/s. ETS</t>
  </si>
  <si>
    <t>03 Months</t>
  </si>
  <si>
    <t>Work stopped due to the non issuance of LOA permit and the excavation permit being closed on several times and it impacted on civil works in site</t>
  </si>
  <si>
    <t>Several calls &amp; letters and emails  to our client to support regarding the same</t>
  </si>
  <si>
    <t xml:space="preserve">Full support shall be provided from our client regarding this issue and clear step opening the LOA shall be cleared during civil and electrical work </t>
  </si>
  <si>
    <t>3 Months</t>
  </si>
  <si>
    <t xml:space="preserve">Issue still affecting our project progress </t>
  </si>
  <si>
    <t>Delay in Excavation work due to presence of existing power cables under ground</t>
  </si>
  <si>
    <t xml:space="preserve">Manual excavation was followed on the areas where existing power cables are present and other areas machineries are used </t>
  </si>
  <si>
    <t xml:space="preserve">Full support is required from the client in this regards in approval LOA and opening it from AMD side also for  accepting outage requested for medium voltage cables in STATCOM area </t>
  </si>
  <si>
    <t>Delay in finalization of Statcom PO because of vendor and causes delay in GAFM for nearly 04 months</t>
  </si>
  <si>
    <r>
      <t>After frequent follow ups &amp; meeting with the Vendor M/s. ETS, GAFM was finalized and FAT on 2</t>
    </r>
    <r>
      <rPr>
        <vertAlign val="superscript"/>
        <sz val="11"/>
        <color rgb="FF000000"/>
        <rFont val="Aptos Display"/>
        <family val="2"/>
      </rPr>
      <t>nd</t>
    </r>
    <r>
      <rPr>
        <sz val="11"/>
        <color rgb="FF000000"/>
        <rFont val="Aptos Display"/>
        <family val="2"/>
      </rPr>
      <t xml:space="preserve"> week of April &amp; delivery shall be within 7-8 weeks </t>
    </r>
  </si>
  <si>
    <t>High Supervision with Supplier to enhance the delivery date as much as possible.</t>
  </si>
  <si>
    <t>Design Calculation and Layout of Cable ducts ,Trenches &amp; manholes</t>
  </si>
  <si>
    <t>Frequent follow ups SEC to get complete design Approval .</t>
  </si>
  <si>
    <t xml:space="preserve">Frequent follow up with SEC to get complete design Approval from EDD and AMD sides </t>
  </si>
  <si>
    <t>2 Months</t>
  </si>
  <si>
    <t>PE-300</t>
  </si>
  <si>
    <t>INSTALLATION OF STATCOM ±300MVAR AT Sultana 380 kV BSP #9026 and ESHBILEYIAH BSP #9038</t>
  </si>
  <si>
    <t>Ibrahim Jaradat</t>
  </si>
  <si>
    <t>Potential delay in FAT by Hitachi Energy (Sweden). -(Delivery under NR Scope) Planned FAT- Sep'25
FAT commitment as per latest mail- May'26</t>
  </si>
  <si>
    <t xml:space="preserve">ALF Project Manager has communicated with the supplier to reduce the manufacturing duration and is also in discussions with SEC </t>
  </si>
  <si>
    <t>Supplier to reduce the manufacturing time line as per project planned timeline. SEC to ptovide approval for alternate supplier</t>
  </si>
  <si>
    <t>PO issued to NR</t>
  </si>
  <si>
    <t>PE-295</t>
  </si>
  <si>
    <t>Interconnection of AJM-1 (NEW AL JAMOOM) substation(SS) with AJM-2 SS</t>
  </si>
  <si>
    <t xml:space="preserve">Shut down required for installation of new GIS bay
</t>
  </si>
  <si>
    <t xml:space="preserve">Follow up with sec
</t>
  </si>
  <si>
    <t xml:space="preserve">Required Shutdown
</t>
  </si>
  <si>
    <t>PE-246</t>
  </si>
  <si>
    <t xml:space="preserve">Interconnection of Um Al Joud BSP
</t>
  </si>
  <si>
    <t>Moblization of resources After Hajj Permit</t>
  </si>
  <si>
    <t>Alfanar is continuously tracking for moblization of resouces. Expected of completion by 30-Jun-25</t>
  </si>
  <si>
    <t>Alfanar need to start the as soon as moblization of sub-contractor to start the remaining work.</t>
  </si>
  <si>
    <t>RD/PM</t>
  </si>
  <si>
    <t>Non-Readiness of Remote End Substation i.e. Rusaifa &amp; Fahya.</t>
  </si>
  <si>
    <t>Letter sent to SEC for confirmation on remote end Substation readiness</t>
  </si>
  <si>
    <t xml:space="preserve">Follow up with SEC is ongoing for readiness confirmation of Remote End Substation
</t>
  </si>
  <si>
    <t xml:space="preserve">Designs Pending for Submission &amp; Approval </t>
  </si>
  <si>
    <t>1. SCADA Point List for Remote End
2. Remote End Modification
3. Protection Relay List
Above mentioned Designs noticed pending for submission &amp; Approval.</t>
  </si>
  <si>
    <t>Project Team to expedite the submission &amp; Approval of above mentioned Design to start the work at Remote Ends.</t>
  </si>
  <si>
    <t>Non-Confrimation on Protection System &amp; Delivery for remote end</t>
  </si>
  <si>
    <t>Clear picture is still not there for Protection Scope New &amp; Existing for Remote Ends. Under discussion with SEC is ongoing to finalize the same.</t>
  </si>
  <si>
    <t>Project team need to finalize the scope of Protection for remote end as well as existing remote end drawings require to finalize the modification work. If Alfanar will go for new Protection panel procurement, will take delivery 4 to 5 months from GAFM issuance which leads to project delay.</t>
  </si>
  <si>
    <t>Final Lot Power Cable pending for delivery</t>
  </si>
  <si>
    <t>80% Power Cable delivered remaining 20% GAFM GAFM for final lot issued on 23-Apr-24. FAT confrimed on 31-Jul-25. Expected delivery by 10-Aug-25</t>
  </si>
  <si>
    <t>Vendor need to push for ontime delivery of material</t>
  </si>
  <si>
    <t>Delivery of Power Cable Terminations</t>
  </si>
  <si>
    <t>Fat done on 15-May-25. RFSP issued on 25-Jun-25. FAT done on 25-Jun-25. Waiting for LC confrimation from supplier &amp; Shippment confrimation is pending</t>
  </si>
  <si>
    <t>Project Team to focus on LC clearence from Supplier &amp; Required Material tracking for ontime delivery</t>
  </si>
  <si>
    <t>MEFC</t>
  </si>
  <si>
    <t xml:space="preserve"> Delivery of  FOC Cables</t>
  </si>
  <si>
    <t>GAFM issued on 22-May-25 . After continous followup FAT for FOC cable is confirmed on 27, 28 &amp; 29-Jul-25. Expected Delivery by 10-Aug-25</t>
  </si>
  <si>
    <t>PE-332</t>
  </si>
  <si>
    <t>Mahad OHTL</t>
  </si>
  <si>
    <t>Changing in the Route Map received on 27 March 25</t>
  </si>
  <si>
    <t>Noticed  Official letter for Extension of Time</t>
  </si>
  <si>
    <t>Notice of Right to Extension of Time Due to Change in OHTL Route.pdf</t>
  </si>
  <si>
    <t>Delay in PO Issuance of Hardware Fittings</t>
  </si>
  <si>
    <t xml:space="preserve">PR and DPO has been issued </t>
  </si>
  <si>
    <t>Waiting for Revised Quatation from Supplier
(SCD to follow up with the supplier for getting an revised quatation)</t>
  </si>
  <si>
    <t>AJEC</t>
  </si>
  <si>
    <t>Slow Performace in submission of Design by AJEC</t>
  </si>
  <si>
    <t>Reminder Mails have been sent to AJEC</t>
  </si>
  <si>
    <t xml:space="preserve">Continous Follow-Up with AJEC to Expedite and Submit quality design for Approval
</t>
  </si>
  <si>
    <t>Delay in Starting of Access Road (The Safety Officer has not yet approved by SEC to begin work on the Access Road)</t>
  </si>
  <si>
    <t>Issue escalted to Alfanar Safety Dept to Provide Safety officer CV</t>
  </si>
  <si>
    <t>Waiting for an additional Safety Officer CV from the HSE Department</t>
  </si>
  <si>
    <t>HSE Dept</t>
  </si>
  <si>
    <t>yes</t>
  </si>
  <si>
    <t>RE_ Approval request of safety officer - Mr_ Saboor Mehmood for the project Construction of 110 KV OHTL in ALMAHD City - CN_ 2556524243.msg</t>
  </si>
  <si>
    <t>Delay in Soil Investigation, Access Road, Structure Pad and Foundation works (All these delay cause of Plan &amp; Profile So Plan and Profile Rev-01 Submitted on 03-Jul-25 Currently under review with SEC)</t>
  </si>
  <si>
    <t>Official lette has been issued to SEC to expedite the Review and Response Process in order to Avoid the Delay for Further design Submittals</t>
  </si>
  <si>
    <t>Project Manager Need to continue follow-up with SEC to obtain the approval for Plan &amp; Profile as remaining major submittals depend on the Plan &amp; Profile</t>
  </si>
  <si>
    <t>https://alfanargroup-my.sharepoint.com/:b:/g/personal/irfan_shaik_alfanar_com/ER1IOH0knxxBjUXWXiNadzIBAsDhmphD04M5MR357SFZeg?e=xl2Iqu</t>
  </si>
  <si>
    <t>Decripancy in SAP issue</t>
  </si>
  <si>
    <t>Official lette has been issued to SEC for solving of descripancy in SAP issue in contract value, In-order to submit the Invoices</t>
  </si>
  <si>
    <t>PE-257</t>
  </si>
  <si>
    <t>MAHD 380KV BSP</t>
  </si>
  <si>
    <t>SEC outages issues delayed the energization of the S.S</t>
  </si>
  <si>
    <t xml:space="preserve">EOT-2 Submitted on 25th Feb 25 TCC till 30/10/2025  and approved by SECon 24th Feb 25, Due to Outage issues by client. </t>
  </si>
  <si>
    <t>Need outage clearance from SEC to commence the final termination and energization works</t>
  </si>
  <si>
    <t>SEC/PM/RM</t>
  </si>
  <si>
    <t>PE-263</t>
  </si>
  <si>
    <t>MOWAIH PV 380/110V BSP</t>
  </si>
  <si>
    <t xml:space="preserve">Ahmed Aboelseoud </t>
  </si>
  <si>
    <t>ACDC  Panel</t>
  </si>
  <si>
    <t>Follow-up ongoing with AES for remaining 3 lighting panels &amp; 1 DC power panel.</t>
  </si>
  <si>
    <t>AES should deliver the remaining panel by 20th July'25.</t>
  </si>
  <si>
    <t>E-Techs</t>
  </si>
  <si>
    <t>HCIS system delivery is pending due to the ISD approval delay.</t>
  </si>
  <si>
    <t>Continuous meetings &amp; follow ups are being held to get the design approval and to accelerate the manufacturing &amp; FAT date.</t>
  </si>
  <si>
    <t>Delivery date will be confirmed once ISD approval done.</t>
  </si>
  <si>
    <t>2 month impact</t>
  </si>
  <si>
    <t>Delivery of Surge Arrestor</t>
  </si>
  <si>
    <t>Material under shipment and will be deliver by 20th July'25.</t>
  </si>
  <si>
    <t>As committed,Surge Arrestor should deliver the material by 20th July'25.</t>
  </si>
  <si>
    <t>MSCL</t>
  </si>
  <si>
    <t>Delivery of Ventilation Fans</t>
  </si>
  <si>
    <r>
      <rPr>
        <sz val="11"/>
        <color rgb="FF000000"/>
        <rFont val="Aptos Narrow"/>
        <family val="2"/>
      </rPr>
      <t>Shipment will start by 1</t>
    </r>
    <r>
      <rPr>
        <vertAlign val="superscript"/>
        <sz val="11"/>
        <color rgb="FF000000"/>
        <rFont val="Aptos Narrow"/>
        <family val="2"/>
      </rPr>
      <t>st</t>
    </r>
    <r>
      <rPr>
        <sz val="11"/>
        <color rgb="FF000000"/>
        <rFont val="Aptos Narrow"/>
        <family val="2"/>
      </rPr>
      <t xml:space="preserve"> week of July’25 but expected delivery will be 15th Aug'25.</t>
    </r>
  </si>
  <si>
    <t>Ventilation fans are already is in delay but should deliver by 15th Aug'25 as committed.</t>
  </si>
  <si>
    <t>one month impact</t>
  </si>
  <si>
    <t>Delivery of SAS</t>
  </si>
  <si>
    <r>
      <t>FAT is Completed on 23</t>
    </r>
    <r>
      <rPr>
        <vertAlign val="superscript"/>
        <sz val="11"/>
        <color rgb="FF000000"/>
        <rFont val="Aptos Narrow"/>
        <family val="2"/>
        <charset val="1"/>
      </rPr>
      <t>rd</t>
    </r>
    <r>
      <rPr>
        <sz val="11"/>
        <color rgb="FF000000"/>
        <rFont val="Aptos Narrow"/>
        <family val="2"/>
        <charset val="1"/>
      </rPr>
      <t xml:space="preserve"> June’25.</t>
    </r>
  </si>
  <si>
    <t>AES should deliver the SAS by 10th July'25.</t>
  </si>
  <si>
    <t xml:space="preserve">5m high lighting pole &amp; CCTV pole foundation, Duct bank for lighting &amp; CCTV.Security building, guard room, Fence foundation, Toilet at main gate.
</t>
  </si>
  <si>
    <t>We have followed up with Bahraway and received the drawings for all HCIS civil-related works.We are only waiting for ISD approval.</t>
  </si>
  <si>
    <t>SEC should provide the ISD approval.</t>
  </si>
  <si>
    <t>AT&amp;C provided a 6 months schedule which beyonds the TCC schedule.</t>
  </si>
  <si>
    <t>AT&amp;C team provided a 6-month schedule from May 2025 to 20th October 2025. However, since the T&amp;C work actually started in July 2025, the revised completion is expected by 20th December 2025, which goes beyond the TCC schedule</t>
  </si>
  <si>
    <t>The AT&amp;C team should revise and submit a compressed 4-month schedule in order to meet the TCC target date</t>
  </si>
  <si>
    <t>PE-234</t>
  </si>
  <si>
    <t>Najran-2 BSP</t>
  </si>
  <si>
    <t>Ahmed Abdulhady</t>
  </si>
  <si>
    <t>Delay in approval of Shutdown Schedule for shifting of two-line reactors.</t>
  </si>
  <si>
    <t>Many emails sent to the client to get approval on the plan of shudown but not yet approved. 
Email sent to the client on 21 Feb 2024 for plan of shutdown.
Shifting of two line reactors from Najran university to Najran-2 is rejected by the client.</t>
  </si>
  <si>
    <t>Approval of shutdown required from the client to start shifting procedure.</t>
  </si>
  <si>
    <t>Schedule &amp; Cost</t>
  </si>
  <si>
    <t>4.2 Mill.
Not considered in tender budget.</t>
  </si>
  <si>
    <t>"Delay in approval of change order.
Supply and installation, T&amp;C for Power Transformer."</t>
  </si>
  <si>
    <t>Claim sent to the client on 30 Jul 2024.
Approved as time which new TCC date will be on 17 Nov 26, but change order still not approved</t>
  </si>
  <si>
    <t>Close follow up to get approval of change order.</t>
  </si>
  <si>
    <t>VO.
47 Mill.</t>
  </si>
  <si>
    <t>Delay in provide final setting for Protection.</t>
  </si>
  <si>
    <t>Email sent to the client on 31-Jul-2024 requesting final setting but not yet provided.
Many reminders already sent but still not yet provided.</t>
  </si>
  <si>
    <t>Support is required from client &amp; AES to close final setting issue</t>
  </si>
  <si>
    <t xml:space="preserve">Erection of towers not yet started due to shutdown . </t>
  </si>
  <si>
    <t>shutdown proposal submitted to the client for approval.
Missing tools already inditified and ordered from several projects.
Erection of towers started for two towers.</t>
  </si>
  <si>
    <t>Approval of shutdown proposal is required to start installation works.
We could start erection of two towers but due to missing stringing and rerction tools.
Two towers required shutdown to start working.</t>
  </si>
  <si>
    <t>Schedule</t>
  </si>
  <si>
    <t>Expedite Urgent delivery  of Resistor and Metrosil as per the mail sent to Mr. Hamzah Waqqad from AES.</t>
  </si>
  <si>
    <t>Email sent to AES to expedite in delivery of metrosil and resistor.</t>
  </si>
  <si>
    <t>Support in expedite the delivery of Resistor and Metrosil from AES.</t>
  </si>
  <si>
    <t>Scedule</t>
  </si>
  <si>
    <t>HV test ـJust which scheduled on 16 Feb 2025 and started on 15-Apr-2025.</t>
  </si>
  <si>
    <t>Email sent to the client on 16 Oct 2024 to coordinate with client and supplier to start HV test.
On 09 Feb 25 replied by cancelation of HV test and rescheduled by Apr’25</t>
  </si>
  <si>
    <t>Client and supplier must expedite in finishing HV test.</t>
  </si>
  <si>
    <t>Hitachi/SEC</t>
  </si>
  <si>
    <t>Schedule
2 Months</t>
  </si>
  <si>
    <t>320,000 SAR.
PO not yet issued.</t>
  </si>
  <si>
    <t>380HV test scheduled on 22 Feb 2025 and Hitachi cancelled and Hitachi requested to start in Mid of Apr-25 which is not started due to not available of machine for 380HV test and non availabity Hitachi supervisor.</t>
  </si>
  <si>
    <t>Email sent to the client on 16 Oct 2024 to coordinate with client and supplier to start HV test.
On 09 Feb 25 replied by cancelation of HV test and rescheduled on Apr’25.
 PO for 380KV HV test issued to Siemens.</t>
  </si>
  <si>
    <t>Force Siemense to mobilize the machines to site and Hitachi to confirm the availability of supervisor at site during the test.</t>
  </si>
  <si>
    <t>"Schedule
2 Months"</t>
  </si>
  <si>
    <t>PE-185</t>
  </si>
  <si>
    <t>NG Taif</t>
  </si>
  <si>
    <t>Hitachi supervisor need to mobilize for SISED</t>
  </si>
  <si>
    <t>Email communicated with Hitachi</t>
  </si>
  <si>
    <t>Need to mobilze the supervisor by May 25</t>
  </si>
  <si>
    <t>PE-320</t>
  </si>
  <si>
    <t>Power Supply to SHUQ  Water Pumping Stations</t>
  </si>
  <si>
    <t>Mr.Hany</t>
  </si>
  <si>
    <t>SWA</t>
  </si>
  <si>
    <t>work Suspended  at site due to delay of signing the contract</t>
  </si>
  <si>
    <t xml:space="preserve">Work at the site will slow down, but design activities will continue as normal.
</t>
  </si>
  <si>
    <t>Expediting contract signing</t>
  </si>
  <si>
    <t>AlFanar</t>
  </si>
  <si>
    <t>Cutting of 350,000 Cubic Meters in hard rock soil in AQB [PS2] 380 KV SS and Backfilling of 100,000 Cubic Meters</t>
  </si>
  <si>
    <t>1. It has been agreed to raise the levels by 5 meters.
2. Work started on site 05-Apr &amp; we will proceed with authority approval for Blasting  work if needed</t>
  </si>
  <si>
    <t>To Finalize the cutting max By End of June. (onhold)</t>
  </si>
  <si>
    <t>No Time Impact</t>
  </si>
  <si>
    <t>29 KM Access Road between PS2 &amp; PS3</t>
  </si>
  <si>
    <t>The road is very danger, it is a valley and we will paving the road before use it if needed</t>
  </si>
  <si>
    <t>2 shovel need to be purchased for road paving before use it. (onhold)</t>
  </si>
  <si>
    <t>4.5 KM Access Road between PS3 &amp; PS4</t>
  </si>
  <si>
    <t>Alfanar has proposed the use of a safe access road between PS3 and PS4 (4.5 KM) to reach PS3, instead of utilizing the existing route between PS2 and PS3, which passes through a valley and poses greater safety risks. 
in this scenario the access for PS3&amp; PS4 for Abha Side.</t>
  </si>
  <si>
    <t>A 7 cm asphalt layer is to be constructed for road paving. (onhold)</t>
  </si>
  <si>
    <t>SPTC Delivery duration for the 132 KV Transformers is 18 Month after Base Design Approval and release of manufacturing</t>
  </si>
  <si>
    <t xml:space="preserve">LOA has been issued on 30-April-25. </t>
  </si>
  <si>
    <t>Following up closely to avoid any delays which might affect the overall project timeline</t>
  </si>
  <si>
    <t>PM/Procurement</t>
  </si>
  <si>
    <r>
      <rPr>
        <u/>
        <sz val="11"/>
        <color theme="1"/>
        <rFont val="Aptos Narrow"/>
        <family val="2"/>
        <scheme val="minor"/>
      </rPr>
      <t xml:space="preserve">Hitachi Supervisor numbers
</t>
    </r>
    <r>
      <rPr>
        <sz val="11"/>
        <color theme="1"/>
        <rFont val="Aptos Narrow"/>
        <family val="2"/>
        <scheme val="minor"/>
      </rPr>
      <t xml:space="preserve">As per Leason learned from previous projects, Hitachi will not provide a sufficient number of supervisors </t>
    </r>
  </si>
  <si>
    <t>A physical meeting will be conducted by next week (on hold)</t>
  </si>
  <si>
    <t>Management support is required during execution to push Hitachi to increase number of supervisor to avoid any delay</t>
  </si>
  <si>
    <t>Building permits</t>
  </si>
  <si>
    <t>PO issued for specialized subcontractor</t>
  </si>
  <si>
    <t>Following up with Client for receiving the required documents for issuing building permits. (onhold)</t>
  </si>
  <si>
    <t>PE-345</t>
  </si>
  <si>
    <t>REFURBISHMENT OF 110/33/13.8 KV ARAFAT 1  SS</t>
  </si>
  <si>
    <t>Mostafa Ayoup</t>
  </si>
  <si>
    <t>Long design review cycle</t>
  </si>
  <si>
    <t>Client conusme a long time to review REV 00</t>
  </si>
  <si>
    <t>1- A letter has been sent since 21 April, 2025, but we didn't get a reply 
2- Weekly communication conducted to expedite the process in a verbal way 
3- Peding submittals are sending weekly basis to PDC and weekly visit in EDD office to expedite the submittals</t>
  </si>
  <si>
    <t>Expedite the process of review to be 
REV.00: to be completed within 5 working days
• REV.01: to be completed within 3 working days</t>
  </si>
  <si>
    <t>SEC-PM</t>
  </si>
  <si>
    <t>Delya the enigneering phase</t>
  </si>
  <si>
    <t xml:space="preserve">Power Transformer Delivery Time </t>
  </si>
  <si>
    <t xml:space="preserve">Client has suspended LEEC after the contract sign, and the alteranative supplier (SPTC) will delay the delIvery by 8 month </t>
  </si>
  <si>
    <t>Letters have been sent to the client to take an action
Reminders have been sent by Top Management</t>
  </si>
  <si>
    <t xml:space="preserve">Follow up with the client to solve this issue urgently </t>
  </si>
  <si>
    <t>Delay the procurment cycle to transformer</t>
  </si>
  <si>
    <t xml:space="preserve">PO is postponed until solve the issue </t>
  </si>
  <si>
    <t>Delivery forcast date in may which intersect with HAJ  season, so the date must be expedited to be fist april Max</t>
  </si>
  <si>
    <t xml:space="preserve">Regular communication holding with the vendor 
</t>
  </si>
  <si>
    <t>Expedite the delivery date</t>
  </si>
  <si>
    <t>Vendor-PM</t>
  </si>
  <si>
    <t>Delay the project</t>
  </si>
  <si>
    <t>PE-342</t>
  </si>
  <si>
    <t>Refurbishment of Najran East SS  Salwa SS</t>
  </si>
  <si>
    <t>Akram Kamal</t>
  </si>
  <si>
    <t>Delay in site handover</t>
  </si>
  <si>
    <r>
      <rPr>
        <sz val="11"/>
        <color rgb="FF000000"/>
        <rFont val="Aptos Narrow"/>
        <family val="2"/>
        <scheme val="minor"/>
      </rPr>
      <t xml:space="preserve">* SEC still didn’t hand over the site till date
* A letter was sent on 26-May-2025 to SEC requesting to expedite site handover.
* Project team got the actual coordinates on 18&amp;19-June-2025 as per SEC instruction and sent the layout to SEC on 1-Jul-2025 but still no response from SEC.
* A reminder was sent to SEC on 20-July-2025
* Letter is issued on 10 Aug as a reminder to follow up
* An internal meeting was held with Portfolio and planning Manager and Project Team to discuss the issue
</t>
    </r>
    <r>
      <rPr>
        <b/>
        <sz val="11"/>
        <color rgb="FF000000"/>
        <rFont val="Aptos Narrow"/>
        <family val="2"/>
        <scheme val="minor"/>
      </rPr>
      <t xml:space="preserve">28-Aug-2025 Update:
Agreement with SEC that no site handover required and work on site can start subject to approval of GLO, Safety officer and QA/QC Engineer </t>
    </r>
  </si>
  <si>
    <t>Expedite GLO Approval and provide the required staff</t>
  </si>
  <si>
    <t>Missing As built data for both substations</t>
  </si>
  <si>
    <t>1-As-built collected for the Substation 
2- OHTL as-built is being collected gor the 2 lines Eshar &amp; Habuna</t>
  </si>
  <si>
    <r>
      <t xml:space="preserve">1- Salwa-Habuna is completed  (73/73 towers) </t>
    </r>
    <r>
      <rPr>
        <b/>
        <sz val="11"/>
        <color rgb="FF000000"/>
        <rFont val="Aptos Narrow"/>
        <family val="2"/>
        <scheme val="minor"/>
      </rPr>
      <t xml:space="preserve">Completed
</t>
    </r>
    <r>
      <rPr>
        <sz val="11"/>
        <color rgb="FF000000"/>
        <rFont val="Aptos Narrow"/>
        <family val="2"/>
        <scheme val="minor"/>
      </rPr>
      <t>2- Eshar Line will be completed end on (30-Sep-2025)(77/177 tower)</t>
    </r>
    <r>
      <rPr>
        <b/>
        <sz val="11"/>
        <color rgb="FF000000"/>
        <rFont val="Aptos Narrow"/>
        <family val="2"/>
        <scheme val="minor"/>
      </rPr>
      <t>Completed</t>
    </r>
  </si>
  <si>
    <t>Site Team</t>
  </si>
  <si>
    <t>Local Content</t>
  </si>
  <si>
    <t xml:space="preserve">LEEEC Suspension
</t>
  </si>
  <si>
    <r>
      <rPr>
        <sz val="11"/>
        <color rgb="FF000000"/>
        <rFont val="Aptos Narrow"/>
        <family val="2"/>
        <scheme val="minor"/>
      </rPr>
      <t xml:space="preserve">* Letter Ref.002 was sent to SEC on 29-April to accept VoltAmp as main manufacturer and approve LEEEC as main manufacturer if SEC released the suspension.
* Mail sent to SEC to approve LEEEC as a main manufacturer
* PM requested supplying the transformers from SPTC instead of LEEEC
</t>
    </r>
    <r>
      <rPr>
        <b/>
        <u/>
        <sz val="11"/>
        <color rgb="FF000000"/>
        <rFont val="Aptos Narrow"/>
        <family val="2"/>
        <scheme val="minor"/>
      </rPr>
      <t xml:space="preserve">10-Aug Updates:
</t>
    </r>
    <r>
      <rPr>
        <sz val="11"/>
        <color rgb="FF000000"/>
        <rFont val="Aptos Narrow"/>
        <family val="2"/>
        <scheme val="minor"/>
      </rPr>
      <t xml:space="preserve">* Proceeded with LEEEC (PO issuance still in progress)
</t>
    </r>
    <r>
      <rPr>
        <b/>
        <u/>
        <sz val="11"/>
        <color rgb="FF000000"/>
        <rFont val="Aptos Narrow"/>
        <family val="2"/>
        <scheme val="minor"/>
      </rPr>
      <t xml:space="preserve">28-Aug-2025 Update:
</t>
    </r>
    <r>
      <rPr>
        <sz val="11"/>
        <color rgb="FF000000"/>
        <rFont val="Aptos Narrow"/>
        <family val="2"/>
        <scheme val="minor"/>
      </rPr>
      <t xml:space="preserve">SEC Rejected Swapping to LEEEC
</t>
    </r>
    <r>
      <rPr>
        <b/>
        <u/>
        <sz val="11"/>
        <color rgb="FF000000"/>
        <rFont val="Aptos Narrow"/>
        <family val="2"/>
        <scheme val="minor"/>
      </rPr>
      <t xml:space="preserve">1-Dec-2025 Update:
</t>
    </r>
    <r>
      <rPr>
        <sz val="11"/>
        <color rgb="FF000000"/>
        <rFont val="Aptos Narrow"/>
        <family val="2"/>
        <scheme val="minor"/>
      </rPr>
      <t>-Alfanar RM and PM obtained approval for LEEEC from chief engineering Dep. at SEC
- Accordingly LEEEC PO is issued and Base design is submitted to SEC for review but EDD rejected the submittal Code D requesting clear confirmation form Chief Engineering to review the Base Design
- PDC communicated with Chief Engineering to request the confirmation and then send it to EDD then Alfanar will resubmit the base design for review</t>
    </r>
  </si>
  <si>
    <t>SEC to finalize the internal communications required to review the base design of LEEEC power Transformers</t>
  </si>
  <si>
    <t>Delay in receiving Type test approval for 33KV SWGR from AES</t>
  </si>
  <si>
    <r>
      <t xml:space="preserve">* Meeting held on 25-May to discuss the issue,
AES committed to perform Type test for 33Kv SWGR end of June 2025 and provide the test result afterwards.
* AES confirmed that SEC requested another test which is scheduled end of July.
* In case type test failed, AES confirmed supplying the 33kv SWGR from approved manufacturer.
</t>
    </r>
    <r>
      <rPr>
        <b/>
        <u/>
        <sz val="14"/>
        <color rgb="FF000000"/>
        <rFont val="Aptos Narrow"/>
        <family val="2"/>
      </rPr>
      <t xml:space="preserve">11-Aug Updates
</t>
    </r>
    <r>
      <rPr>
        <sz val="11"/>
        <color rgb="FF000000"/>
        <rFont val="Aptos Narrow"/>
        <family val="2"/>
      </rPr>
      <t xml:space="preserve">* another test is conducted (tempreature test) and AES will send  the signed MOM on </t>
    </r>
    <r>
      <rPr>
        <b/>
        <u/>
        <sz val="11"/>
        <color rgb="FF000000"/>
        <rFont val="Aptos Narrow"/>
        <family val="2"/>
      </rPr>
      <t>12 Aug</t>
    </r>
    <r>
      <rPr>
        <sz val="11"/>
        <color rgb="FF000000"/>
        <rFont val="Aptos Narrow"/>
        <family val="2"/>
      </rPr>
      <t xml:space="preserve"> for test approvals by SEC to be able to proceed with submittals intead of waiting being included in LOTAM which takes a long time (around 2 months)
* Base design will be submitted on wednesday </t>
    </r>
    <r>
      <rPr>
        <b/>
        <u/>
        <sz val="11"/>
        <color rgb="FF000000"/>
        <rFont val="Aptos Narrow"/>
        <family val="2"/>
      </rPr>
      <t xml:space="preserve">13-Aug-2025
11-Nov-2025 Updates:
</t>
    </r>
    <r>
      <rPr>
        <sz val="11"/>
        <color rgb="FF000000"/>
        <rFont val="Aptos Narrow"/>
        <family val="2"/>
      </rPr>
      <t>remaing strength corrosion test</t>
    </r>
  </si>
  <si>
    <t>AES to Send the MOM for All tests approvals</t>
  </si>
  <si>
    <t>Delay of Isolation &amp; Dismantling Work since 1-oct</t>
  </si>
  <si>
    <t>Isolation of equipment/panels started on 8-DEC after finalizing the reuired permits</t>
  </si>
  <si>
    <t>Expedite Isolation to start dismantling of equipment and demolition which is delaying  Start of Civil works for SWGR Building</t>
  </si>
  <si>
    <t>10 m Extension approval in power plant land (Najran East S/S) to finalize the GLO and proceed with Arch, Precast and Civil Design</t>
  </si>
  <si>
    <t>Extension is approved by SEC</t>
  </si>
  <si>
    <t>SEC to enable Alfanar to cut the existing substation fence at the location of temporary gate</t>
  </si>
  <si>
    <t>Request is sent officially to SEC and waiting approval</t>
  </si>
  <si>
    <t>SEC to finalize wih the Power plant and AMD</t>
  </si>
  <si>
    <t>ALF requested SOE, SCADA and TFR existing point lists from PDC for Najran East, Salwa, Hubuna and Eshar S/Ss</t>
  </si>
  <si>
    <t xml:space="preserve">A letter is sent to SEC and following up </t>
  </si>
  <si>
    <t>SEC to provide the inputs</t>
  </si>
  <si>
    <t>MV Poles/Cables demolition/relocation by SEC in Najran East SS</t>
  </si>
  <si>
    <t>Minuted with SEC during the site Visit that SEC will remove the Poles</t>
  </si>
  <si>
    <t>SEC to remove the MV Poles as it will be an obstacle fot construction of SWGR &amp; Control Buildings</t>
  </si>
  <si>
    <t>Design</t>
  </si>
  <si>
    <t>Delay of GAFM issuance for Protection [Najran East]</t>
  </si>
  <si>
    <t>Detailed design is separated to 3 LOTs to issue GAFM for the ready LOTs</t>
  </si>
  <si>
    <t>Comply comments of detailed design LOT 1,2 soonest to issue GAFM.
LOT 3 follow up with SE for DD approval</t>
  </si>
  <si>
    <t>Project Engineer/ Project Manager</t>
  </si>
  <si>
    <t>Expected FAT in 2026 if GAFM issued in less than 1 month</t>
  </si>
  <si>
    <t>Delay of GAFM issuance for  AC System [Salwah]</t>
  </si>
  <si>
    <t>Meetings Held with SEPDC and AMD to decide wether to use RMU or Step Down Transformers</t>
  </si>
  <si>
    <t xml:space="preserve">Issue GAFM for DC for both SS and AC for Najran East until AC scope of salwa is finalized </t>
  </si>
  <si>
    <t>3.5 Months Manufacturing</t>
  </si>
  <si>
    <t>Delay of start of Construction activities on site and 10 months have passed frome the project duration</t>
  </si>
  <si>
    <t>Action Plan is prepared targeting end of Buildings before delivery of equipment/material</t>
  </si>
  <si>
    <t>Crashing the construction duration to match with the delivery dates and avoid impacting contractual TCC</t>
  </si>
  <si>
    <t>Civil Site Managers</t>
  </si>
  <si>
    <t>Material</t>
  </si>
  <si>
    <t>Delay of SCADA/TFR Design Approval</t>
  </si>
  <si>
    <t>PO issued after site visits by supplier, desighn requested from supplier</t>
  </si>
  <si>
    <t>Expedited design Approval to issue GAFM (5 months manuf. Duration)</t>
  </si>
  <si>
    <t>Project Engineer</t>
  </si>
  <si>
    <t>5 months impact on TCC</t>
  </si>
  <si>
    <t>Delay of Step down transformers PO issuance, the proposed solution (RMU or Step down TRF) not yet finalized/approved by SE, accordingly PO cannot be issued</t>
  </si>
  <si>
    <t>obtain exceptional approval for step down TRF from SE.
consider the suitable manufacturing duration while evaluating the offers</t>
  </si>
  <si>
    <t>Impacting AC Scope of Salwah (3.5 months manuf. Duration) SS &amp; Manuf. duration of RMU/SD. TRF remains unkown</t>
  </si>
  <si>
    <t>Delay of Design GAFM for HV Cables due to design delay</t>
  </si>
  <si>
    <t>Delay of  GAFM for LV &amp; Control Cables due to design delay</t>
  </si>
  <si>
    <t>GAFM issued for LV Cables only.
Revision of PO for Control Cables is completed</t>
  </si>
  <si>
    <t>Push AES to share the TDS to issue GAFm for control Cables (1.5 months Manufacturing Duration)</t>
  </si>
  <si>
    <t>1.5 months Manufacturing Duration</t>
  </si>
  <si>
    <t>Some cable sizes not in LOTAM for current MV Cables supplier (Elsewedy) , accordingly PO issuance with another supplier required</t>
  </si>
  <si>
    <t>Offers collected, Technical evaluation is done, New PO is issued with Bahra cables</t>
  </si>
  <si>
    <t>Expedite approval of technical submittal to issue GAFM</t>
  </si>
  <si>
    <t>Delay of Modified GLO of Slawa S/S after AMD modification request</t>
  </si>
  <si>
    <t xml:space="preserve">On site meetings held with SEPDC &amp; AMD to obtain AMD approval for the modified GLO, AMD approved the GLO on 20-July </t>
  </si>
  <si>
    <t>Expedtie submission to SE PDC to obtain GLO approval and proceed design of the new battery room, new foundations step down transformer and modified Duct Banks Layout</t>
  </si>
  <si>
    <r>
      <t>Expected rejection for the submitted shutdown plan from (Mar-27 till Sep-27) due to summar peak period (</t>
    </r>
    <r>
      <rPr>
        <b/>
        <sz val="11"/>
        <color theme="1"/>
        <rFont val="Aptos Narrow"/>
        <family val="2"/>
        <scheme val="minor"/>
      </rPr>
      <t>Salwa</t>
    </r>
    <r>
      <rPr>
        <sz val="11"/>
        <color theme="1"/>
        <rFont val="Aptos Narrow"/>
        <family val="2"/>
        <scheme val="minor"/>
      </rPr>
      <t xml:space="preserve">:4 GIS Bays , 80KM OPGW replacement Scope &amp; 2 Aux. TRfs, </t>
    </r>
    <r>
      <rPr>
        <b/>
        <sz val="11"/>
        <color theme="1"/>
        <rFont val="Aptos Narrow"/>
        <family val="2"/>
        <scheme val="minor"/>
      </rPr>
      <t>Najran East</t>
    </r>
    <r>
      <rPr>
        <sz val="11"/>
        <color theme="1"/>
        <rFont val="Aptos Narrow"/>
        <family val="2"/>
        <scheme val="minor"/>
      </rPr>
      <t>: 4 GIS Bays, &amp; 2Aux. TRFs)</t>
    </r>
  </si>
  <si>
    <t>Action plan is prepared and shared with project team targeting earlier readiness for shutdown to avoid summertime</t>
  </si>
  <si>
    <t>GAFM for SCADA, Step Down Tarnsformers, and Cables as per the dates mentioned in the action plan.</t>
  </si>
  <si>
    <t>N/A</t>
  </si>
  <si>
    <t>Shutdowns scheduled in Summertime will probably be rejected which will lead to slippage of OPGW replacement Scope</t>
  </si>
  <si>
    <t>Delay of Precast shopdrawings by Prinsea lead to Precast Manuf. Delay for Najran East SS</t>
  </si>
  <si>
    <t>Precast Shopdrawings are completed, Manufacturing started on 13-July, expected mobilization on 13 -Aug</t>
  </si>
  <si>
    <t>Expedite design approvals and push prinsea to start the manufacturing</t>
  </si>
  <si>
    <t>Civil Site Manager</t>
  </si>
  <si>
    <t>Delay of Precast installation start at Najran East S/S (13.8KV SWGR Delivered)</t>
  </si>
  <si>
    <t>Meeting with Prinsea</t>
  </si>
  <si>
    <t>Expedite Approval for Lifting Plan and Ensure gate passes are available</t>
  </si>
  <si>
    <t>Delay of GIS Building Readiness in Salwah Substation (GIS is delivered on site)</t>
  </si>
  <si>
    <t>Expected Completion on 17-Sep-26</t>
  </si>
  <si>
    <t>Stick to the building readiness revised plan to avid mor delay</t>
  </si>
  <si>
    <t>PE-262</t>
  </si>
  <si>
    <t>Reinf. of Thuwal Town  KAUST 2</t>
  </si>
  <si>
    <t>SAS engineer mobilization pending from DEC-24</t>
  </si>
  <si>
    <t xml:space="preserve">Issue was highlightes to AES during AES-Alfanar meeting </t>
  </si>
  <si>
    <t>It holding energization of project, No update from AES, Extending the mobilization dates</t>
  </si>
  <si>
    <t>CSD</t>
  </si>
  <si>
    <t>CSD support to complete remaining Tests</t>
  </si>
  <si>
    <t>We have raised LOA IN THIS REGAR TO sec pm</t>
  </si>
  <si>
    <t>We need support from CSD</t>
  </si>
  <si>
    <t xml:space="preserve">1-	GIS Links for KAUST2 SS not available inside the substation also not available with GIS Maintenance department .
2-	GIS Links for THUWAL TOWN SS not available till  23-FEB-2025 as per attached mail .
3-	MPLS not ready inside both substations to complete telecom scope as per PTS and approved design 
</t>
  </si>
  <si>
    <t>Email communication shared with SEC on 4th Mar, expected clearance from SEC by mid of May,still no confrimation. Time extension sent to SEC due to the mentioned issues on 4th Mar 25, TCC upto 1st Jun 25</t>
  </si>
  <si>
    <t xml:space="preserve">SEC need to resolve all the three issues immediately to complete remaining termination and commissioning of the projec. It will affect alfanar commissioning activities </t>
  </si>
  <si>
    <t>Alfanar has decided GIS Links should be provided by alfanar and it is expected to deliver by 21-Jun-26.
MPLS are existing and our scope is to extend them with E-1 card we just got the approval from SEC to start a completion.we need Hitachi support</t>
  </si>
  <si>
    <t>PE-261</t>
  </si>
  <si>
    <t>Reinforcement of Misfilah-2 &amp; Misfila-3 -Extension</t>
  </si>
  <si>
    <t xml:space="preserve">Required Actual Line Parameters from cable contractor for complete the 
</t>
  </si>
  <si>
    <t xml:space="preserve">Letter issued to SEC for cable contractor delay and line parameter
Letter issued to SEC for TCC </t>
  </si>
  <si>
    <t xml:space="preserve">We need Line parameter from Cable Contractor/SEC, For remaining testing (Open and Close loop test)  </t>
  </si>
  <si>
    <t>PE-288</t>
  </si>
  <si>
    <t>Repl. of Berry Gas Plant 230/115KV SS</t>
  </si>
  <si>
    <t>Moath Ahmad Mahmoud Almousa</t>
  </si>
  <si>
    <t xml:space="preserve">230kv LCC Panel delivery </t>
  </si>
  <si>
    <t>Arranged a meeting with SEC to expediate the delivery</t>
  </si>
  <si>
    <t xml:space="preserve"> Hitachi to expediate the delivery in Aug'25</t>
  </si>
  <si>
    <t>LOA issued on 30/Jul/2024
PO issued on 9/Oct/2024
Design Status: completed
GAFM :  01/Dec/24
Delivery Time to be on Aug'25</t>
  </si>
  <si>
    <t>PE-311</t>
  </si>
  <si>
    <t>SAMTAH-BSP-PV</t>
  </si>
  <si>
    <t>Amr Sennara</t>
  </si>
  <si>
    <t xml:space="preserve">Delay from Alfanar factory in providing the designs and delivery date. Such as (Grounding conductor, protection, SAS &amp; telecom, SWGR, Cyper security, Panels).​ </t>
  </si>
  <si>
    <t>Arranged several meetings with AES and a warning letter has been issued.Telecom and Grounding situation has been enhanced.Letter has been submitted on 23.03.25 to the AES.</t>
  </si>
  <si>
    <r>
      <rPr>
        <sz val="11"/>
        <color rgb="FF000000"/>
        <rFont val="Aptos Narrow"/>
        <family val="2"/>
        <scheme val="minor"/>
      </rPr>
      <t xml:space="preserve">Close follow up on the remaining Points below:
1. </t>
    </r>
    <r>
      <rPr>
        <strike/>
        <sz val="11"/>
        <color rgb="FF000000"/>
        <rFont val="Aptos Narrow"/>
        <family val="2"/>
        <scheme val="minor"/>
      </rPr>
      <t>Protection panels delivery.</t>
    </r>
    <r>
      <rPr>
        <sz val="11"/>
        <color rgb="FF000000"/>
        <rFont val="Aptos Narrow"/>
        <family val="2"/>
        <scheme val="minor"/>
      </rPr>
      <t xml:space="preserve"> / Sep'2025.
2. SWGR FAT date to be enhanced. AES confirmed the FAT on (21-Sep-25). 
3. SAS system Delivery.
4. Fault Locator Delivery.
5. AES : to share AC Panels base design  R02 
6. AES : to share DC Panels base design  R01</t>
    </r>
  </si>
  <si>
    <t>PE-311 AlFanar issues List 15.03.2025.xlsx</t>
  </si>
  <si>
    <t>Protection &amp; SAS PO: 4800031720
PO Amount: 17,500,000 SAR. 
FL PO: 4800033723
PO Amount: 419.000 SAR. 
AC/DC PO: 4800031714
PO Amount: 2,950,000.00 SAR</t>
  </si>
  <si>
    <t>Issued.
Delivery as per PO by Sep'25</t>
  </si>
  <si>
    <t>HGIS &amp; Outdoor GIB package design still missing._x000B_The GIS vendor changed the GIB connection with the transformer for both sides 380 &amp; 132kV._x000B_ Outdoor PD sensor's locations is still missing required for PDMS system design._x000B_LCC drawings still not received.</t>
  </si>
  <si>
    <t>Several letters have been shared with SEPDC to expedite the GIS vendorSeveral meetings has been arranged with SEPDC and the GIS vendor.
We have received the design for the Indoor GIS and remaining the outdoor.
Meeting held with AMD on 02-Jun-2025 to discuss the GIB connection with the power transformers.</t>
  </si>
  <si>
    <t>Follow up the remaining Points:
1. HGIS design Finalization.
3. GIB connection with the power transformers pushing issues. Only remaining beside transformer.</t>
  </si>
  <si>
    <t>Vendor/Client</t>
  </si>
  <si>
    <t>Schedule.
3 month</t>
  </si>
  <si>
    <t>BCG</t>
  </si>
  <si>
    <t>As per the OHTL survey and plan and profile we need four special towers to be designed and constructed which was not considered in the tender documents and budget. ​ ​</t>
  </si>
  <si>
    <t>1. RFQ has been raised to all the approved designed and Towers manufacturers.
2. We searched till found similar towers installed on the grid to try to avoid the Type test of the special tower which is costly and time wasting.
Foundation design under issuance with AIC.
3- Mr. Shajat recommended to change the 3 Special tension towers with 2 Suspension Towers and the proposal is under negotiation with BCG.
4. Meeting held with EDD on 16-Jun-2025 to finalize plan and profile open comments.
132KV OHTL crossing area submittal already submitted.</t>
  </si>
  <si>
    <t>Need to get the foundation desgin approval asnap in order to avoid the successive delay of Installation and stringing works</t>
  </si>
  <si>
    <t>PM/BCG</t>
  </si>
  <si>
    <t>Schedule &amp; Cost.
4 Month.
400K SAR.</t>
  </si>
  <si>
    <t>This concern of the special towers has been highlighted as potential risk during project handover</t>
  </si>
  <si>
    <t>Delivery by mid of Jun'26</t>
  </si>
  <si>
    <t>Delay in construction works due to lack in manpower which affected in construction works and recovery civil plan.</t>
  </si>
  <si>
    <t>PO issued for new subcontractor.
Subcontractor provided the team to start working in control building, tunnel, power transformer &amp; reactor.
Resources departmnert started the process of transferring the civil manpower to support the works on site.
Recovery civil plan has been prepared to close all the works by Dec-2025.
Open the works in outdoor area, customer room, 132KV gantry, 380KV gantry.</t>
  </si>
  <si>
    <t>Subcontractor to increase the team to expedite the works to mitigate the delays.
Push the RNZ to expedite in finishing the precast works for Control  Building as the material will be delivered on Oct-2025.</t>
  </si>
  <si>
    <t>Schedule &amp; Cost.</t>
  </si>
  <si>
    <t>Change in the Scope of Security System.
The scope of the security system has been
revised as per SEC ISD requirements for additional scope which include Guard house, Visitor and search facility, inspection check point, PIC parking area, dedicated inspection area equipped with canopy, Arm barriers, Tire shredder and Vehicle speed hump.
These additional scope were not part of the original contract documents</t>
  </si>
  <si>
    <t>Official letter has been sent to the client on 01-Jul-2025.</t>
  </si>
  <si>
    <t>Under SEC approval</t>
  </si>
  <si>
    <t>As per government instructions the diesel prices has been increased with 44% starting from 01-Jan-2025</t>
  </si>
  <si>
    <t>Official letter has been sent to SEPDC and they directed us to contact the contrcats department and we did but our claim got rejected.</t>
  </si>
  <si>
    <t>Management support is required to discuss all the affected projects with SEC Contract department.</t>
  </si>
  <si>
    <t xml:space="preserve">CSD is rejecting to review DSM point list completely and for SAS point list there is huge checklist required that will cause a great delay </t>
  </si>
  <si>
    <t>We have raised this issue to SEPDC vial Emails and letters  but still not solved.
CSD shared their comments for DSM point list.</t>
  </si>
  <si>
    <t xml:space="preserve">Management support and guidance is required.
Coordinate the meeting with CSD and Designer to close DSM point list issue. </t>
  </si>
  <si>
    <t>Unlogic Metering requirement requested by EDD on the metering SLD.
1 PQM for each developer feeder; We have shared  VO letter but got rejected.
Additional 2 PQM for each transformer.
additional PQMs for the 13.8kV switchgear.</t>
  </si>
  <si>
    <t xml:space="preserve">We have raised this issue to SEPDC via Emails and letters  but still not solved as EDD is insisting on the same which has significant cost Impact.
Meeting held with EDD reviewer and we agreed to comply with the requirements.
We have prepared a draft letter for this issue and will be issued to SEPDC as last trial; if not succeeded we have to comply with the additional requirements and bear the additional cost.
</t>
  </si>
  <si>
    <t>Alfanar will comply EDD requirenments and Alfanar factory will revised  the designs according to change order.</t>
  </si>
  <si>
    <t>Schedule &amp; Cost.
2 Month.
320K SAR.</t>
  </si>
  <si>
    <t>PMO</t>
  </si>
  <si>
    <t>Alfanar to hire external consultant to take care about the local content.Mitigation plan shall be prepared to avoid/reduce the penalty.</t>
  </si>
  <si>
    <t>We have prepared the LC plan and shared with SEC PDC.</t>
  </si>
  <si>
    <t>Working with the PMO and consultant to prepare the progress report.</t>
  </si>
  <si>
    <t>PM/PMO/Consultant.</t>
  </si>
  <si>
    <t>SEC rejected Technicians to be the Permit Reciever, and requested to have 4 Formans Minimum to be the Permit reciever</t>
  </si>
  <si>
    <t>Request from PM to Resource Team to support ASAP</t>
  </si>
  <si>
    <t>Resource team to support in Providing the Formans to site to avoid any delay in Permits</t>
  </si>
  <si>
    <t>Insulators delivery schedule need to be enhanced.</t>
  </si>
  <si>
    <t>1. We have issued a letter to SEPDC with force major case due to the fire occurred at Lapp factory
2. Several meeting have been arranged with LAPP to reduce the delivery 
3. Lapp confirmed the FAT by October 2025.
4. We have issued manufacturing release.</t>
  </si>
  <si>
    <t>Follow up and try to enhance the delivery.</t>
  </si>
  <si>
    <t>PO. No: 
4800032308
PO. Amount: 
1,137,240.00 EUR.</t>
  </si>
  <si>
    <t>Issued.
FAT on 31 Oct 2025</t>
  </si>
  <si>
    <t>Resources department support is required to mobilize the remaining resources as per the organizational chart.</t>
  </si>
  <si>
    <t>We are following closely with Resources department and the remaining are:
1. ENGINEER, CIVIL ( OHTL).
2. FOREMAN, Civil.</t>
  </si>
  <si>
    <t>Resource department has to expedite in mobilize remaining resources.</t>
  </si>
  <si>
    <t>PM/Resource dep./Management</t>
  </si>
  <si>
    <t>Waiting for Required official papers from SEC to be able to issue the buildings permit</t>
  </si>
  <si>
    <t>We have raised several letters to SEPDC and no action till today_x000B_It is recorded in each weekly and monthly meetings_x000B_SEPDC reply in the meetings that, you can work and if anyone stopped you they will take care</t>
  </si>
  <si>
    <t>SEC need to provide official paper to issue the permit.</t>
  </si>
  <si>
    <t>Risk.</t>
  </si>
  <si>
    <t>Waiting feedback from SEC for environmental study as it is not in our scope as per the SS PTS &amp; OHTL.</t>
  </si>
  <si>
    <t>We have raised several letters to SEPDC and no action till today. Recently SEPDC is trying to force us to do it for OHTL portion, while we see it is NA as per the related appendix</t>
  </si>
  <si>
    <t>Following with SEC to get environmental study.</t>
  </si>
  <si>
    <t>Waiting the remaining (IPP Developer) ICS study input data from SEC ,We requested offline meeting with EDD Reviewer to complete ICS Submittal comments</t>
  </si>
  <si>
    <t>We have raised several letters to SEPDC and no action till today as there is no developer assigned for this project so farSEC requested to ignore the IPP developer data and we did and submitted to SEC which is under SEC review now.
Requested offline meeting with EDD Reviewer to complete ICS Submittal comments.</t>
  </si>
  <si>
    <t>We got "A" Status but still the reviewer asking  for more details which is under prepearation for BCG.</t>
  </si>
  <si>
    <t>Waiting the remaining  remote ends  input data from SEC.</t>
  </si>
  <si>
    <t>We have raised several letters to SEPDC, visited the sites, Visited Jizan PDC and collected whatever we cloud; but still minor data are still missing.</t>
  </si>
  <si>
    <t>Following with the client to get remaining remote ends input data.</t>
  </si>
  <si>
    <t>Delay in civil design approval due to unlogic comments from EDD.
All building substructur drawings.</t>
  </si>
  <si>
    <t>Several meetings with EDD PDC to expedite the approval.
Recovery plan for civil works is completed to complete by Oct'2025.
Substructure and super structure drawings are approved for 380KV, 132KV GIS &amp; Control Building.</t>
  </si>
  <si>
    <t>Esclate this issue to PDC/Renewable  management as it's affects our construction works and will affect the TCC</t>
  </si>
  <si>
    <t>Concerning the Testing offers
We received one offer only from Alfanar Testing with high price 
We need other competitive offers as reference from other companies</t>
  </si>
  <si>
    <t>PM requested  other competitive offers Serval times</t>
  </si>
  <si>
    <t>We need other competitive offers as reference from other companies</t>
  </si>
  <si>
    <t>Samath -BSP-PV</t>
  </si>
  <si>
    <t>Amr Sennra</t>
  </si>
  <si>
    <t xml:space="preserve">TFR, DSM &amp; FL Panels require Service Agreement with Exceptional Approval hich is still awaited. 
</t>
  </si>
  <si>
    <t>High follow up to get the  required documents</t>
  </si>
  <si>
    <t xml:space="preserve">AES to finalize ITP issue with SEC ASAP, Also to provide the production &amp; FAT status. </t>
  </si>
  <si>
    <t>30 Days schedule impacted</t>
  </si>
  <si>
    <t xml:space="preserve">LAPP insulators canselled the FAT that was scheduled on Dec 25 and suggest new FAT done on MAY 26 and delivery will be end of Jun'26 
</t>
  </si>
  <si>
    <t>High follow up to avoid the delay</t>
  </si>
  <si>
    <t>Already 2nd lot will reach by end of May'26 and 1st lot will be before end of Jun'26</t>
  </si>
  <si>
    <t>90 Days schedule impacted</t>
  </si>
  <si>
    <t>Already there was delay in delivery of Metro cells and delivered on 06 Aug'26, Now Resistor also pending from delivery, all these delay in small accessories delivery causes huge impact on T&amp;C</t>
  </si>
  <si>
    <t>Alreaday several communications given to the vendor and tried to deliver it on or before the target date</t>
  </si>
  <si>
    <t>AES to finalize delivery on before end of Aug'26</t>
  </si>
  <si>
    <t xml:space="preserve">STATRON
</t>
  </si>
  <si>
    <t xml:space="preserve">There were 4 battery cells were found damaged during shipment and we immediately raised our concern and ordered for new batteries in place of damaged one but yet to receive the new one
</t>
  </si>
  <si>
    <t>STRATON to finalize delivery on before end of Aug'26</t>
  </si>
  <si>
    <t>Permit for foundation of special towers are still pending under SWCC because we already got approval from AMD and now its turn to SWCC, once the permit comes will start the foundation work for sepcial tower</t>
  </si>
  <si>
    <t>Several follow up with the concern department ongoing to get the approval as soon as possible</t>
  </si>
  <si>
    <t>Need to get the SWCC permit as soon as possible with more communication with them through mail and letters</t>
  </si>
  <si>
    <t>ENERGY</t>
  </si>
  <si>
    <t>Delay in delivery of balance lattice steel material</t>
  </si>
  <si>
    <t>Only some balance Lattice material only pending, so need to give more pressure to vendor to deliver the material as soon as possible</t>
  </si>
  <si>
    <t>PE-260</t>
  </si>
  <si>
    <t>Sanabel con.at Jeddah</t>
  </si>
  <si>
    <t>It holding SAS and Telecom Testing &amp; Commissioning</t>
  </si>
  <si>
    <t xml:space="preserve">1-	MPLS not ready inside IC2 to complete telecom scope as per PTS and approved design </t>
  </si>
  <si>
    <t>PE-286-MED</t>
  </si>
  <si>
    <t>SEC Smart Distribution Control Centre</t>
  </si>
  <si>
    <t xml:space="preserve">Mostafa Lashien </t>
  </si>
  <si>
    <t>Delay in start of Underground Fibre Optic cable due to construction permit.</t>
  </si>
  <si>
    <t>Discussed with SEC to expedite the Municipality user activation for Madinah.</t>
  </si>
  <si>
    <t xml:space="preserve"> SEC to support to activate the user for the subcontractor on municipality platform to submit the work permit.
</t>
  </si>
  <si>
    <t>SEC/ DNV</t>
  </si>
  <si>
    <t>Utility Building Delay in Construciton of Grade slab &amp; Walls.</t>
  </si>
  <si>
    <t xml:space="preserve">Columns Concrete for all columns done up to Canopy. Backfilling for Grade slab not started. </t>
  </si>
  <si>
    <t>Backfilling must be started to complted Grade slab and Foundation for Transformers.</t>
  </si>
  <si>
    <t>SEC/DNV</t>
  </si>
  <si>
    <t>Delay in Engineering finalization due to HCIS.</t>
  </si>
  <si>
    <t>DTS-198 has been submitted and is under review.</t>
  </si>
  <si>
    <t>New building proposal and approval process will impact several DTS almost 30 DTS and construction of outside duct banks and all interface facilitates along with septic tank and guard house.</t>
  </si>
  <si>
    <t>CET</t>
  </si>
  <si>
    <t>Delay in Material GAFM issuance.</t>
  </si>
  <si>
    <t>Following up with vendors to discuss revised plan for Go ahead confirmation to avoid further delay.</t>
  </si>
  <si>
    <t>Revised plan must be expedited from all vendors to mitigate the delay.</t>
  </si>
  <si>
    <t>Delay in PO issaunce for Arch Subcontractor.</t>
  </si>
  <si>
    <t>Multiple subcontractors has been approached for PO.</t>
  </si>
  <si>
    <t>PE-286</t>
  </si>
  <si>
    <t>Delay in Approval Overall Layout for Madina Site , R9 Approved on 28-Jan-25</t>
  </si>
  <si>
    <t>R9 Approved on 28-Jan-25 - Rev.09</t>
  </si>
  <si>
    <t>Follow up with client to accelerate the process of the approval</t>
  </si>
  <si>
    <t>PE-286-JED</t>
  </si>
  <si>
    <t>SLD Data Acquisition.</t>
  </si>
  <si>
    <t>Site visits completed by Alfanar/NARI and SEC teams at WOA &amp; SOA.
Daily progress updates being shared with the Control Center.</t>
  </si>
  <si>
    <t>SEC &amp; NARI Teams have agreed to expedite progress on Jeddah, Makkah, and Abha regions.</t>
  </si>
  <si>
    <t>Delay in Handover of Control Room in First Floor</t>
  </si>
  <si>
    <t>Delay in starting of MEP First &amp; Second fix</t>
  </si>
  <si>
    <t xml:space="preserve">Meeting has been organized with SEDA subcontrcator and discussed the action plan for the installation &amp; material delviery status. </t>
  </si>
  <si>
    <t>Delay in Finalization of Shifting Site Location for Jizan</t>
  </si>
  <si>
    <t>SEC Finalized the New Site Location on 9-Mar-25</t>
  </si>
  <si>
    <t>PE-286-MAK</t>
  </si>
  <si>
    <t>PE-286-ABH</t>
  </si>
  <si>
    <t>Permit has been issued.</t>
  </si>
  <si>
    <t>Delay in Approval of Modification for Jeddah and Makkah Site</t>
  </si>
  <si>
    <t xml:space="preserve">Jeddha Modification Rev.06 Approved on 4-Mar-25 and Makkah Rev.05 Approved on </t>
  </si>
  <si>
    <t>Delay in Submit Designs from BCG</t>
  </si>
  <si>
    <t>Request from BCG a Submission Plan and Finalized from Alfanar , BCG need to Follow this Submission Plan to Avoid any Delays</t>
  </si>
  <si>
    <t>Delay in Finalized Design Approvals from BCG , need to Submit All Design as per the Submission Plan</t>
  </si>
  <si>
    <t>Construction Permit on hold for Abha Site</t>
  </si>
  <si>
    <t>Need SEC support for revise land deed in order to proceed with the construction permit.</t>
  </si>
  <si>
    <t>Identification of different user classes &amp; departments that need to access &amp; perform functions in DERMS.</t>
  </si>
  <si>
    <t>Meeting must be conducted with SEC and DAR teams and project stakeholders to identify users.</t>
  </si>
  <si>
    <t>PE-286-JIZ</t>
  </si>
  <si>
    <t>ALFANAR</t>
  </si>
  <si>
    <t>Work delays on Jeddah and Makkah</t>
  </si>
  <si>
    <t>1. SEC to support with Marafiq for permit issuance For Jeddah &amp; Makkah
2. SEC to support by recommending &amp; approving Site supervisor name and consultant name for UGFOC External works for the 3 sites to submit work permit in Municipality in all cities.</t>
  </si>
  <si>
    <t>No Cashflow of the project</t>
  </si>
  <si>
    <t>Invoice 1# Submitted (Site Progress &amp; Engineering)</t>
  </si>
  <si>
    <t>SEC to support with approval of first invoice</t>
  </si>
  <si>
    <t>Delay in approval of 48VDC Battery sizing &amp; LAN/WAN System</t>
  </si>
  <si>
    <t xml:space="preserve">1. Revision 03 for DTSs 101, 128, and 129 was submitted on June 16, 2025, in alignment with the agreement reached during the last meeting with TESAD. Revision 02 Received Response on 17-June-25 with status C and a lot of comments not aligned with project SOW and different than the received for the remaining cities however it’s same system.
2. Following the site visits conducted at WRCC and SRCC, as requested by SEC, we resubmitted Revision 02 of DTS-137 (LAN/WAN BD submittal) on 15 May 2025.The response was received on 4 June 2025, marked with Code C, and included four new comments.
Revision 02 Received Response on 23-June-25 with the major comments for changing the hardware model (Router Model) however for the previous revision no comment received belongs to this which directly impact on the planed dates regarding this design.
As previously highlighted, this is a critical submittal, and its pending approval is causing delays in the submission of other related documents, including DTS-101, DTS-128, DTS-129, and DTS-130. Furthermore, the GAFM for LAN/WAN equipment remains on hold due to this pending approval.
</t>
  </si>
  <si>
    <t xml:space="preserve">1. SEC to support and secure  the Approval of next revision based on the recently shared approach so that we can proceed to the next phase of 48VDC full backage submittal.
2. </t>
  </si>
  <si>
    <t>PE-292</t>
  </si>
  <si>
    <t>Shoran-2 110/13.8 KV - Madinah</t>
  </si>
  <si>
    <t>PRAINSA</t>
  </si>
  <si>
    <t>Readiness of Building ( GIS, SWGR &amp; Control room) delaying by contractor</t>
  </si>
  <si>
    <t>Letter has been written to Prainsa to expedite precast work</t>
  </si>
  <si>
    <t>Readiness of Building ( GIS, SWGR &amp; Control room), prainsa provided the readiness of the building by 20th March 25.</t>
  </si>
  <si>
    <t xml:space="preserve">AES FAT delayed for: 
**Lighting panel  - FAT date not yet confirmed. (BD approved in ststus C on 03-02-2025, awaiting compliance from AES and Detail Design yet not submitted ).
**DC-DC converter  - FAT date not yet confirmed. (DC Sizing Calculation and technical submittal is approved in status A)
**IP TELEPHONY - FAT date not yet confirmed. ( Tecnhincal submittal is approved in status B revise submittal is submitted to SEC for approval)
**110KV Sync Trolley- FAT date not confirmed. ( Technical submittal is provided by AES on 11-02-2025 and submitted to SEC for approval) </t>
  </si>
  <si>
    <t>Lighting Panel- The FAT date to be confirmed, and the material is expected to be delivered by end of July .
DC-DC converter - FAT date confirmed as 18th Jul 25. Expected delivery by end of July.</t>
  </si>
  <si>
    <t>PE-298</t>
  </si>
  <si>
    <t>SS2B -Baish</t>
  </si>
  <si>
    <t>Nadim shikh</t>
  </si>
  <si>
    <t>RC</t>
  </si>
  <si>
    <t>RC field office power supply worth 3.5 MN SAR (not in line with bid clarifications) – need management interaction to club with other projects for the same.</t>
  </si>
  <si>
    <t xml:space="preserve">1.Many meetings conducted with the client to convince them to work as per PTS and prebid clarification, but it is not in line with submitted signed/stamped contract documents. 
RC had asked to share the consent for the same, since it holds 3.5MN payment as per approved Baseline schedule. 
2.Already mailed to our Contracts Team, to share the feedback and budgeted quote for the same. As it needs supplement approval and consent from Contract team. </t>
  </si>
  <si>
    <t xml:space="preserve">1.Management interaction required to negotiate clients by clubbing this scope within RC other projects, so that the cost can be distributed among all JCPDI projects.
2.Contracts Team to take care to descope RC fields offices from other RC Contracts, so that above point can be fulfilled.  </t>
  </si>
  <si>
    <t xml:space="preserve">Senior Management/Client </t>
  </si>
  <si>
    <t>Impact cost by 3.5 MN</t>
  </si>
  <si>
    <t>3.5 MN</t>
  </si>
  <si>
    <t xml:space="preserve">R.C requested additional 7 concrete duct bank which will affect the schedule and cost 
</t>
  </si>
  <si>
    <t xml:space="preserve">Execute duct banks since it is under future roads, delaying the same won’t help us positively. 
</t>
  </si>
  <si>
    <t>Impact cost by 1 MN</t>
  </si>
  <si>
    <t>1 MN</t>
  </si>
  <si>
    <t xml:space="preserve">Delay in Relay Final Settings </t>
  </si>
  <si>
    <t>Several emails, official letters, and coordination meetings were conducted with the concerned parties regarding the delay in relay final settings.</t>
  </si>
  <si>
    <t xml:space="preserve">Expdite the remaning final settings pending with SE &amp; R.C 
</t>
  </si>
  <si>
    <t>Impact cost by 2 MN</t>
  </si>
  <si>
    <r>
      <rPr>
        <b/>
        <u/>
        <sz val="11"/>
        <color theme="1"/>
        <rFont val="Aptos Narrow"/>
        <family val="2"/>
        <scheme val="minor"/>
      </rPr>
      <t>AES Packages Delays</t>
    </r>
    <r>
      <rPr>
        <sz val="11"/>
        <color theme="1"/>
        <rFont val="Aptos Narrow"/>
        <family val="2"/>
        <scheme val="minor"/>
      </rPr>
      <t xml:space="preserve">
1. </t>
    </r>
    <r>
      <rPr>
        <b/>
        <u/>
        <sz val="11"/>
        <color theme="1"/>
        <rFont val="Aptos Narrow"/>
        <family val="2"/>
        <scheme val="minor"/>
      </rPr>
      <t xml:space="preserve">AC/DC : - </t>
    </r>
    <r>
      <rPr>
        <sz val="11"/>
        <color theme="1"/>
        <rFont val="Aptos Narrow"/>
        <family val="2"/>
        <scheme val="minor"/>
      </rPr>
      <t xml:space="preserve">DCDB- DETAILED DESIGN NOT YET COMPLIED AND SUBMITTED, ALREADY DELAYED FOR 2.5 MONTHS , No Confrimation FAT &amp; Delivery Dates Till no.
2. </t>
    </r>
    <r>
      <rPr>
        <b/>
        <u/>
        <sz val="11"/>
        <color theme="1"/>
        <rFont val="Aptos Narrow"/>
        <family val="2"/>
        <scheme val="minor"/>
      </rPr>
      <t xml:space="preserve">SAS SYSTEM:- </t>
    </r>
    <r>
      <rPr>
        <sz val="11"/>
        <color theme="1"/>
        <rFont val="Aptos Narrow"/>
        <family val="2"/>
        <scheme val="minor"/>
      </rPr>
      <t>APPROVED TYPICAL SPL PROVIDED TO MANUFACTURE SAS PANELS, BUT STILL NOT STARTED , No Confrimation FAT &amp; Delivery Dates Till now
3.</t>
    </r>
    <r>
      <rPr>
        <b/>
        <u/>
        <sz val="11"/>
        <color theme="1"/>
        <rFont val="Aptos Narrow"/>
        <family val="2"/>
        <scheme val="minor"/>
      </rPr>
      <t>LV Cables:-</t>
    </r>
    <r>
      <rPr>
        <sz val="11"/>
        <color theme="1"/>
        <rFont val="Aptos Narrow"/>
        <family val="2"/>
        <scheme val="minor"/>
      </rPr>
      <t xml:space="preserve"> FAT date to be confirmed
4. </t>
    </r>
    <r>
      <rPr>
        <b/>
        <u/>
        <sz val="11"/>
        <color theme="1"/>
        <rFont val="Aptos Narrow"/>
        <family val="2"/>
        <scheme val="minor"/>
      </rPr>
      <t>TELECOM PANELS :-</t>
    </r>
    <r>
      <rPr>
        <sz val="11"/>
        <color theme="1"/>
        <rFont val="Aptos Narrow"/>
        <family val="2"/>
        <scheme val="minor"/>
      </rPr>
      <t xml:space="preserve">  No Confrimation FAT &amp; Delivery Dates till now for DVM, MPLS PANELS &amp; DC-DC CONVERTER PANEL                                           
RFTS - site visit is required for SHQ1, Aseelah - SEC schedule is waited.</t>
    </r>
  </si>
  <si>
    <t>Multiple meetings have been conducted with AES to expedite the design process and improve delivery timelines</t>
  </si>
  <si>
    <t>FAT schedule is awaited for LV cables, Telecom panels.
SAS panels manufacturing not started on approved Typical SPL</t>
  </si>
  <si>
    <t>Impact budget 3 MN</t>
  </si>
  <si>
    <t>3M</t>
  </si>
  <si>
    <t xml:space="preserve">CBK fuel liquid changed by supplier with another liquid oil and it is required  to get approval from Sec for the new liquid oil </t>
  </si>
  <si>
    <t>Follow up with supplier to confirm that new oil get approval</t>
  </si>
  <si>
    <t xml:space="preserve">High supervision with the supplier </t>
  </si>
  <si>
    <t>PO Amount: 7 MN</t>
  </si>
  <si>
    <t>PE-329</t>
  </si>
  <si>
    <t>Tabuk OHTL</t>
  </si>
  <si>
    <t xml:space="preserve">Mohanraj </t>
  </si>
  <si>
    <t>33 Towers are in ROW issue (Re-Open after soil investigation Completion), delaying the Access Road &amp; Structure Pad works</t>
  </si>
  <si>
    <t xml:space="preserve">Letter has been issued to SEC to communicate with Landowners for Getting and approval
</t>
  </si>
  <si>
    <t>SEC Need to issue a letter and Continous Follow-up with Landowners to expedite the Approval Process</t>
  </si>
  <si>
    <t xml:space="preserve"> https://alfanargroup-my.sharepoint.com/:b:/g/personal/irfan_shaik_alfanar_com/EbTW6uuxC-FChmlDle4mBF8BbHcn_lTAZzLz_IUJip4-gw?e=MQlJ8q</t>
  </si>
  <si>
    <t>Interface issue with another contractor (TADCO SS) (Required data for CABLE TAIL END CT)</t>
  </si>
  <si>
    <t>Reminder mails sent to SEC for required data of CABLE TAIL END CT</t>
  </si>
  <si>
    <t>Received DATA for CABLE TAIL END CT, RFQ Generated waiting for Quatation from SCD</t>
  </si>
  <si>
    <t>Starting the Construction of Cable Tunnel Inside Energized Buhaira Substation</t>
  </si>
  <si>
    <t>Awaiting SEC-AMD Permit for the Isolation of the Proposed  Cable Tunnel Construction Inside Energized Buhaira Substation</t>
  </si>
  <si>
    <t>Approval Received Verbally to SEC-PDC, SEC-PDC need to Follow-up with SEC-AMD to issue a official aaproval letter to Alfanar</t>
  </si>
  <si>
    <t xml:space="preserve">Foundation design  for 4 Tower waiting approval from SEC-E&amp;DD near Wadi Area due to required HFL report from the Municipality.
</t>
  </si>
  <si>
    <t xml:space="preserve">Alfanar &amp; SEC Submitted a letter to Municipality for HFL Report </t>
  </si>
  <si>
    <t xml:space="preserve">Requested  High Flood level report  from  Tabuk Municipality, Project  Team  continuously coordinating with the Concerned person for getting an approval </t>
  </si>
  <si>
    <t>PE-329-L-66 - Request for HFL Report.pdf</t>
  </si>
  <si>
    <t>Delay in resubmission of rejected submittals by M/s DAR</t>
  </si>
  <si>
    <t>Reminder mails sent DAR to expidte the resubmission of rejected submittals</t>
  </si>
  <si>
    <t xml:space="preserve">Ongoing folow up with DAR to obtain the revised submittals </t>
  </si>
  <si>
    <t>https://alfanargroup-my.sharepoint.com/:u:/g/personal/ahmed_kamal_alfanar_com/EY0f731U-VpPviqwayP-jhEBMPmZTZahw6HR4Dzo6FbFMg?e=zYhkLK</t>
  </si>
  <si>
    <t>Under Ground Power Cables PO amendments</t>
  </si>
  <si>
    <t xml:space="preserve"> Discussion held with SEC PM emphasizing urgency.  Final approval is under review by NG-CEO and anticipated by this week-end.</t>
  </si>
  <si>
    <t>Continuous follow-up with SEC Management team to obtain the necessary approval from NG-CEO</t>
  </si>
  <si>
    <t>Alfanar Managment approved to rasie supplemnt  for Extra UG Cable</t>
  </si>
  <si>
    <t>UG Cable route found temporary obstacles with the existing contractor office &amp; Store facilities</t>
  </si>
  <si>
    <t>Official letter was sent to SEC, by 15 July route will be cleared as per SEC Commitment.</t>
  </si>
  <si>
    <t>SEC-PDC need to expedite Existing Contractor to Clear the Route to Avoid further delay</t>
  </si>
  <si>
    <t>Temporary obstacles found in UG Cable Route.png</t>
  </si>
  <si>
    <t>Tower Assembly commencement hindered due to delay in supply of Tower Material from M/s Energia</t>
  </si>
  <si>
    <t>Meeting Held with SEC-PDC emphasizing urgency and inform them as we received Partial Material of an  each Tower which we cannot complete Tower assembly.</t>
  </si>
  <si>
    <t>SEC-PDC need to issue an official letter to M/s Energia to Expedite the Delivery Process</t>
  </si>
  <si>
    <t>PE-258</t>
  </si>
  <si>
    <t>Taif East Governorate Project</t>
  </si>
  <si>
    <t xml:space="preserve">khaled Abdelaty
</t>
  </si>
  <si>
    <t>OHTL Line parameters from SEC/Other subcontractor  non readiness holding the testing and commissioning</t>
  </si>
  <si>
    <t>Letter shared with SEC to expedite the line parameters</t>
  </si>
  <si>
    <t>Need clearance from SEC/Other contractor for OHTL parameters, to commence the testing activities</t>
  </si>
  <si>
    <t>Weekly meeting and Pending tracker with letters shared to AES to expedited the pending deliverables</t>
  </si>
  <si>
    <r>
      <rPr>
        <sz val="12"/>
        <color rgb="FF000000"/>
        <rFont val="Aptos Narrow"/>
        <family val="2"/>
        <scheme val="minor"/>
      </rPr>
      <t>All Projects AES updated issues mentioned in cell no:</t>
    </r>
    <r>
      <rPr>
        <b/>
        <sz val="20"/>
        <color rgb="FF000000"/>
        <rFont val="Aptos Narrow"/>
        <family val="2"/>
        <scheme val="minor"/>
      </rPr>
      <t xml:space="preserve"> X8</t>
    </r>
  </si>
  <si>
    <t>PE-305</t>
  </si>
  <si>
    <t>Umm Al Qura -110KV SS &amp; UGC</t>
  </si>
  <si>
    <t xml:space="preserve">Mohammad Obeidat
</t>
  </si>
  <si>
    <t>SEC/MASSAR</t>
  </si>
  <si>
    <t>New Change Order from SEC i.e. Blasting for Future Area</t>
  </si>
  <si>
    <t>Construction work cannot be started untill Blasting for Future Area need to be done. Variation Order submitted to MASSAR/KEO/SEC for their review on 12-Jun-25.</t>
  </si>
  <si>
    <t>Project team to followup and need to do the compliances for approval of new Change Order and to start with the contruction of Substation as soon as possible.</t>
  </si>
  <si>
    <t>To start the Construction work approval of STructural Design &amp; STADD model confrimation need to be provided by SEC</t>
  </si>
  <si>
    <t xml:space="preserve">Pre-Cast Design is submitted for approval on 26-Jun-25 &amp; the after approval Structural Design will be submitted. Followup with SEC is on goingoing to provide STADD model confirmation </t>
  </si>
  <si>
    <t>Alfanar Project Team need to get priority for SEC response.</t>
  </si>
  <si>
    <t>New Change Order from SEC i.e. Change in MV Duct to Tunnel</t>
  </si>
  <si>
    <t>RFQ sent to different design offices for the same noting that this part of MASAR scope but needs to be considered in HVAC design</t>
  </si>
  <si>
    <t>Project team to followup for RFQ from SEC for approval of this Change order</t>
  </si>
  <si>
    <t>JAWAZAT/MASSAR</t>
  </si>
  <si>
    <t>Demoblization of Resouces due to lack of Makkah Permit during Hajj</t>
  </si>
  <si>
    <t>Manpower moblized but due to Iqama validity the subcontractor is detained from the site site. Work Stopped.</t>
  </si>
  <si>
    <t>Alfanar need to plan and start for moblization of validate resouces at site as soon as Possible to start the  Blasting, drilling/ excavation work for substation</t>
  </si>
  <si>
    <t>Modification in manufacturing of Power Transformer_ LEEC  as requested by SEC.</t>
  </si>
  <si>
    <t>Manufacturing issue resolved on 17-Jun-25. Expected FAT confirmed on 17- Aug-25 instead of 21-Jul-25.</t>
  </si>
  <si>
    <t>Alfanar need to closely followup with vendor for manufacturing status in order to push the delivery on time</t>
  </si>
  <si>
    <t>SEC/PM/Vendor</t>
  </si>
  <si>
    <t>Finalization of Sub-contract for UG FOC Cable Installation Work on LSTK.</t>
  </si>
  <si>
    <t>RFQ sent to sub-Contractors. Waiting for acceptance and PO issuance.</t>
  </si>
  <si>
    <t>Resouce department to finalze the Sub-contractor immediately</t>
  </si>
  <si>
    <t>ALF-RD/PM</t>
  </si>
  <si>
    <t xml:space="preserve">Requirement to start Sub-Structure work </t>
  </si>
  <si>
    <t>To start the sub-structure work Structural design required approval &amp; confirmation on STADD Model condition</t>
  </si>
  <si>
    <t>SEC needs to expedite the approval of DTS-325 which helps in Finalization of Structural Design Submission/Approval.
Also, confirmation on STADD model to be provided.</t>
  </si>
  <si>
    <t>SEC/MAZAR</t>
  </si>
  <si>
    <t>Coring done, Subject to getting required permission for Hot Blasting from SEC/MASAR governence to start the blasting for grade leveling. Waiting permission from 15-Feb-25.</t>
  </si>
  <si>
    <t>Blasting approval in presence of Governence conducted on 23-Apr-23. &amp; Excavation through drilling is in progress</t>
  </si>
  <si>
    <t>PE-296</t>
  </si>
  <si>
    <t>Waly Alahad-4 110/13.8KV SS</t>
  </si>
  <si>
    <t>Moustafa Elkayyal</t>
  </si>
  <si>
    <t>NCC</t>
  </si>
  <si>
    <t>Delivery of PACU&amp; FAN System, Supposed to delivery on 31-Mar-25 as confirmed by Sub-contractor. But delayed</t>
  </si>
  <si>
    <t>PACU Unit is already delivered on 29-Apr-25. Frequent meeting and followup with sub-contractor to push the delivery of FAN, Disconnectors &amp; Switches. But still no confrimation.</t>
  </si>
  <si>
    <t>Followup is required to expedite the delivery of materials on or before 30-Jun-25.</t>
  </si>
  <si>
    <t>Delivery of Power transformer targeted on 25th Feb still the material not yet supplied at site.</t>
  </si>
  <si>
    <t>Power Transformer Delivered at Site on 10-May-25</t>
  </si>
  <si>
    <t>AL WABEL</t>
  </si>
  <si>
    <t>Delay in delivery for Fire Pumps. Sub-contractor gives the target date by 15-Apr-25. But still not recieved</t>
  </si>
  <si>
    <t>All pumps delivered on 21-Jun-25 except one booster pump tath will be delivered by end of Jul-25</t>
  </si>
  <si>
    <t>Alfanar need to tracker the delivery of remaining pump to avoid any further delay.</t>
  </si>
  <si>
    <t>PE-296_DAR Issues Log (20-Apr-25).xlsx</t>
  </si>
  <si>
    <t>Delay in delivery of NER/NGR by vendor(NSG), although FAT done &amp; Release for shippment issued on 26-Nov-24. Yet delivery date is not finalized.</t>
  </si>
  <si>
    <t>NER delivered on 21-Jun-25</t>
  </si>
  <si>
    <t>Lack of skilled techinician for Termination &amp; testing and commissioning work (10 nos)</t>
  </si>
  <si>
    <t>Sufficent Engineers are available at Site from 10-May-25</t>
  </si>
  <si>
    <t>Inssue Close</t>
  </si>
  <si>
    <t>Vendor/ALF-RMD</t>
  </si>
  <si>
    <t>DILO Machine for GIS-SF6 Gassing/Degassing.</t>
  </si>
  <si>
    <t>Matter Highlighted to RMD</t>
  </si>
  <si>
    <t>DILO Machine for GIS-SF6 Gassing/Degassing should be available in alfanar as asset for smooth work. - Matter to be discussed with RMD for early resolution</t>
  </si>
  <si>
    <t>Required CSD from SEC to start testing &amp; commissioning without precheck.</t>
  </si>
  <si>
    <t>Already submitted request to SEC for their action on 11-Mar-25.</t>
  </si>
  <si>
    <t>SEC need to accept the request and alfanar should followup for the same.</t>
  </si>
  <si>
    <t>Required approval for remote end shut down  by 15-Jun-25</t>
  </si>
  <si>
    <t>Already Shutdown Plan submitted on 19-Jan-25</t>
  </si>
  <si>
    <t xml:space="preserve">Project team need to plan the shut down activities before proposed date. AES need to agree with the Plan date &amp; make necessary arrangement acoordingly. </t>
  </si>
  <si>
    <t>Minimize the Review/approval cycle of submittals to max. 3-4 days.</t>
  </si>
  <si>
    <t>Already issue is highlighted to SEC to reduce the review/Approval Cycle of Submittal to max. 3-4 days.</t>
  </si>
  <si>
    <t xml:space="preserve">Need to revise the PO no. 4800028418 for new Civil Subcontractor  i.e. Alrawi </t>
  </si>
  <si>
    <t>Letter Send to SCD on dated: 04-Apr-2024 to revise the PO for new Civil Sub-contractor</t>
  </si>
  <si>
    <t>SCD to revise the PO for new civil  subcontractor as soon as possible</t>
  </si>
  <si>
    <t xml:space="preserve">work permit receiver C-1  and C-2 required for remote ends </t>
  </si>
  <si>
    <t xml:space="preserve">Admin to accelerate the remaining training to complete the required training to get certified for C-2 and C-1
</t>
  </si>
  <si>
    <t xml:space="preserve">RMD has to provide C-1 and C-2 from November 25 to start work at remote ends 
</t>
  </si>
  <si>
    <t xml:space="preserve">PO is issused for Rental C1 &amp; C2 </t>
  </si>
  <si>
    <t>Dalekovod</t>
  </si>
  <si>
    <t xml:space="preserve">Delay in FAT conduction of hardware fittings (Lot-1) as it was planned to be done in May-26 but supplier is stating that lot1&amp;2 will be combined by mid of Aug-26
</t>
  </si>
  <si>
    <t>Several delay letters &amp; emails sent to supplier from project team &amp; SCD regarding FAT dates</t>
  </si>
  <si>
    <t xml:space="preserve">Follow up closely with supplier &amp; SCD to improve FAT dates.
</t>
  </si>
  <si>
    <t>2.5 Months</t>
  </si>
  <si>
    <t>Delay in expected FAT date as stated by supplier to be on 8-Dec-26 instead of 30-Jun-26</t>
  </si>
  <si>
    <t>Rejection letter sent to supplier requesting to conduct FAT on planned date as per the contractual terms &amp; another letter sent to SEC to support with supplier, but supplier stated that 8-Dec-26 is earliest possible date</t>
  </si>
  <si>
    <t>Follow up with GE to conduct FAT on 30-6-26</t>
  </si>
  <si>
    <t>194 Days</t>
  </si>
  <si>
    <t>PE-278</t>
  </si>
  <si>
    <t>Construction 132kV OHTL/UGC Between Baish West and SS1A at Jazan Economic City in Jazan Region</t>
  </si>
  <si>
    <t>Imran Khalil</t>
  </si>
  <si>
    <t>Delay in access road works as sub-base layer still not started</t>
  </si>
  <si>
    <t xml:space="preserve">Access road sub grade works started on 29-Jan </t>
  </si>
  <si>
    <t>Follow up with SC to expedite works in site</t>
  </si>
  <si>
    <t>LME booking for copper still not finalised from SCD which is affecting project price &amp; issuance of GAFM.</t>
  </si>
  <si>
    <t>Email is sent for SCD to finalize the issue on 21-10-25 but till not booked till date.</t>
  </si>
  <si>
    <t>Follow up closely with SCD to book ASAP to avoid further loses.</t>
  </si>
  <si>
    <t>Delay in replying on comments of towers PO from Energya by SCD which is delaying technical submittal by Energya</t>
  </si>
  <si>
    <t>Several reminders sent to SCD to finalize PO comments with Energya.</t>
  </si>
  <si>
    <t>Follow up closely with SCD to finlaize PO</t>
  </si>
  <si>
    <t>Delay in soil investigation reports submission which is affecting start of foundation design preparation</t>
  </si>
  <si>
    <t>Soil investigation done for 16 boreholes but reports still not submitted</t>
  </si>
  <si>
    <t>Expedite submission of soil investigation reports to start in foundation design accordingly</t>
  </si>
  <si>
    <t>SDEC</t>
  </si>
  <si>
    <t>Low performance of designer affecting engineering progress</t>
  </si>
  <si>
    <t>Weekly meetings held with designer to request target dates for delayed submittals</t>
  </si>
  <si>
    <t>Follow up closely with designer to recover engineeing delays</t>
  </si>
  <si>
    <t>Mr Mohanraj</t>
  </si>
  <si>
    <t>Delay in GAFM issuance for protection</t>
  </si>
  <si>
    <t xml:space="preserve"> Detail Design for Telecom approved and GAFM issued
Protection schematic received CODE-C on 18-Jul-26, under compliance with AES.  GAFM is still awaiting due to same</t>
  </si>
  <si>
    <t>Follow up with AES regarding submission revised/comment complied detailed design drawing for SE approval, Hence, GAFM to be issued accordingly.</t>
  </si>
  <si>
    <t xml:space="preserve">Delay in Earthing &amp; Bonding cable PO placement </t>
  </si>
  <si>
    <t xml:space="preserve">PO issuance pending due to project required qty is lesser than supplier proposed qty. SCM is discussing with the supplier (Bahra cable) for the solution.
</t>
  </si>
  <si>
    <t>Follow up with Bahra cables to resolve the issue and recover delivery timeline</t>
  </si>
  <si>
    <t>PO issued on 13-Jul-26</t>
  </si>
  <si>
    <t xml:space="preserve">Delay in access road &amp; structure pads sub-base works
</t>
  </si>
  <si>
    <t>Sub-base material delivery expedited. Daily work progress enhanced</t>
  </si>
  <si>
    <t>Follow up closely with Site team to maintain/enhabce daily progress</t>
  </si>
  <si>
    <t>Access Road &amp; Structure PAD upto sub-base layer work done</t>
  </si>
  <si>
    <t>Energia</t>
  </si>
  <si>
    <t>Delay in FAT conduction of steel towers &amp; still no confirmed date by supplier</t>
  </si>
  <si>
    <t>Steel tower material Lot-2, 3 &amp; 4 FAT date is pending and Letter from management has been issued and awaiting response from M/s. Energia.
FAT has been done and FAT report under approval. Subsequently, partial BB part delivered at site</t>
  </si>
  <si>
    <t xml:space="preserve">FAT done for Lattice tower material. </t>
  </si>
  <si>
    <t>P.O issuance for SAS modification at remote end</t>
  </si>
  <si>
    <t>Project team already shared for quotations, still p.o not yet issued pending past one month</t>
  </si>
  <si>
    <t xml:space="preserve">SCD need to cancel old p.o with AES and need to issue new P.O </t>
  </si>
  <si>
    <t>PE-118 / 380 KV U/G Cable Makkah Central BSP</t>
  </si>
  <si>
    <t>Additional Cable requirement, P.O issuance</t>
  </si>
  <si>
    <t>Two supplier finalised with immediate materials delivery within one week, SCD need to expedite the issuance of P.O for materials delivery</t>
  </si>
  <si>
    <t>P.O need to issue with one supplier</t>
  </si>
  <si>
    <t>Under Alfanar senior management for final approval</t>
  </si>
  <si>
    <t xml:space="preserve">ACDB &amp; DCDB Panels
AES to provide confirmed FAT Date &amp; Comments Compliance for Detail Design </t>
  </si>
  <si>
    <t xml:space="preserve">Meeting conducted and high follow up </t>
  </si>
  <si>
    <t>High follow up to get confrimation for  FAT dates &amp; Compliance comments</t>
  </si>
  <si>
    <t xml:space="preserve">Communication Sytem
AES to provide confirmed FAT date for Booster. </t>
  </si>
  <si>
    <t>High follow up to get confrimation for  FAT dat</t>
  </si>
  <si>
    <t xml:space="preserve">Jazan Baish </t>
  </si>
  <si>
    <t>Nadim Sheikh</t>
  </si>
  <si>
    <t xml:space="preserve">13.8 KV SWGR - Condenser bus bar delivery, supervisor presence is required for mechanical issue. </t>
  </si>
  <si>
    <t>High follow up to get the  required material</t>
  </si>
  <si>
    <t xml:space="preserve">AES To provide adeliv ery date for Condenser busbar </t>
  </si>
  <si>
    <t>PE-364</t>
  </si>
  <si>
    <t>CONSTRUCTION OF NEW 380KV OHTL BETWEEN NEW HDN -2 AND BAHA BSP</t>
  </si>
  <si>
    <t>Mohamed El-Tohfa</t>
  </si>
  <si>
    <t>Design Issue</t>
  </si>
  <si>
    <t>Delay in Foundation design Approval Driving the Concreting Works Completion.</t>
  </si>
  <si>
    <t>Plan profile &amp; Borehole Plan &amp; Soil Reports Approved
296 Foundation Submitted, only 117 approved</t>
  </si>
  <si>
    <t>follow up with SEC for the approval of foundation design  to commence auguring in the western portion by start of Aug-26</t>
  </si>
  <si>
    <t>PM / SEC</t>
  </si>
  <si>
    <t>Site handover</t>
  </si>
  <si>
    <t>Shortage of qualified auguring subcontractors with sufficient number of equipment to work in hard rock soil. (required min of 15 working machines in the southern portion)</t>
  </si>
  <si>
    <t>Coordination meetings conducted with the SCD to increase the equipment and to engage more subcontractors</t>
  </si>
  <si>
    <t>Management support with SCD to engage more resources</t>
  </si>
  <si>
    <t>Procurement</t>
  </si>
  <si>
    <t>Insulator Vendor Claimed Additional Cost to switch shipment to Jeddah Port
Delayed FAT Schedule for the Tension Insulators that will limit our Progress for conductor stringing.</t>
  </si>
  <si>
    <t>Matter escalated to the SCD</t>
  </si>
  <si>
    <t>Addiitional Cost to be waived according to PO
Required to recover FAT Lot5 for insulators to be conducted by early Dec-26</t>
  </si>
  <si>
    <t>6 Millions SAR</t>
  </si>
  <si>
    <t>Client restricted the use of F-Family towers above 1000m in the Plan Profile, despite being approved in the outline drawings up to 1370m</t>
  </si>
  <si>
    <t>Delayed Material Procurement &amp; Plan Profile Approval</t>
  </si>
  <si>
    <t>Change order submitted (Rejected and requested supporting docuements, and reply provided from AP)
Official letters highlighting the issue and the impact.</t>
  </si>
  <si>
    <t>Letter to SEC highlighting the contradiction between the 2 drawings, or Proceed with VO
Escalating the matter to Top Management to stop the sleapage</t>
  </si>
  <si>
    <t>Delayed full site handover for the western Portion (some permits remaining) with multiple work stoppage cases in the western area.</t>
  </si>
  <si>
    <t>Official letters submitted documenting each case and only partial handover signed</t>
  </si>
  <si>
    <t>Regular official letters to document the delay.
Submitting EOT after the full site handover.</t>
  </si>
  <si>
    <t>8 Months</t>
  </si>
  <si>
    <t>ALBABTAIN is delaying the Tower Stubs delivery by Apr-26, as per PO delivery must be by 18-Feb-26
Additionally, no clarity regarding other Lots delivery dates</t>
  </si>
  <si>
    <t>Delay in civil &amp; Erection works</t>
  </si>
  <si>
    <t>Regular meetings and follow up with the vendor and requirements were provided and awaiting their feedback on the delivery dates.
Meeting conducted with SEC &amp; Vendor to discuss the issue</t>
  </si>
  <si>
    <t>Arranging regular meetings with SEC &amp; Vendor involving the top management.
SC to provide qoutations for other vendors decrease the load on ALBABTAIN</t>
  </si>
  <si>
    <t>PE-321</t>
  </si>
  <si>
    <t>Construction of 380 Kv OHTL Between SS1A BSP &amp; KDM BSP</t>
  </si>
  <si>
    <t>Adil  Bashir</t>
  </si>
  <si>
    <t>Delay in Technical documents submission for conductors, hardware fittings, and tower paint</t>
  </si>
  <si>
    <t>PM coordinates with SCD to make haste vendors list finalization</t>
  </si>
  <si>
    <t>Follwow up with SCD to specify main vendors for the aforementioned materials</t>
  </si>
  <si>
    <t>Tender approved Dalian as a vendor for glass insulators, but they don't manufacture glass insulators so far. so a proposal was sent to SEC for porcelaine insulators instead to be approved. in case of no approval we should go with another vendor.</t>
  </si>
  <si>
    <t>PM sent sec proposal for porcelain insolators from dalian</t>
  </si>
  <si>
    <t>Follow up with sec and securing offers from glass insulators vendors of case of not approval</t>
  </si>
  <si>
    <t>delay in shutdown for remote ends</t>
  </si>
  <si>
    <t>Due to delay in shutdown for remote ends will delay all activities and energization.</t>
  </si>
  <si>
    <t>PM already raised request for Shutdown</t>
  </si>
  <si>
    <t>Portfolio manger has to discuss with SEC Div. Manager for getting approval for shutdown.</t>
  </si>
  <si>
    <t>60 days/250,000 SAR</t>
  </si>
  <si>
    <t>Delay in Approval of EOT</t>
  </si>
  <si>
    <t>Delay in Approval of VO</t>
  </si>
  <si>
    <t xml:space="preserve">Change in 132kV  S/C gratry location outside at  Mikwah </t>
  </si>
  <si>
    <t>Continually follow-up with SEC</t>
  </si>
  <si>
    <t>Higher management need to support for getting approval</t>
  </si>
  <si>
    <t>Tower Type A coastal and SEMI Coastal Delivery (BE &amp; LE)</t>
  </si>
  <si>
    <t xml:space="preserve">Issue eslation to M/s Albabtin Top Management to Support to accelerate the delivery of Towers Type A Coastal and SEMI Coastal </t>
  </si>
  <si>
    <t>Project Team to Follow closely with AL BABTIN to receive the delivery plan for Type A coastal and semi-coastal towers.</t>
  </si>
  <si>
    <t>The current excavation daily rate is 1.33 towers/day, reflecting approximately 35 towers per month, which is below the target of 61 towers per month.</t>
  </si>
  <si>
    <t>The Project Team increased the total number of auger machines to 14 and is negotiating with the subcontractor to add two more machines. In addition, there is a plan to change 20 tower foundations to P&amp;C instead of auger to increase the excavation rate.</t>
  </si>
  <si>
    <t>The daily excavation rate has to increase from 1.33 towers/day to 2.79 towers/day.</t>
  </si>
  <si>
    <t>The current painting rate is 42 tons/day, which would require 12 months to complete and impacts the TCC date.</t>
  </si>
  <si>
    <t>The Project Team is Injecting a second subcontractor, expected to start on 17-Jan-26.</t>
  </si>
  <si>
    <t>The daily Painting rate has to increase from 42 Ton/day to 120 Ton/day.</t>
  </si>
  <si>
    <t>The Special Towers design is still not approved.</t>
  </si>
  <si>
    <t>The Project Team will hold a meeting with PMO, SEC, and AL BABTIN to agree on the optimum solution to complete the design.</t>
  </si>
  <si>
    <t>The base design and final design has to be completed to enable the release of the GAFM.</t>
  </si>
  <si>
    <t>380 Kv OHTL between Kudme BSP and SS1A BSP</t>
  </si>
  <si>
    <t>Adil Bashir</t>
  </si>
  <si>
    <t>Energya</t>
  </si>
  <si>
    <t>the towers steel documents still not submitted</t>
  </si>
  <si>
    <t xml:space="preserve">A mail was sent to the vendor to expedite technical documents receival </t>
  </si>
  <si>
    <t>highlighting to the vendor the implication of late submittal and approval of the technical documents</t>
  </si>
  <si>
    <t>SC</t>
  </si>
  <si>
    <t>The tower paints supplier still isn't finalized</t>
  </si>
  <si>
    <t>SCD was urged to finalize tower paints supplier for speeding up procurement process to maintain the internal deadline</t>
  </si>
  <si>
    <t>finalizing tower paints supplier to start procurement process so the tower paints delivery to site completed before august 26</t>
  </si>
  <si>
    <t>Overall route plan approved in CODE-B. However, KDM Gantry locaiton yet to finalized by client</t>
  </si>
  <si>
    <t>An Email/ meeting held with RC and proposed KDM BSP in order to take cooridinates for the same.</t>
  </si>
  <si>
    <t>held a meeting with the client to finalize changes and expedite route plan approval</t>
  </si>
  <si>
    <t>PM/RC</t>
  </si>
  <si>
    <t xml:space="preserve">Plan &amp; Profile approval pending due to ROW issue in multiple location i.e. PI#11 located inside wadi area, which leads to deviation in approved route layout, PI#27 to 28 coming under Heritage and bridge crossing, PI#20 to End route affected due to tower to tower clearance issue,  </t>
  </si>
  <si>
    <t>A meeting held with RC along with SE on 21-Jul-26,  a alternate route proposal submitted for review . Due to the same, Soil investigation, Foundation desing submission getting impacted</t>
  </si>
  <si>
    <t xml:space="preserve">Follow-up with RC to provide/ resolve route ASAP. </t>
  </si>
  <si>
    <t>02 Months Internal Schedule Impacted</t>
  </si>
  <si>
    <t>DALIAN</t>
  </si>
  <si>
    <t>Delay in delivery of Insulator</t>
  </si>
  <si>
    <t>M/s Dalian confirmed FAT date as follows:
Lot-1 (33%) by 21-Aug-26, Lot-2 (33%) by 25-Nov-26 and Lot-3 (34%) by 20-Jan-27. Subsiquently, Delivery at site in 02 months from FAT approval</t>
  </si>
  <si>
    <t>Follow up with supplier to adhere the FAT date in order to avoid any further delay</t>
  </si>
  <si>
    <t>Access Road</t>
  </si>
  <si>
    <t>Delay in Access Road and Structure Pad  work  due to Enviromental permits</t>
  </si>
  <si>
    <t>NCEC permits obtained, NCVC visited the site and proposed new 4200 nos plantation. Expected completion by 01st wk Jun. Thereafter, NCVC will issue the trees cutting from site/route. Expected by 3rd wk Jun</t>
  </si>
  <si>
    <t>- Submit/handover new 4200 nos new plants to NCVC for existing trees removal. Thereafter, deployment of subcontractor to remove the trees immidiately</t>
  </si>
  <si>
    <t>NCEC permits obtained</t>
  </si>
  <si>
    <t>SARA</t>
  </si>
  <si>
    <t>FAT</t>
  </si>
  <si>
    <t>Delay in FAT for Hardware Fittings</t>
  </si>
  <si>
    <t>70% qty GAFM released on 04th Mar 26, FAT schedule confirmation awaiting</t>
  </si>
  <si>
    <t>Follow-up with M/s Sara to confirm FAT date ASAP</t>
  </si>
  <si>
    <t>PE-375</t>
  </si>
  <si>
    <t>Refurbishment of Ayban substation</t>
  </si>
  <si>
    <t>the designer isn't finalized yet</t>
  </si>
  <si>
    <t>SCD was urged to finalize the designer</t>
  </si>
  <si>
    <t xml:space="preserve">Finalizing the designer and start engineering works </t>
  </si>
  <si>
    <t>NG</t>
  </si>
  <si>
    <t>the distribution team changed the proposed location of the new building</t>
  </si>
  <si>
    <t>a site visit with the distribution department to specify the to be relocated utilities</t>
  </si>
  <si>
    <t>a complete study for the cost impact of relocating existing utilities</t>
  </si>
  <si>
    <t>Mobilization</t>
  </si>
  <si>
    <t>Site offices location not finalized yet</t>
  </si>
  <si>
    <t>We proposed renting outside building</t>
  </si>
  <si>
    <t>Relocation of Existing Feeders</t>
  </si>
  <si>
    <t xml:space="preserve">Relocation of existing 13.8kv feeders poles (4 out of 8 removed) is to be expedite by distribution S/C, payment has been made by Alfanar SAR 479,625 on dated 03-06-2026  </t>
  </si>
  <si>
    <t>Regular Follow ups  with client to expedite the relocation</t>
  </si>
  <si>
    <t>Required Client Support to expedite the relocation</t>
  </si>
  <si>
    <t>Delaying the start of Excavation Work 04 Months</t>
  </si>
  <si>
    <t>Relocation of Existing Dead End Gantries</t>
  </si>
  <si>
    <t xml:space="preserve">Relocation of PLC from existing dead-end gantry is required to start work for dismantling of dead-end gantry from proposed building location </t>
  </si>
  <si>
    <t>Remote End Change</t>
  </si>
  <si>
    <t>Official confirmation required for Proposed Mashaf Remote End S.S instead of KUDMI BSP remote end substation as per given in the PTS. Response is awaited against letter number ALF/Sec/PE-375/0013 dated 29.03.2026.</t>
  </si>
  <si>
    <t>Regular Follow ups  with client to expedite the reply</t>
  </si>
  <si>
    <t>Client need to expedite the reply</t>
  </si>
  <si>
    <t>Remote End Input</t>
  </si>
  <si>
    <t xml:space="preserve">Remote End Substation remaining inputs required for Control, Protection and Telecommunication </t>
  </si>
  <si>
    <t>Regular Follow ups  with client to expedite the inputs</t>
  </si>
  <si>
    <t>Client need to expedite the provision of inputs</t>
  </si>
  <si>
    <t>Design work is delaying for protection and communication at remote ends</t>
  </si>
  <si>
    <t>Panel Availability</t>
  </si>
  <si>
    <t>Confirmation required for the availability of the panels at Switchgear room for Auxiliary Transformer. Response is awaited against letter number ALF/Sec/PE-375/0016 dated 07.04.2026.</t>
  </si>
  <si>
    <t>Regular Follow ups  with client to expedite the required information</t>
  </si>
  <si>
    <t>Shutdown requested to get more information</t>
  </si>
  <si>
    <t>Design for connection of auxiliary transformer is withheld</t>
  </si>
  <si>
    <t>Existing CCTV Removal</t>
  </si>
  <si>
    <t>Relocation of CCTV camera, proposal is submitted and waiting for approval from AMD</t>
  </si>
  <si>
    <t xml:space="preserve">Support is required from SE PMO </t>
  </si>
  <si>
    <t>PE-374</t>
  </si>
  <si>
    <t>AD Dayer SS refurbishment</t>
  </si>
  <si>
    <t>Mozam Ali</t>
  </si>
  <si>
    <t>Site works</t>
  </si>
  <si>
    <t>MV Cables detected in the main building area during excavation</t>
  </si>
  <si>
    <t>Outage and relocation plan will be submitted</t>
  </si>
  <si>
    <t>Expediting SE for permits and outage plan approval</t>
  </si>
  <si>
    <t>Relocation of existing facilioties ( Oil Pit)</t>
  </si>
  <si>
    <t>Method statement submitted</t>
  </si>
  <si>
    <t>Starting relocation by 8-aug-26</t>
  </si>
  <si>
    <t>PM/SE</t>
  </si>
  <si>
    <t>PE-341</t>
  </si>
  <si>
    <t>Expansion of the existing Khamis, Abha, and Bisha substations</t>
  </si>
  <si>
    <t>Shawkat Alrjoub</t>
  </si>
  <si>
    <t>VO</t>
  </si>
  <si>
    <t>Notification for Scope Variation Due to Revealed Discrepancy in Site connection from PTS23S388 Scope of work at ABHE BSP</t>
  </si>
  <si>
    <t>Documents uploaded to oracle, waiting for SE approval</t>
  </si>
  <si>
    <t>Follow up with SE for approval as all requirements fulfilled</t>
  </si>
  <si>
    <t>1,370,000 SAR</t>
  </si>
  <si>
    <t>Material delivery</t>
  </si>
  <si>
    <t>Delay delivery dates for HGIS &amp; LCC from GE in Khamis; FAT conducted on 31-Jul-26, but routine test report wasn’t ready for submission and will be ready in September. Which will delay delivery to Dec-26</t>
  </si>
  <si>
    <t>A meeting to be conducted with GE to improve delivery</t>
  </si>
  <si>
    <t>Time will be recovered in EOT submitted</t>
  </si>
  <si>
    <t>PM/SE/GE</t>
  </si>
  <si>
    <t>4months</t>
  </si>
  <si>
    <t>Hitachi</t>
  </si>
  <si>
    <t>Delay in delivery of HV bushings from Hitachi due to geopolitical issues</t>
  </si>
  <si>
    <t>A letter sent to SE under force majeure clause dor Extension of time</t>
  </si>
  <si>
    <t>PM/SE/Hitachi</t>
  </si>
  <si>
    <t>1 month</t>
  </si>
  <si>
    <t>Delay in Delivery for ABHE SHR of Hitachi Due to Long Lead delivery from Supplier and avoidance of the red sea due to geopolitical issues</t>
  </si>
  <si>
    <t>Sourcing shipping vessel to Doqum port in Oman. And transferring it through land from there. Or revise PO to FOB and handle shipment by supply chain.</t>
  </si>
  <si>
    <t>SEC ID &amp; Gate pass long cycle</t>
  </si>
  <si>
    <t>We requested to apply manually</t>
  </si>
  <si>
    <t>Delay in SAS design Package from AES</t>
  </si>
  <si>
    <t>Escalation to AES higher management with descoping potential to go with GE instead, and not considering AES for SAS package in PE-392</t>
  </si>
  <si>
    <t>PM/FCG</t>
  </si>
  <si>
    <t xml:space="preserve">Civil design for the fence is not yet completed
</t>
  </si>
  <si>
    <t>High follow up to solve the issue</t>
  </si>
  <si>
    <t>Urgent coordination meeting to finalize the fence design</t>
  </si>
  <si>
    <t xml:space="preserve">Asphalt subcontractor has not started work 
</t>
  </si>
  <si>
    <t>Issue a formal notice to the asphalt subcontractor for immediate mobilization</t>
  </si>
  <si>
    <t>Siemens</t>
  </si>
  <si>
    <t xml:space="preserve">Outdoor 132 kV GIB delivery is pending as the first shipment was delivered on 11 November 2025 and the remaining shipment was planned to be delivered no later than two months ago ;  till date, the remaining shipment has not been delivered by Siemens by SEC, causing significant delay.
</t>
  </si>
  <si>
    <t xml:space="preserve">Escalate urgently to Siemens management to ensure immediate delivery of the remaining Outdoor 132 kV GIS shipment </t>
  </si>
  <si>
    <t>Remaining gantry materials are not delivered (by Energia)</t>
  </si>
  <si>
    <t>Confirm readiness of the installation subcontractor to start gantry installation immediately upon delivery and completion of painting works</t>
  </si>
  <si>
    <t>SAS Team</t>
  </si>
  <si>
    <t>SAS team has not been mobilized yet. The SAS works have been ready for more than one week, and an official email was sent to the SAS team on 05 Apr 2026 requesting mobilization and site readiness. However, no mobilization has occurred to date, which is impacting testing and commissioning progress.</t>
  </si>
  <si>
    <t>Expedite SAS team mobilization and confirm site availability date</t>
  </si>
  <si>
    <t>380/132 kV GIS CT &amp; VT termination works are not compliant with SEC standards, improper lugs are (CT ring type and VT hook type) but it comes with pin-type lugs and terminal blocks, the installed terminal blocks and termination arrangement do not comply with SEC requirements</t>
  </si>
  <si>
    <t>Escalate urgently to Siemens management to ensure to rectify CT &amp; VT termination issues as soon as possible</t>
  </si>
  <si>
    <t>PE-400</t>
  </si>
  <si>
    <t>132KV Between Samitah &amp; AlMuktarah in Jizan</t>
  </si>
  <si>
    <t>Ayman El-Attar</t>
  </si>
  <si>
    <t>Delay in finalization of major materials PO</t>
  </si>
  <si>
    <t>PO issued for Towers,OPGW,Insulators &amp; Grounding Materials</t>
  </si>
  <si>
    <t>Follow up with SCD to finalize PO of HV cables, conductors &amp; hardware fittings</t>
  </si>
  <si>
    <t>2 Weeks</t>
  </si>
  <si>
    <t>Aux. Transformed BD rejected due to power source identification</t>
  </si>
  <si>
    <t>RMU to be proposed as a change order</t>
  </si>
  <si>
    <t>Precast design still not submitted which delays substructure design</t>
  </si>
  <si>
    <t>Supplier was required to submit schedule. and according to his schedule design to be received before 15-aug-26</t>
  </si>
  <si>
    <t>Delay in GAFM for Protection &amp; Control panel due to delay in design approval as there is hard access for information from the remote ends substation as they are old substations</t>
  </si>
  <si>
    <t>Relay list resubmitted for approval after retrieving data from remote end</t>
  </si>
  <si>
    <t>Expediting SE for relay panel list approval</t>
  </si>
  <si>
    <t>PM/SE/AES</t>
  </si>
  <si>
    <t>SE proposed shutdown plan that exends till 30-Jan-27 wich is after Contractual TCC and will have an impact of 1 month on Bisha milestones</t>
  </si>
  <si>
    <t>We submitted an outage proposal according to our readiness to document the case. and upon confirmation of SE proposed outage plan the time impact will be assessed to submit a separate EOT. How ever Hitachi requested 4 month shutdown in their installation schedule</t>
  </si>
  <si>
    <t>5 months</t>
  </si>
  <si>
    <t>Delay in delivery of Steel tower material, Which effecting tower painting and erection work</t>
  </si>
  <si>
    <t>Email/Letter from project has been issued to Supplier for expedite the dispatch process. A reponse received from supplier on dt: 02-Aug-26 regarding shortage of transportation system due to current geo-political issue</t>
  </si>
  <si>
    <t>Follow-up with supplier to expedite mfc and dispatch/ delivery  the tower material at site  process</t>
  </si>
  <si>
    <t xml:space="preserve">Delay in Gantry design finalization and GAFM issuance
</t>
  </si>
  <si>
    <t xml:space="preserve">TG-1 Gantry stubs &amp; template: Shop &amp; Erection submitted and under review with E&amp;DD.
TG-2 &amp; 132 kV take-off desing approved by SE
</t>
  </si>
  <si>
    <t>Gantry Lattice Structure: Shop &amp; Erection dwg anticipated submission by 10-Aug-26. 
GAFM to be issued upon receipt of approval</t>
  </si>
  <si>
    <t>Delay in Tower Foundation work</t>
  </si>
  <si>
    <t>Foundation work commencement on 21-Jun-26.  As of 05-Aug-26, 06 nos tower foundation up to 2nd layer concrete work completed.</t>
  </si>
  <si>
    <t>Additional crew/ machine needs to mobilize to expedite the progress in order to acheive target finish date</t>
  </si>
  <si>
    <t>PM/Project Team</t>
  </si>
  <si>
    <t>Delay in UG cable laying work commencement</t>
  </si>
  <si>
    <t>ROW clearance / Permits issuance request letter submitted to SE multiple times</t>
  </si>
  <si>
    <t>Follow-up with SE to issue ROW cleramace/ permits issuance from RC, MOT and ARAMCO</t>
  </si>
  <si>
    <t>OHTL Tower Foundation Design</t>
  </si>
  <si>
    <t>Alfanar has submitted the documents to SE for review and approval. However, the approval process is currently delayed on SE's side</t>
  </si>
  <si>
    <t>Immediate intervention is required to avoid further delays, which could adversely impact the tower foundation construction works.</t>
  </si>
  <si>
    <t>PM/PE/DAR</t>
  </si>
  <si>
    <t>Logistics Dept</t>
  </si>
  <si>
    <r>
      <rPr>
        <u/>
        <sz val="11"/>
        <color rgb="FF000000"/>
        <rFont val="Aptos Narrow"/>
        <family val="2"/>
        <scheme val="minor"/>
      </rPr>
      <t>Delay in Vessel Berth  at Jeddah Seaport for the following materials:</t>
    </r>
    <r>
      <rPr>
        <sz val="11"/>
        <color rgb="FF000000"/>
        <rFont val="Aptos Narrow"/>
        <family val="2"/>
        <scheme val="minor"/>
      </rPr>
      <t xml:space="preserve">
1- 132 kV Power Transformers from LEEEC  
2- OPGW wire and Joint boxes.
3- Delay in custom release for the 132 kV outdoor GIB.</t>
    </r>
  </si>
  <si>
    <t>Despite multiple follow-ups with the Logistics Department, the exact berth confirmation has not yet been provided, preventing the release of materials from Jeddah Port</t>
  </si>
  <si>
    <t>Your immediate attention and support are requested in coordinating with the Logistics Department to expedite the release of the materials, thereby avoiding delays in installation and enabling the commencement of pre-check activities</t>
  </si>
  <si>
    <t>Delay in Remote End / Telecom Works</t>
  </si>
  <si>
    <t>required certified manpower/C1 holders for remote-end telecom works</t>
  </si>
  <si>
    <t>Searching for C1 holders</t>
  </si>
  <si>
    <t>Arrange required certified manpower/C1 holders for remote-end telecom works and check cheaper rental/qualified companies instead of depending only on existing resources.</t>
  </si>
  <si>
    <t>alfanar</t>
  </si>
  <si>
    <t>Mechanical missing material</t>
  </si>
  <si>
    <t>Fire hydrant system piping &amp; fire alarm system delay due to not availability of material</t>
  </si>
  <si>
    <t>communicated with al majal and they deliveried fire hydrant system piping but pending fire alarm system</t>
  </si>
  <si>
    <t>Issue notice to Al Majal that delayed materials will be procured from alternative suppliers at their cost; penalties apply for continued delay.</t>
  </si>
  <si>
    <t>Delay in OHTL change order approval from sec</t>
  </si>
  <si>
    <t>SE rejected the Change Order; a clarification letter shall be submitted.</t>
  </si>
  <si>
    <t xml:space="preserve"> clarification letter shall be submitted.</t>
  </si>
  <si>
    <t>Major delay in AES response regarding the timeline and technical clarifications for new telecom scope.</t>
  </si>
  <si>
    <t xml:space="preserve">Escalation has been done </t>
  </si>
  <si>
    <t>waiting for response.</t>
  </si>
  <si>
    <t>Design approval for final setting calculation and Metrosil</t>
  </si>
  <si>
    <t xml:space="preserve">(Received partially) Under review since more than 3 month and escalation letter sent </t>
  </si>
  <si>
    <t>Scope</t>
  </si>
  <si>
    <t>New Scope of telecom in remote end</t>
  </si>
  <si>
    <t>Escalation has been done waiting for AES response</t>
  </si>
  <si>
    <t>Total No. of issues</t>
  </si>
  <si>
    <t>Issues Log Statistics</t>
  </si>
  <si>
    <t>No</t>
  </si>
  <si>
    <t>Issues No.</t>
  </si>
  <si>
    <t>%</t>
  </si>
  <si>
    <t>Criticality</t>
  </si>
  <si>
    <t>No.</t>
  </si>
  <si>
    <t>Issue Owner</t>
  </si>
  <si>
    <t>Al Majal</t>
  </si>
  <si>
    <t>Applus</t>
  </si>
  <si>
    <t>Alfanar Dep.</t>
  </si>
  <si>
    <t>Supplement</t>
  </si>
  <si>
    <t>Priority by SEC</t>
  </si>
  <si>
    <t xml:space="preserve">Hitachi </t>
  </si>
  <si>
    <t>Tri Delta</t>
  </si>
  <si>
    <t>Achievement</t>
  </si>
  <si>
    <t>No. Issues</t>
  </si>
  <si>
    <t>Vendors</t>
  </si>
  <si>
    <t>Maricon_UAE</t>
  </si>
  <si>
    <t>Al Babtain</t>
  </si>
  <si>
    <t>Rezayat trading Company</t>
  </si>
  <si>
    <t>date Issued</t>
  </si>
  <si>
    <t>HV test not yet started which scheduled on 16 Feb 2025.</t>
  </si>
  <si>
    <t>Client and supplier must expedite in start HV test.</t>
  </si>
  <si>
    <t>Delay in manufacturing of Power Transformer by SPTC as the expected FAT is (Aug-25)</t>
  </si>
  <si>
    <t xml:space="preserve">EOT submitted to recover the delay in Transformer delivery, and it is under approval with SEC </t>
  </si>
  <si>
    <t>Full support is required from vendor to expedite the material delivery, We should follow up with SEC for the approval of EOT</t>
  </si>
  <si>
    <t>8 Months Delay</t>
  </si>
  <si>
    <t>Issue still affecting our project's progress</t>
  </si>
  <si>
    <t>Delay in manufacturing of SWGR due to design change (Jul-25)</t>
  </si>
  <si>
    <t xml:space="preserve">Regular meetings and factory visits with SIEMENS are being conducted to expedite the delivery timeline. </t>
  </si>
  <si>
    <t>Full support is required from vendor to expedite the material delivery. There is a possibility of delivering it by April 2025 if Alfanar covers the transportation cost via air freight (SAR 600K) from Germany to the Jeddah factory. However, this would require senior management approval.</t>
  </si>
  <si>
    <t>MNGT/PM /Vendor</t>
  </si>
  <si>
    <t>Delay in manufacturing of GIS by HITACHI due to manufacturing demand &amp; design change for 2 times</t>
  </si>
  <si>
    <t>Frequent meeting &amp; Factory visit with HITACHI to enhanced LCC Panels delivery to mid of Mar 25, GIS FAT Date , Apr 25  .</t>
  </si>
  <si>
    <t>4 Months Delay</t>
  </si>
  <si>
    <t xml:space="preserve">Ther's a delay from the Vendor in supplying (SIS) </t>
  </si>
  <si>
    <t>We make several meetings with them, and also inform Purchase department
GAFM has been issued in Aug-24</t>
  </si>
  <si>
    <t>Management should take action with them, Letter should be issued to claim their delay from Purchase department</t>
  </si>
  <si>
    <t>Frequent meeting with TRENCH to enhance deliver  to Apr 25 to mitigate the delay.</t>
  </si>
  <si>
    <t>Delay in manufacturing of Power Transformer by SPTC as the FAT is Aug-25</t>
  </si>
  <si>
    <t>Frequent meeting &amp; Factory visit with SPTC to enhance deliver before Apr 25 to mitigate the delay as our TCC Contractual is 12-Jul-25​</t>
  </si>
  <si>
    <t>Frequent meeting &amp; Factory visit with HITACHI to enhance deliver before Apr25 to mitigate the delay​</t>
  </si>
  <si>
    <t>Higher management should take this matter with Hitachi</t>
  </si>
  <si>
    <t>Delay in manufacturing of SWGR due to design change as the delivery is expected by End of May 25</t>
  </si>
  <si>
    <t>Frequent meeting &amp; Factory visit with SIEMENS to enhance deliver before End of Apr 25 to mitigate the delay​</t>
  </si>
  <si>
    <t>Delay in manufacturing of CT by TRENCH due to recent Flood as the expected delivery is May-25</t>
  </si>
  <si>
    <t>Frequent meeting with TRENCH to enhance deliver before MAR25 to mitigate the delay​</t>
  </si>
  <si>
    <t>Higher management had made meeting and decided already with TRENCH to deliver in May. ​</t>
  </si>
  <si>
    <t>4 months</t>
  </si>
  <si>
    <t xml:space="preserve">Delayed GAFM in Protection , Metering and SAS due to delayed Detail Design approval </t>
  </si>
  <si>
    <t>1. Partial GAFM released for Protection panels 
2. Meetings and foolow ups getting conducted for expediting design approvals
3. Close follow up with Factory to get the submittals and compliances</t>
  </si>
  <si>
    <t xml:space="preserve">
1.After GAFM required commitment from Alfanar factory for FAT date in line with Project schedule.</t>
  </si>
  <si>
    <t>PM/Procurement/ vendor</t>
  </si>
  <si>
    <t>70 Days delays</t>
  </si>
  <si>
    <t>Except SAS panels, GAFM to be released</t>
  </si>
  <si>
    <t>No Confirmed date from AES for the FAT and Delivery date for Equipment (SWGR, SAS, Protection, Telecom, Panels, Cyper Security)</t>
  </si>
  <si>
    <t>Several Meetings arranged with AES to expedite design phases and Provide GAFM and now waiting for target dates for these Equipment</t>
  </si>
  <si>
    <t>High management follow up to get the delivery in line with the time schedule</t>
  </si>
  <si>
    <t xml:space="preserve">CBK fuel liquid changed by supplier with anthor liquid oil and it is required  to get approval from Sec for the new liquid oil </t>
  </si>
  <si>
    <t>Follow up with supplier to confrim that new oil get approval</t>
  </si>
  <si>
    <t>Arranged several meetings with AES and a warning letter has been issued.
Telecom and Grounding situation has been enhanced.</t>
  </si>
  <si>
    <t xml:space="preserve">Close follow up on the remaining Points below:
1. Protection detail design and delivery
2. SAS sysetm Design and Delivery
3. Fault Locator Detail Design and Delivery
4. AES : to share AC Panels base design  R02 
5. AES : to share DC Panels base design  R01 </t>
  </si>
  <si>
    <t>Schedule.
1 month</t>
  </si>
  <si>
    <t>Insulators FAT schedule need to be enhanced from Dec’25 to Oct’2025.​</t>
  </si>
  <si>
    <t>1. We have issued a letter to SEPDC with force major case due to the fire occurred at Lapp factory
2. Several meeting have been arranged with LAPP to reduce the delivery 
3. Lapp confirmed the FAT by October 2025.</t>
  </si>
  <si>
    <t>Follow up and try to enhnace the delivery more if possible
Delivery to be confirmed after GAFM after Plan &amp; Profile approval.</t>
  </si>
  <si>
    <t>Delay in receiving the final date of Delivery from Hitachi for 132 KV GIS</t>
  </si>
  <si>
    <t>Several Meetings and mails have been sent from Project team to accelerate the feedback from Vendor</t>
  </si>
  <si>
    <t>Follow up with the vendor to have final feedback</t>
  </si>
  <si>
    <t>Delay in delivery of 132KV Power Transformer according to vendor’s plan ( SPTC). Delivery in Feb’26.​</t>
  </si>
  <si>
    <t>25/12/2025 as per supplier</t>
  </si>
  <si>
    <t>our schedule date in May, but the PO date in December, delivery now after our TCC</t>
  </si>
  <si>
    <t>The issue has been escalated to supply chain and supply chain sent official letter to the supplier.</t>
  </si>
  <si>
    <t>The supplier must follow the contractual delivery schedule.</t>
  </si>
  <si>
    <t>After our TCC</t>
  </si>
  <si>
    <t>Delay in the confirmation date for FAT and delivery for the main Material and Equipment (SWGR, Station service TR, Panels, Protection, SAS, Communication)</t>
  </si>
  <si>
    <t>Follow up with Vendoe to confirm the final date of delivery of every item</t>
  </si>
  <si>
    <t>Pushing the supplier to expedite in delivery of precast.</t>
  </si>
  <si>
    <t xml:space="preserve">Delay from Alfanar factory in providing the designs and delivery date. Such as ( protection, SAS &amp; telecom).​ </t>
  </si>
  <si>
    <t>Close follow up on the remaining Points below:
1. Protection detail design and delivery 
2. SAS sysetm Design and Delivery 
3. Fault Locator Detail Design and Delivery</t>
  </si>
  <si>
    <t>30 days delay</t>
  </si>
  <si>
    <t>No Confirmed date from AES for the FAT and Delivery date for Equipment (SWGR, SAS,MV Cables Protection, Telecom, Panels, Cyper Security)</t>
  </si>
  <si>
    <t>High management follow up to get the delivery in line with the time schedule as they confirmed date by End of Aug while the planned is 15-Jul</t>
  </si>
  <si>
    <t>1. We have issued a letter to SEPDC with force major case due to the fire occurred at Lapp factory 2. Several meeting have been arranged with LAPP to reduce the delivery 3. Lapp confirmed the FAT by October 2025.</t>
  </si>
  <si>
    <t>Follow up and try to enhnace the delivery more if possible Delivery to be confirmed after GAFM after Plan &amp; Profile approval.</t>
  </si>
  <si>
    <t xml:space="preserve">schedule impact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</si>
</sst>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0_);[Red]\(0.00\)"/>
    <numFmt numFmtId="166" formatCode="[$-409]dd/mmm/yy;@"/>
    <numFmt numFmtId="167" formatCode="[$-409]dd\-mmm\-yy;@"/>
  </numFmts>
  <fonts count="47">
    <font>
      <sz val="11"/>
      <color theme="1"/>
      <name val="Aptos Narrow"/>
      <family val="2"/>
      <scheme val="minor"/>
    </font>
    <font>
      <b/>
      <sz val="11"/>
      <color rgb="FFFFFFFF"/>
      <name val="Calibri"/>
      <family val="2"/>
    </font>
    <font>
      <sz val="12"/>
      <color theme="1"/>
      <name val="Aptos Narrow"/>
      <family val="2"/>
      <scheme val="minor"/>
    </font>
    <font>
      <vertAlign val="superscript"/>
      <sz val="11"/>
      <color rgb="FF000000"/>
      <name val="Aptos Display"/>
      <family val="2"/>
    </font>
    <font>
      <sz val="11"/>
      <color rgb="FF000000"/>
      <name val="Aptos Display"/>
      <family val="2"/>
    </font>
    <font>
      <sz val="8"/>
      <name val="Aptos Narrow"/>
      <family val="2"/>
      <scheme val="minor"/>
    </font>
    <font>
      <b/>
      <sz val="12"/>
      <color theme="1"/>
      <name val="Aptos Narrow"/>
      <family val="2"/>
      <scheme val="minor"/>
    </font>
    <font>
      <sz val="11"/>
      <color theme="1"/>
      <name val="Aptos Narrow"/>
      <family val="2"/>
      <scheme val="minor"/>
    </font>
    <font>
      <b/>
      <i/>
      <sz val="11"/>
      <color theme="1"/>
      <name val="Aptos Narrow"/>
      <family val="2"/>
      <scheme val="minor"/>
    </font>
    <font>
      <b/>
      <i/>
      <u/>
      <sz val="28"/>
      <color theme="1"/>
      <name val="Aptos Narrow"/>
      <family val="2"/>
      <scheme val="minor"/>
    </font>
    <font>
      <u/>
      <sz val="11"/>
      <color theme="10"/>
      <name val="Aptos Narrow"/>
      <family val="2"/>
      <scheme val="minor"/>
    </font>
    <font>
      <sz val="11"/>
      <color rgb="FF000000"/>
      <name val="Aptos Narrow"/>
      <family val="2"/>
      <scheme val="minor"/>
    </font>
    <font>
      <strike/>
      <sz val="11"/>
      <color rgb="FF000000"/>
      <name val="Aptos Narrow"/>
      <family val="2"/>
      <scheme val="minor"/>
    </font>
    <font>
      <sz val="11"/>
      <color rgb="FF000000"/>
      <name val="Aptos Narrow"/>
      <family val="2"/>
    </font>
    <font>
      <sz val="12"/>
      <color rgb="FF000000"/>
      <name val="Aptos Narrow"/>
      <family val="2"/>
    </font>
    <font>
      <sz val="12"/>
      <color rgb="FF000000"/>
      <name val="Aptos Narrow"/>
      <family val="2"/>
      <scheme val="minor"/>
    </font>
    <font>
      <b/>
      <sz val="11"/>
      <color theme="1"/>
      <name val="Aptos Narrow"/>
      <family val="2"/>
      <scheme val="minor"/>
    </font>
    <font>
      <sz val="12"/>
      <color theme="1"/>
      <name val="Arial"/>
      <family val="2"/>
    </font>
    <font>
      <sz val="12"/>
      <color rgb="FF4D4D4F"/>
      <name val="Calibri"/>
      <family val="2"/>
    </font>
    <font>
      <u/>
      <sz val="11"/>
      <color theme="1"/>
      <name val="Aptos Narrow"/>
      <family val="2"/>
      <scheme val="minor"/>
    </font>
    <font>
      <sz val="11"/>
      <color rgb="FF000000"/>
      <name val="Calibri"/>
      <family val="2"/>
    </font>
    <font>
      <sz val="12"/>
      <color rgb="FF000000"/>
      <name val="Calibri"/>
      <family val="2"/>
    </font>
    <font>
      <sz val="10"/>
      <color theme="1"/>
      <name val="Aptos Narrow"/>
      <family val="2"/>
      <scheme val="minor"/>
    </font>
    <font>
      <b/>
      <sz val="20"/>
      <color rgb="FF000000"/>
      <name val="Aptos Narrow"/>
      <family val="2"/>
      <scheme val="minor"/>
    </font>
    <font>
      <b/>
      <u/>
      <sz val="11"/>
      <color theme="1"/>
      <name val="Aptos Narrow"/>
      <family val="2"/>
      <scheme val="minor"/>
    </font>
    <font>
      <sz val="11"/>
      <color rgb="FF000000"/>
      <name val="Aptos Narrow"/>
      <family val="2"/>
      <charset val="1"/>
    </font>
    <font>
      <vertAlign val="superscript"/>
      <sz val="11"/>
      <color rgb="FF000000"/>
      <name val="Aptos Narrow"/>
      <family val="2"/>
      <charset val="1"/>
    </font>
    <font>
      <vertAlign val="superscript"/>
      <sz val="11"/>
      <color rgb="FF000000"/>
      <name val="Aptos Narrow"/>
      <family val="2"/>
    </font>
    <font>
      <sz val="11"/>
      <color rgb="FFFF0000"/>
      <name val="Aptos Narrow"/>
      <family val="2"/>
    </font>
    <font>
      <sz val="11"/>
      <color theme="1"/>
      <name val="Aptos Narrow"/>
      <family val="2"/>
    </font>
    <font>
      <vertAlign val="superscript"/>
      <sz val="11"/>
      <color rgb="FF000000"/>
      <name val="Calibri"/>
      <family val="2"/>
    </font>
    <font>
      <sz val="11"/>
      <color rgb="FF242424"/>
      <name val="Aptos Narrow"/>
      <family val="2"/>
    </font>
    <font>
      <sz val="12"/>
      <color theme="1"/>
      <name val="Aptos"/>
      <family val="2"/>
    </font>
    <font>
      <b/>
      <u/>
      <sz val="11"/>
      <color rgb="FF000000"/>
      <name val="Aptos Narrow"/>
      <family val="2"/>
      <scheme val="minor"/>
    </font>
    <font>
      <vertAlign val="superscript"/>
      <sz val="12"/>
      <color rgb="FF000000"/>
      <name val="Calibri"/>
      <family val="2"/>
    </font>
    <font>
      <b/>
      <sz val="11"/>
      <color rgb="FF000000"/>
      <name val="Aptos Narrow"/>
      <family val="2"/>
      <scheme val="minor"/>
    </font>
    <font>
      <b/>
      <u/>
      <sz val="11"/>
      <color rgb="FF000000"/>
      <name val="Aptos Narrow"/>
      <family val="2"/>
    </font>
    <font>
      <b/>
      <u/>
      <sz val="14"/>
      <color rgb="FF000000"/>
      <name val="Aptos Narrow"/>
      <family val="2"/>
    </font>
    <font>
      <sz val="10.5"/>
      <color rgb="FF000000"/>
      <name val="Calibri"/>
      <family val="2"/>
    </font>
    <font>
      <sz val="12"/>
      <color rgb="FFFF0000"/>
      <name val="Aptos Narrow"/>
      <family val="2"/>
      <scheme val="minor"/>
    </font>
    <font>
      <sz val="11"/>
      <color theme="1"/>
      <name val="Aptos"/>
      <family val="2"/>
      <charset val="1"/>
    </font>
    <font>
      <sz val="11"/>
      <color theme="1"/>
      <name val="Segoe UI"/>
      <family val="2"/>
    </font>
    <font>
      <sz val="10"/>
      <color rgb="FF000000"/>
      <name val="Arial"/>
      <family val="2"/>
    </font>
    <font>
      <b/>
      <u/>
      <sz val="10.5"/>
      <color rgb="FF000000"/>
      <name val="Calibri"/>
      <family val="2"/>
    </font>
    <font>
      <sz val="11"/>
      <color theme="1"/>
      <name val="Aptos"/>
      <family val="2"/>
    </font>
    <font>
      <u/>
      <sz val="11"/>
      <color rgb="FF000000"/>
      <name val="Aptos Narrow"/>
      <family val="2"/>
      <scheme val="minor"/>
    </font>
    <font>
      <sz val="10"/>
      <color rgb="FF000000"/>
      <name val="Calibri"/>
      <family val="2"/>
    </font>
  </fonts>
  <fills count="18">
    <fill>
      <patternFill patternType="none"/>
    </fill>
    <fill>
      <patternFill patternType="gray125"/>
    </fill>
    <fill>
      <patternFill patternType="solid">
        <fgColor rgb="FF156082"/>
        <bgColor rgb="FF000000"/>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39997558519241921"/>
        <bgColor indexed="65"/>
      </patternFill>
    </fill>
    <fill>
      <patternFill patternType="solid">
        <fgColor rgb="FF92D050"/>
        <bgColor indexed="64"/>
      </patternFill>
    </fill>
    <fill>
      <patternFill patternType="solid">
        <fgColor theme="0"/>
        <bgColor indexed="64"/>
      </patternFill>
    </fill>
    <fill>
      <patternFill patternType="solid">
        <fgColor rgb="FFDDEBF7"/>
        <bgColor rgb="FFDDEBF7"/>
      </patternFill>
    </fill>
    <fill>
      <patternFill patternType="solid">
        <fgColor theme="4" tint="0.79998168889431442"/>
        <bgColor indexed="64"/>
      </patternFill>
    </fill>
    <fill>
      <patternFill patternType="solid">
        <fgColor rgb="FFC0E6F5"/>
        <bgColor rgb="FFC0E6F5"/>
      </patternFill>
    </fill>
    <fill>
      <patternFill patternType="solid">
        <fgColor rgb="FF00B050"/>
        <bgColor rgb="FF000000"/>
      </patternFill>
    </fill>
    <fill>
      <patternFill patternType="solid">
        <fgColor rgb="FFFF0000"/>
        <bgColor rgb="FF000000"/>
      </patternFill>
    </fill>
    <fill>
      <patternFill patternType="solid">
        <fgColor rgb="FFFFC000"/>
        <bgColor rgb="FFC0E6F5"/>
      </patternFill>
    </fill>
    <fill>
      <patternFill patternType="solid">
        <fgColor rgb="FFFF0000"/>
        <bgColor rgb="FFC0E6F5"/>
      </patternFill>
    </fill>
  </fills>
  <borders count="29">
    <border>
      <left/>
      <right/>
      <top/>
      <bottom/>
      <diagonal/>
    </border>
    <border>
      <left/>
      <right style="thin">
        <color indexed="64"/>
      </right>
      <top style="thin">
        <color rgb="FF000000"/>
      </top>
      <bottom style="thin">
        <color indexed="64"/>
      </bottom>
      <diagonal/>
    </border>
    <border>
      <left style="medium">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top style="thin">
        <color rgb="FF000000"/>
      </top>
      <bottom/>
      <diagonal/>
    </border>
    <border>
      <left/>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bottom/>
      <diagonal/>
    </border>
  </borders>
  <cellStyleXfs count="4">
    <xf numFmtId="0" fontId="0" fillId="0" borderId="0"/>
    <xf numFmtId="9" fontId="7" fillId="0" borderId="0" applyFont="0" applyFill="0" applyBorder="0" applyAlignment="0" applyProtection="0"/>
    <xf numFmtId="0" fontId="7" fillId="8" borderId="0" applyNumberFormat="0" applyBorder="0" applyAlignment="0" applyProtection="0"/>
    <xf numFmtId="0" fontId="10" fillId="0" borderId="0" applyNumberFormat="0" applyFill="0" applyBorder="0" applyAlignment="0" applyProtection="0"/>
  </cellStyleXfs>
  <cellXfs count="23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xf>
    <xf numFmtId="15" fontId="2" fillId="3" borderId="3" xfId="0" applyNumberFormat="1" applyFont="1" applyFill="1" applyBorder="1" applyAlignment="1">
      <alignment horizontal="center" vertical="center"/>
    </xf>
    <xf numFmtId="0" fontId="0" fillId="3" borderId="3" xfId="0" applyFill="1" applyBorder="1" applyAlignment="1">
      <alignment horizontal="left" vertical="center" wrapText="1"/>
    </xf>
    <xf numFmtId="165" fontId="0" fillId="3" borderId="3" xfId="0" applyNumberFormat="1" applyFill="1" applyBorder="1" applyAlignment="1">
      <alignment horizontal="center" vertical="center"/>
    </xf>
    <xf numFmtId="0" fontId="0" fillId="3" borderId="3" xfId="0" applyFill="1" applyBorder="1" applyAlignment="1">
      <alignment horizontal="center" vertical="center" wrapText="1"/>
    </xf>
    <xf numFmtId="164" fontId="0" fillId="3" borderId="3" xfId="0" applyNumberFormat="1" applyFill="1" applyBorder="1" applyAlignment="1">
      <alignment horizontal="center" vertical="center" wrapText="1"/>
    </xf>
    <xf numFmtId="15" fontId="2" fillId="3" borderId="3" xfId="0" applyNumberFormat="1" applyFont="1" applyFill="1" applyBorder="1" applyAlignment="1">
      <alignment horizontal="center" vertical="center" wrapText="1"/>
    </xf>
    <xf numFmtId="15" fontId="2" fillId="3" borderId="4" xfId="0" applyNumberFormat="1" applyFont="1" applyFill="1" applyBorder="1" applyAlignment="1">
      <alignment horizontal="center" vertical="center" wrapText="1"/>
    </xf>
    <xf numFmtId="0" fontId="2" fillId="0" borderId="3" xfId="0" applyFont="1" applyBorder="1" applyAlignment="1">
      <alignment horizontal="center" vertical="center"/>
    </xf>
    <xf numFmtId="15" fontId="2" fillId="0" borderId="3" xfId="0" applyNumberFormat="1" applyFont="1" applyBorder="1" applyAlignment="1">
      <alignment horizontal="center" vertical="center"/>
    </xf>
    <xf numFmtId="0" fontId="0" fillId="0" borderId="3" xfId="0" applyBorder="1" applyAlignment="1">
      <alignment horizontal="left" vertical="center" wrapText="1"/>
    </xf>
    <xf numFmtId="165" fontId="0" fillId="0" borderId="3" xfId="0" applyNumberFormat="1" applyBorder="1" applyAlignment="1">
      <alignment horizontal="center" vertical="center"/>
    </xf>
    <xf numFmtId="0" fontId="0" fillId="0" borderId="3" xfId="0" applyBorder="1" applyAlignment="1">
      <alignment horizontal="center" vertical="center" wrapText="1"/>
    </xf>
    <xf numFmtId="164" fontId="0" fillId="0" borderId="3" xfId="0" applyNumberFormat="1" applyBorder="1" applyAlignment="1">
      <alignment horizontal="center" vertical="center" wrapText="1"/>
    </xf>
    <xf numFmtId="15" fontId="2" fillId="0" borderId="3" xfId="0" applyNumberFormat="1" applyFont="1" applyBorder="1" applyAlignment="1">
      <alignment horizontal="center" vertical="center" wrapText="1"/>
    </xf>
    <xf numFmtId="15" fontId="2" fillId="0" borderId="4" xfId="0" applyNumberFormat="1" applyFont="1" applyBorder="1" applyAlignment="1">
      <alignment horizontal="center" vertical="center" wrapText="1"/>
    </xf>
    <xf numFmtId="0" fontId="0" fillId="0" borderId="6" xfId="0"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2" fillId="3" borderId="5"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0" fillId="3" borderId="9" xfId="0" applyFill="1"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15" fontId="2" fillId="0" borderId="7" xfId="0" applyNumberFormat="1" applyFont="1" applyBorder="1" applyAlignment="1">
      <alignment horizontal="center" vertical="center"/>
    </xf>
    <xf numFmtId="0" fontId="0" fillId="0" borderId="7" xfId="0" applyBorder="1" applyAlignment="1">
      <alignment horizontal="left" vertical="center" wrapText="1"/>
    </xf>
    <xf numFmtId="165" fontId="0" fillId="0" borderId="7" xfId="0" applyNumberFormat="1" applyBorder="1" applyAlignment="1">
      <alignment horizontal="center" vertical="center"/>
    </xf>
    <xf numFmtId="0" fontId="0" fillId="0" borderId="7" xfId="0" applyBorder="1" applyAlignment="1">
      <alignment horizontal="center" vertical="center" wrapText="1"/>
    </xf>
    <xf numFmtId="164" fontId="0" fillId="0" borderId="7" xfId="0" applyNumberFormat="1" applyBorder="1" applyAlignment="1">
      <alignment horizontal="center" vertical="center" wrapText="1"/>
    </xf>
    <xf numFmtId="15" fontId="2" fillId="0" borderId="7" xfId="0" applyNumberFormat="1" applyFont="1" applyBorder="1" applyAlignment="1">
      <alignment horizontal="center" vertical="center" wrapText="1"/>
    </xf>
    <xf numFmtId="15" fontId="2" fillId="0" borderId="11" xfId="0" applyNumberFormat="1" applyFont="1" applyBorder="1" applyAlignment="1">
      <alignment horizontal="center" vertical="center" wrapText="1"/>
    </xf>
    <xf numFmtId="0" fontId="0" fillId="0" borderId="0" xfId="0" applyAlignment="1">
      <alignment horizontal="center" vertical="center" wrapText="1"/>
    </xf>
    <xf numFmtId="0" fontId="6" fillId="5" borderId="0" xfId="0" applyFont="1" applyFill="1" applyAlignment="1">
      <alignment horizontal="center" vertical="center"/>
    </xf>
    <xf numFmtId="0" fontId="6" fillId="4" borderId="0" xfId="0" applyFont="1" applyFill="1" applyAlignment="1">
      <alignment horizontal="center" vertical="center"/>
    </xf>
    <xf numFmtId="0" fontId="6" fillId="6" borderId="0" xfId="0" applyFont="1" applyFill="1" applyAlignment="1">
      <alignment horizontal="center" vertical="center"/>
    </xf>
    <xf numFmtId="0" fontId="0" fillId="0" borderId="0" xfId="0" applyAlignment="1">
      <alignment horizontal="center" vertical="center"/>
    </xf>
    <xf numFmtId="0" fontId="6" fillId="7" borderId="0" xfId="0" applyFont="1" applyFill="1" applyAlignment="1">
      <alignment horizontal="center" vertical="center"/>
    </xf>
    <xf numFmtId="165" fontId="0" fillId="0" borderId="3" xfId="0" applyNumberFormat="1" applyBorder="1" applyAlignment="1">
      <alignment horizontal="center" vertical="center" wrapText="1"/>
    </xf>
    <xf numFmtId="0" fontId="6" fillId="0" borderId="0" xfId="0" applyFont="1" applyAlignment="1">
      <alignment horizontal="center" vertical="center"/>
    </xf>
    <xf numFmtId="0" fontId="1" fillId="2" borderId="12" xfId="0" applyFont="1" applyFill="1" applyBorder="1" applyAlignment="1">
      <alignment horizontal="center" vertical="center" wrapText="1"/>
    </xf>
    <xf numFmtId="164" fontId="0" fillId="0" borderId="0" xfId="0" applyNumberFormat="1" applyAlignment="1">
      <alignment horizontal="center" vertical="center" wrapText="1"/>
    </xf>
    <xf numFmtId="0" fontId="0" fillId="5" borderId="0" xfId="0" applyFill="1" applyAlignment="1">
      <alignment horizontal="center" vertical="center"/>
    </xf>
    <xf numFmtId="15" fontId="2" fillId="6" borderId="3" xfId="0" applyNumberFormat="1" applyFont="1" applyFill="1" applyBorder="1" applyAlignment="1">
      <alignment horizontal="center" vertical="center" wrapText="1"/>
    </xf>
    <xf numFmtId="0" fontId="8" fillId="0" borderId="3" xfId="0" applyFont="1" applyBorder="1" applyAlignment="1">
      <alignment horizontal="center" vertical="center"/>
    </xf>
    <xf numFmtId="9" fontId="8" fillId="0" borderId="3" xfId="1" applyFont="1" applyBorder="1" applyAlignment="1">
      <alignment horizontal="center" vertical="center"/>
    </xf>
    <xf numFmtId="0" fontId="0" fillId="0" borderId="0" xfId="0" applyAlignment="1">
      <alignment vertical="center"/>
    </xf>
    <xf numFmtId="0" fontId="8" fillId="8" borderId="3" xfId="2" applyFont="1" applyBorder="1" applyAlignment="1">
      <alignment horizontal="center" vertical="center"/>
    </xf>
    <xf numFmtId="0" fontId="8" fillId="0" borderId="3" xfId="0" applyFont="1"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15" fontId="2" fillId="9" borderId="3" xfId="0" applyNumberFormat="1" applyFont="1" applyFill="1" applyBorder="1" applyAlignment="1">
      <alignment horizontal="center" vertical="center" wrapText="1"/>
    </xf>
    <xf numFmtId="0" fontId="0" fillId="0" borderId="21" xfId="0" applyBorder="1" applyAlignment="1">
      <alignment horizontal="center" vertical="center"/>
    </xf>
    <xf numFmtId="0" fontId="0" fillId="0" borderId="12" xfId="0" applyBorder="1" applyAlignment="1">
      <alignment horizontal="center" vertical="center" wrapText="1"/>
    </xf>
    <xf numFmtId="0" fontId="0" fillId="0" borderId="3" xfId="0" applyBorder="1" applyAlignment="1">
      <alignment vertical="center" wrapText="1"/>
    </xf>
    <xf numFmtId="0" fontId="0" fillId="0" borderId="12" xfId="0" applyBorder="1" applyAlignment="1">
      <alignment horizontal="left" vertical="center" wrapText="1"/>
    </xf>
    <xf numFmtId="0" fontId="0" fillId="0" borderId="0" xfId="0" applyAlignment="1">
      <alignment vertical="center" wrapText="1"/>
    </xf>
    <xf numFmtId="14" fontId="0" fillId="0" borderId="0" xfId="0" applyNumberFormat="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horizontal="center" vertical="center" wrapText="1"/>
    </xf>
    <xf numFmtId="0" fontId="13" fillId="0" borderId="3" xfId="0" applyFont="1" applyBorder="1" applyAlignment="1">
      <alignment wrapText="1"/>
    </xf>
    <xf numFmtId="0" fontId="10" fillId="0" borderId="0" xfId="3"/>
    <xf numFmtId="164" fontId="0" fillId="0" borderId="3" xfId="0" applyNumberFormat="1" applyBorder="1" applyAlignment="1">
      <alignment vertical="center" wrapText="1"/>
    </xf>
    <xf numFmtId="15" fontId="2" fillId="0" borderId="3" xfId="0" applyNumberFormat="1" applyFont="1" applyBorder="1" applyAlignment="1">
      <alignment vertical="center" wrapText="1"/>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15" fontId="2" fillId="0" borderId="22" xfId="0" applyNumberFormat="1" applyFont="1" applyBorder="1" applyAlignment="1">
      <alignment horizontal="center" vertical="center"/>
    </xf>
    <xf numFmtId="0" fontId="2" fillId="3" borderId="23" xfId="0" applyFont="1" applyFill="1" applyBorder="1" applyAlignment="1">
      <alignment horizontal="center" vertical="center" wrapText="1"/>
    </xf>
    <xf numFmtId="0" fontId="0" fillId="3" borderId="5" xfId="0" applyFill="1" applyBorder="1" applyAlignment="1">
      <alignment horizontal="center" vertical="center" wrapText="1"/>
    </xf>
    <xf numFmtId="0" fontId="0" fillId="0" borderId="5" xfId="0" applyBorder="1" applyAlignment="1">
      <alignment horizontal="center" vertical="center" wrapText="1"/>
    </xf>
    <xf numFmtId="0" fontId="0" fillId="10" borderId="0" xfId="0" applyFill="1" applyAlignment="1">
      <alignment horizontal="center" vertical="center"/>
    </xf>
    <xf numFmtId="164" fontId="0" fillId="0" borderId="0" xfId="0" applyNumberFormat="1" applyAlignment="1">
      <alignment horizontal="center" vertical="center"/>
    </xf>
    <xf numFmtId="15" fontId="0" fillId="0" borderId="3" xfId="0" applyNumberFormat="1" applyBorder="1" applyAlignment="1">
      <alignment horizontal="center" vertical="center" wrapText="1"/>
    </xf>
    <xf numFmtId="0" fontId="17" fillId="0" borderId="3" xfId="0" applyFont="1" applyBorder="1" applyAlignment="1">
      <alignment vertical="center" wrapText="1" readingOrder="1"/>
    </xf>
    <xf numFmtId="0" fontId="18" fillId="0" borderId="3" xfId="0" applyFont="1" applyBorder="1" applyAlignment="1">
      <alignment horizontal="left" vertical="center" wrapText="1" readingOrder="1"/>
    </xf>
    <xf numFmtId="0" fontId="20" fillId="12" borderId="3"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2" fillId="0" borderId="0" xfId="0" applyFont="1" applyAlignment="1">
      <alignment vertical="center"/>
    </xf>
    <xf numFmtId="0" fontId="8" fillId="0" borderId="0" xfId="0" applyFont="1" applyAlignment="1">
      <alignment vertical="center"/>
    </xf>
    <xf numFmtId="164" fontId="2" fillId="0" borderId="3" xfId="0" applyNumberFormat="1" applyFont="1" applyBorder="1" applyAlignment="1">
      <alignment horizontal="center" vertical="center" wrapText="1"/>
    </xf>
    <xf numFmtId="0" fontId="22" fillId="0" borderId="3" xfId="0" applyFont="1" applyBorder="1" applyAlignment="1">
      <alignment horizontal="center" vertical="center" wrapText="1"/>
    </xf>
    <xf numFmtId="0" fontId="0" fillId="0" borderId="3" xfId="0" applyBorder="1" applyAlignment="1">
      <alignment horizontal="center" vertical="center"/>
    </xf>
    <xf numFmtId="0" fontId="2" fillId="3" borderId="2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24" xfId="0" applyBorder="1" applyAlignment="1">
      <alignment horizontal="center" vertical="center"/>
    </xf>
    <xf numFmtId="0" fontId="29" fillId="0" borderId="3" xfId="0" applyFont="1" applyBorder="1" applyAlignment="1">
      <alignment horizontal="center" vertical="center" wrapText="1"/>
    </xf>
    <xf numFmtId="15" fontId="0" fillId="0" borderId="3" xfId="0" applyNumberFormat="1" applyBorder="1" applyAlignment="1">
      <alignment horizontal="center" vertical="center"/>
    </xf>
    <xf numFmtId="0" fontId="20" fillId="0" borderId="3" xfId="0" applyFont="1" applyBorder="1" applyAlignment="1">
      <alignment vertical="center" wrapText="1"/>
    </xf>
    <xf numFmtId="0" fontId="13" fillId="0" borderId="3" xfId="0" applyFont="1" applyBorder="1"/>
    <xf numFmtId="0" fontId="0" fillId="10" borderId="3" xfId="0" applyFill="1" applyBorder="1" applyAlignment="1">
      <alignment horizontal="center" vertical="center"/>
    </xf>
    <xf numFmtId="164" fontId="0" fillId="10" borderId="3" xfId="0" applyNumberFormat="1" applyFill="1" applyBorder="1" applyAlignment="1">
      <alignment horizontal="center" vertical="center" wrapText="1"/>
    </xf>
    <xf numFmtId="0" fontId="2" fillId="6" borderId="3" xfId="0" applyFont="1" applyFill="1" applyBorder="1" applyAlignment="1">
      <alignment horizontal="center" vertical="center"/>
    </xf>
    <xf numFmtId="0" fontId="0" fillId="10" borderId="3" xfId="0" applyFill="1" applyBorder="1" applyAlignment="1">
      <alignment horizontal="center" vertical="center" wrapText="1"/>
    </xf>
    <xf numFmtId="0" fontId="10" fillId="0" borderId="3" xfId="3" applyBorder="1" applyAlignment="1">
      <alignment horizontal="center" vertical="center" wrapText="1"/>
    </xf>
    <xf numFmtId="0" fontId="10" fillId="0" borderId="3" xfId="3" applyBorder="1" applyAlignment="1">
      <alignment wrapText="1"/>
    </xf>
    <xf numFmtId="15" fontId="15" fillId="0" borderId="3" xfId="0" applyNumberFormat="1" applyFont="1" applyBorder="1" applyAlignment="1">
      <alignment horizontal="center" vertical="center" wrapText="1"/>
    </xf>
    <xf numFmtId="15" fontId="15" fillId="0" borderId="3" xfId="0" applyNumberFormat="1" applyFont="1" applyBorder="1" applyAlignment="1">
      <alignment horizontal="left" vertical="center" wrapText="1"/>
    </xf>
    <xf numFmtId="0" fontId="31" fillId="0" borderId="3" xfId="0" applyFont="1" applyBorder="1"/>
    <xf numFmtId="0" fontId="31" fillId="0" borderId="3" xfId="0" applyFont="1" applyBorder="1" applyAlignment="1">
      <alignment horizontal="center" vertical="center" wrapText="1"/>
    </xf>
    <xf numFmtId="0" fontId="2" fillId="0" borderId="6" xfId="0" applyFont="1" applyBorder="1" applyAlignment="1">
      <alignment horizontal="center" vertical="center"/>
    </xf>
    <xf numFmtId="0" fontId="21" fillId="0" borderId="3" xfId="0" applyFont="1" applyBorder="1" applyAlignment="1">
      <alignment vertical="center" wrapText="1" readingOrder="1"/>
    </xf>
    <xf numFmtId="0" fontId="13" fillId="0" borderId="3" xfId="0" applyFont="1" applyBorder="1" applyAlignment="1">
      <alignment horizontal="left" vertical="center" wrapText="1"/>
    </xf>
    <xf numFmtId="0" fontId="20" fillId="0" borderId="3" xfId="0" applyFont="1" applyBorder="1" applyAlignment="1">
      <alignment horizontal="center" vertical="center" wrapText="1"/>
    </xf>
    <xf numFmtId="0" fontId="2" fillId="0" borderId="3" xfId="0" applyFont="1" applyBorder="1" applyAlignment="1">
      <alignment vertical="center"/>
    </xf>
    <xf numFmtId="0" fontId="2" fillId="0" borderId="3" xfId="0" applyFont="1" applyBorder="1" applyAlignment="1">
      <alignment horizontal="left" vertical="center" wrapText="1"/>
    </xf>
    <xf numFmtId="0" fontId="11" fillId="0" borderId="3" xfId="0" applyFont="1" applyBorder="1" applyAlignment="1">
      <alignment horizontal="left" vertical="center" wrapText="1"/>
    </xf>
    <xf numFmtId="0" fontId="2" fillId="3" borderId="3" xfId="0" applyFont="1" applyFill="1" applyBorder="1" applyAlignment="1">
      <alignment horizontal="center" vertical="center"/>
    </xf>
    <xf numFmtId="49" fontId="0" fillId="3" borderId="3" xfId="0" applyNumberFormat="1" applyFill="1" applyBorder="1" applyAlignment="1">
      <alignment horizontal="center" vertical="center" wrapText="1"/>
    </xf>
    <xf numFmtId="0" fontId="13" fillId="0" borderId="3" xfId="0" applyFont="1" applyBorder="1" applyAlignment="1">
      <alignment horizontal="center" wrapText="1"/>
    </xf>
    <xf numFmtId="0" fontId="10" fillId="0" borderId="3" xfId="3" applyBorder="1" applyAlignment="1">
      <alignment horizontal="center" vertical="center"/>
    </xf>
    <xf numFmtId="0" fontId="11" fillId="0" borderId="3" xfId="0" applyFont="1" applyBorder="1" applyAlignment="1">
      <alignment horizontal="center" vertical="center" wrapText="1"/>
    </xf>
    <xf numFmtId="0" fontId="14" fillId="0" borderId="3" xfId="0" applyFont="1" applyBorder="1" applyAlignment="1">
      <alignment wrapText="1"/>
    </xf>
    <xf numFmtId="0" fontId="14" fillId="0" borderId="3" xfId="0" applyFont="1" applyBorder="1" applyAlignment="1">
      <alignment horizontal="center" vertical="center" wrapText="1"/>
    </xf>
    <xf numFmtId="0" fontId="11" fillId="0" borderId="3" xfId="0" applyFont="1" applyBorder="1" applyAlignment="1">
      <alignment horizontal="center" vertical="center"/>
    </xf>
    <xf numFmtId="0" fontId="11" fillId="0" borderId="3" xfId="0" applyFont="1" applyBorder="1" applyAlignment="1">
      <alignment horizontal="left" vertical="center"/>
    </xf>
    <xf numFmtId="0" fontId="11" fillId="0" borderId="3" xfId="0" applyFont="1" applyBorder="1" applyAlignment="1">
      <alignment horizontal="left"/>
    </xf>
    <xf numFmtId="0" fontId="11" fillId="0" borderId="3" xfId="0" applyFont="1" applyBorder="1" applyAlignment="1">
      <alignment vertical="center"/>
    </xf>
    <xf numFmtId="15" fontId="11" fillId="0" borderId="3" xfId="0" applyNumberFormat="1" applyFont="1" applyBorder="1" applyAlignment="1">
      <alignment horizontal="center" vertical="center"/>
    </xf>
    <xf numFmtId="0" fontId="11" fillId="0" borderId="3" xfId="0" applyFont="1" applyBorder="1" applyAlignment="1">
      <alignment vertical="center" wrapText="1"/>
    </xf>
    <xf numFmtId="0" fontId="11" fillId="0" borderId="3" xfId="0" applyFont="1" applyBorder="1" applyAlignment="1">
      <alignment horizontal="center"/>
    </xf>
    <xf numFmtId="15" fontId="11" fillId="0" borderId="3" xfId="0" applyNumberFormat="1" applyFont="1" applyBorder="1" applyAlignment="1">
      <alignment horizontal="center"/>
    </xf>
    <xf numFmtId="0" fontId="32" fillId="0" borderId="3" xfId="0" applyFont="1" applyBorder="1"/>
    <xf numFmtId="0" fontId="20" fillId="0" borderId="3" xfId="0" applyFont="1" applyBorder="1" applyAlignment="1">
      <alignment wrapText="1"/>
    </xf>
    <xf numFmtId="0" fontId="10" fillId="0" borderId="3" xfId="3" applyBorder="1"/>
    <xf numFmtId="0" fontId="0" fillId="12" borderId="3" xfId="0" applyFill="1" applyBorder="1" applyAlignment="1">
      <alignment horizontal="center" vertical="center" wrapText="1"/>
    </xf>
    <xf numFmtId="0" fontId="0" fillId="12" borderId="3" xfId="0" applyFill="1" applyBorder="1" applyAlignment="1">
      <alignment horizontal="center" vertical="center"/>
    </xf>
    <xf numFmtId="0" fontId="21" fillId="12" borderId="3" xfId="0" applyFont="1" applyFill="1" applyBorder="1" applyAlignment="1">
      <alignment horizontal="center" vertical="center"/>
    </xf>
    <xf numFmtId="0" fontId="21" fillId="12" borderId="3" xfId="0" applyFont="1" applyFill="1" applyBorder="1" applyAlignment="1">
      <alignment horizontal="center" vertical="center" wrapText="1"/>
    </xf>
    <xf numFmtId="0" fontId="17" fillId="0" borderId="3" xfId="0" applyFont="1" applyBorder="1" applyAlignment="1">
      <alignment horizontal="left" vertical="center" wrapText="1"/>
    </xf>
    <xf numFmtId="0" fontId="0" fillId="0" borderId="3" xfId="0" applyBorder="1" applyAlignment="1">
      <alignment horizontal="left" vertical="center"/>
    </xf>
    <xf numFmtId="0" fontId="10" fillId="0" borderId="3" xfId="3" applyBorder="1" applyAlignment="1">
      <alignment horizontal="center"/>
    </xf>
    <xf numFmtId="4" fontId="0" fillId="0" borderId="3" xfId="0" applyNumberFormat="1" applyBorder="1" applyAlignment="1">
      <alignment horizontal="center" vertical="center" wrapText="1"/>
    </xf>
    <xf numFmtId="0" fontId="13" fillId="13" borderId="3" xfId="0" applyFont="1" applyFill="1" applyBorder="1" applyAlignment="1">
      <alignment horizontal="left" vertical="center" wrapText="1"/>
    </xf>
    <xf numFmtId="0" fontId="14" fillId="14" borderId="3" xfId="0" applyFont="1" applyFill="1" applyBorder="1" applyAlignment="1">
      <alignment horizontal="center" vertical="center" wrapText="1"/>
    </xf>
    <xf numFmtId="0" fontId="13" fillId="15" borderId="3" xfId="0" applyFont="1" applyFill="1" applyBorder="1" applyAlignment="1">
      <alignment horizontal="center" vertical="center" wrapText="1"/>
    </xf>
    <xf numFmtId="15" fontId="14" fillId="0" borderId="3" xfId="0" applyNumberFormat="1" applyFont="1" applyBorder="1" applyAlignment="1">
      <alignment horizontal="center" vertical="center" wrapText="1"/>
    </xf>
    <xf numFmtId="0" fontId="25" fillId="0" borderId="21" xfId="0" applyFont="1" applyBorder="1" applyAlignment="1">
      <alignment horizontal="left" wrapText="1" indent="1"/>
    </xf>
    <xf numFmtId="0" fontId="0" fillId="0" borderId="21" xfId="0" applyBorder="1" applyAlignment="1">
      <alignment horizontal="left" wrapText="1" indent="1"/>
    </xf>
    <xf numFmtId="0" fontId="0" fillId="0" borderId="21" xfId="0" applyBorder="1" applyAlignment="1">
      <alignment horizontal="left" indent="1"/>
    </xf>
    <xf numFmtId="0" fontId="0" fillId="0" borderId="21" xfId="0" applyBorder="1" applyAlignment="1">
      <alignment horizontal="center" vertical="center" wrapText="1" indent="1"/>
    </xf>
    <xf numFmtId="0" fontId="11" fillId="0" borderId="3" xfId="0" applyFont="1" applyBorder="1" applyAlignment="1">
      <alignment horizontal="left" vertical="top" wrapText="1"/>
    </xf>
    <xf numFmtId="0" fontId="15" fillId="0" borderId="3" xfId="0" applyFont="1" applyBorder="1" applyAlignment="1">
      <alignment horizontal="left" vertical="center" wrapText="1"/>
    </xf>
    <xf numFmtId="0" fontId="13" fillId="0" borderId="21" xfId="0" applyFont="1" applyBorder="1" applyAlignment="1">
      <alignment horizontal="left" wrapText="1" indent="1"/>
    </xf>
    <xf numFmtId="0" fontId="31" fillId="0" borderId="0" xfId="0" applyFont="1" applyAlignment="1">
      <alignment horizontal="center" vertical="center"/>
    </xf>
    <xf numFmtId="0" fontId="24" fillId="0" borderId="3" xfId="0" applyFont="1" applyBorder="1" applyAlignment="1">
      <alignment horizontal="left" vertical="center" wrapText="1"/>
    </xf>
    <xf numFmtId="0" fontId="33" fillId="0" borderId="3" xfId="0" applyFont="1" applyBorder="1" applyAlignment="1">
      <alignment vertical="center" wrapText="1"/>
    </xf>
    <xf numFmtId="0" fontId="0" fillId="0" borderId="26" xfId="0" applyBorder="1" applyAlignment="1">
      <alignment vertical="center"/>
    </xf>
    <xf numFmtId="0" fontId="0" fillId="0" borderId="27" xfId="0" applyBorder="1" applyAlignment="1">
      <alignment vertical="center"/>
    </xf>
    <xf numFmtId="0" fontId="0" fillId="0" borderId="7" xfId="0" applyBorder="1" applyAlignment="1">
      <alignment horizontal="center" vertical="center"/>
    </xf>
    <xf numFmtId="165" fontId="0" fillId="0" borderId="7" xfId="0" applyNumberFormat="1" applyBorder="1" applyAlignment="1">
      <alignment horizontal="center" vertical="center" wrapText="1"/>
    </xf>
    <xf numFmtId="0" fontId="10" fillId="0" borderId="7" xfId="3" applyBorder="1" applyAlignment="1">
      <alignment horizontal="center" vertical="center" wrapText="1"/>
    </xf>
    <xf numFmtId="0" fontId="33" fillId="0" borderId="3" xfId="0" applyFont="1" applyBorder="1" applyAlignment="1">
      <alignment horizontal="left" vertical="center" wrapText="1"/>
    </xf>
    <xf numFmtId="0" fontId="33" fillId="0" borderId="3" xfId="0" applyFont="1" applyBorder="1" applyAlignment="1">
      <alignment horizontal="left" vertical="top" wrapText="1"/>
    </xf>
    <xf numFmtId="165" fontId="0" fillId="3" borderId="3" xfId="0" applyNumberFormat="1" applyFill="1" applyBorder="1" applyAlignment="1">
      <alignment horizontal="center" vertical="center" wrapText="1"/>
    </xf>
    <xf numFmtId="0" fontId="0" fillId="3" borderId="7" xfId="0" applyFill="1" applyBorder="1" applyAlignment="1">
      <alignment horizontal="center" vertical="center" wrapText="1"/>
    </xf>
    <xf numFmtId="164" fontId="0" fillId="3" borderId="7" xfId="0" applyNumberFormat="1" applyFill="1" applyBorder="1" applyAlignment="1">
      <alignment horizontal="center" vertical="center" wrapText="1"/>
    </xf>
    <xf numFmtId="15" fontId="2" fillId="3" borderId="7" xfId="0" applyNumberFormat="1" applyFont="1" applyFill="1" applyBorder="1" applyAlignment="1">
      <alignment horizontal="center" vertical="center" wrapText="1"/>
    </xf>
    <xf numFmtId="164" fontId="2" fillId="3" borderId="7" xfId="0" applyNumberFormat="1" applyFont="1" applyFill="1" applyBorder="1" applyAlignment="1">
      <alignment horizontal="center" vertical="center" wrapText="1"/>
    </xf>
    <xf numFmtId="14" fontId="0" fillId="0" borderId="3" xfId="0" applyNumberFormat="1" applyBorder="1" applyAlignment="1">
      <alignment horizontal="center" vertical="center" wrapText="1"/>
    </xf>
    <xf numFmtId="17" fontId="0" fillId="0" borderId="3" xfId="0" applyNumberFormat="1" applyBorder="1" applyAlignment="1">
      <alignment horizontal="center" vertical="center"/>
    </xf>
    <xf numFmtId="0" fontId="0" fillId="0" borderId="3" xfId="0" applyBorder="1" applyAlignment="1">
      <alignment horizontal="left" vertical="top" wrapText="1"/>
    </xf>
    <xf numFmtId="0" fontId="31" fillId="0" borderId="3" xfId="0" applyFont="1" applyBorder="1" applyAlignment="1">
      <alignment horizontal="left" vertical="top" wrapText="1"/>
    </xf>
    <xf numFmtId="0" fontId="20" fillId="0" borderId="0" xfId="0" applyFont="1"/>
    <xf numFmtId="0" fontId="14" fillId="0" borderId="0" xfId="0" applyFont="1"/>
    <xf numFmtId="0" fontId="31" fillId="0" borderId="3" xfId="0" applyFont="1" applyBorder="1" applyAlignment="1">
      <alignment horizontal="left" vertical="top"/>
    </xf>
    <xf numFmtId="0" fontId="38" fillId="0" borderId="0" xfId="0" applyFont="1" applyAlignment="1">
      <alignment horizontal="left" vertical="center" readingOrder="1"/>
    </xf>
    <xf numFmtId="0" fontId="13" fillId="13" borderId="28" xfId="0" applyFont="1" applyFill="1" applyBorder="1" applyAlignment="1">
      <alignment horizontal="center" vertical="center" wrapText="1"/>
    </xf>
    <xf numFmtId="0" fontId="13" fillId="13" borderId="0" xfId="0" applyFont="1" applyFill="1" applyAlignment="1">
      <alignment horizontal="center" vertical="center" wrapText="1"/>
    </xf>
    <xf numFmtId="0" fontId="14" fillId="13" borderId="0" xfId="0" applyFont="1" applyFill="1" applyAlignment="1">
      <alignment horizontal="center" vertical="center"/>
    </xf>
    <xf numFmtId="0" fontId="14" fillId="13" borderId="0" xfId="0" applyFont="1" applyFill="1" applyAlignment="1">
      <alignment horizontal="center" vertical="center" wrapText="1"/>
    </xf>
    <xf numFmtId="0" fontId="13" fillId="13" borderId="0" xfId="0" applyFont="1" applyFill="1" applyAlignment="1">
      <alignment horizontal="left" vertical="center" wrapText="1"/>
    </xf>
    <xf numFmtId="0" fontId="13" fillId="16" borderId="0" xfId="0" applyFont="1" applyFill="1" applyAlignment="1">
      <alignment horizontal="center" vertical="center" wrapText="1"/>
    </xf>
    <xf numFmtId="0" fontId="13" fillId="17" borderId="0" xfId="0" applyFont="1" applyFill="1" applyAlignment="1">
      <alignment horizontal="center" vertical="center" wrapText="1"/>
    </xf>
    <xf numFmtId="15" fontId="13" fillId="13" borderId="0" xfId="0" applyNumberFormat="1" applyFont="1" applyFill="1" applyAlignment="1">
      <alignment horizontal="center" vertical="center" wrapText="1"/>
    </xf>
    <xf numFmtId="15" fontId="14" fillId="13" borderId="0" xfId="0" applyNumberFormat="1" applyFont="1" applyFill="1" applyAlignment="1">
      <alignment horizontal="center" vertical="center" wrapText="1"/>
    </xf>
    <xf numFmtId="0" fontId="0" fillId="0" borderId="7" xfId="0" applyBorder="1" applyAlignment="1">
      <alignment vertical="center"/>
    </xf>
    <xf numFmtId="0" fontId="0" fillId="0" borderId="3" xfId="0" applyBorder="1" applyAlignment="1">
      <alignment vertical="center"/>
    </xf>
    <xf numFmtId="0" fontId="31" fillId="0" borderId="3" xfId="0" applyFont="1" applyBorder="1" applyAlignment="1">
      <alignment horizontal="left" vertical="center" wrapText="1"/>
    </xf>
    <xf numFmtId="15" fontId="39" fillId="0" borderId="3" xfId="0" applyNumberFormat="1" applyFont="1" applyBorder="1" applyAlignment="1">
      <alignment horizontal="center" vertical="center" wrapText="1"/>
    </xf>
    <xf numFmtId="0" fontId="11" fillId="0" borderId="12" xfId="0" applyFont="1" applyBorder="1" applyAlignment="1">
      <alignment horizontal="left" vertical="center" wrapText="1"/>
    </xf>
    <xf numFmtId="15" fontId="2" fillId="0" borderId="3" xfId="0" applyNumberFormat="1" applyFont="1" applyBorder="1" applyAlignment="1">
      <alignment horizontal="left" vertical="center" wrapText="1"/>
    </xf>
    <xf numFmtId="15" fontId="0" fillId="0" borderId="0" xfId="0" applyNumberFormat="1" applyAlignment="1">
      <alignment horizontal="center" vertical="center"/>
    </xf>
    <xf numFmtId="0" fontId="40" fillId="0" borderId="0" xfId="0" applyFont="1"/>
    <xf numFmtId="0" fontId="0" fillId="0" borderId="3" xfId="0" quotePrefix="1" applyBorder="1" applyAlignment="1">
      <alignment horizontal="center" vertical="center" wrapText="1"/>
    </xf>
    <xf numFmtId="0" fontId="31" fillId="0" borderId="0" xfId="0" applyFont="1" applyAlignment="1">
      <alignment horizontal="center" vertical="center" wrapText="1"/>
    </xf>
    <xf numFmtId="0" fontId="38" fillId="0" borderId="27" xfId="0" applyFont="1" applyBorder="1" applyAlignment="1">
      <alignment horizontal="left" vertical="center" wrapText="1" readingOrder="1"/>
    </xf>
    <xf numFmtId="164" fontId="2" fillId="3" borderId="3" xfId="0" applyNumberFormat="1" applyFont="1" applyFill="1" applyBorder="1" applyAlignment="1">
      <alignment horizontal="center" vertical="center" wrapText="1"/>
    </xf>
    <xf numFmtId="166" fontId="2" fillId="0" borderId="3" xfId="0" applyNumberFormat="1" applyFont="1" applyBorder="1" applyAlignment="1">
      <alignment horizontal="center" vertical="center"/>
    </xf>
    <xf numFmtId="166" fontId="0" fillId="0" borderId="3" xfId="0" applyNumberFormat="1" applyBorder="1" applyAlignment="1">
      <alignment horizontal="center" vertical="center"/>
    </xf>
    <xf numFmtId="166" fontId="0" fillId="10" borderId="3" xfId="0" applyNumberFormat="1" applyFill="1" applyBorder="1" applyAlignment="1">
      <alignment horizontal="center" vertical="center"/>
    </xf>
    <xf numFmtId="166" fontId="2" fillId="0" borderId="3" xfId="0" applyNumberFormat="1" applyFont="1" applyBorder="1" applyAlignment="1">
      <alignment vertical="center"/>
    </xf>
    <xf numFmtId="166" fontId="2" fillId="3" borderId="3" xfId="0" applyNumberFormat="1" applyFont="1" applyFill="1" applyBorder="1" applyAlignment="1">
      <alignment horizontal="center" vertical="center"/>
    </xf>
    <xf numFmtId="166" fontId="0" fillId="0" borderId="3" xfId="0" applyNumberFormat="1" applyBorder="1" applyAlignment="1">
      <alignment horizontal="left" vertical="center" wrapText="1"/>
    </xf>
    <xf numFmtId="166" fontId="0" fillId="0" borderId="3" xfId="0" applyNumberFormat="1" applyBorder="1" applyAlignment="1">
      <alignment horizontal="center" vertical="center" wrapText="1"/>
    </xf>
    <xf numFmtId="166" fontId="2" fillId="0" borderId="12" xfId="0" applyNumberFormat="1" applyFont="1" applyBorder="1" applyAlignment="1">
      <alignment horizontal="center" vertical="center"/>
    </xf>
    <xf numFmtId="166" fontId="14" fillId="13" borderId="0" xfId="0" applyNumberFormat="1" applyFont="1" applyFill="1" applyAlignment="1">
      <alignment horizontal="center" vertical="center"/>
    </xf>
    <xf numFmtId="166" fontId="20" fillId="11" borderId="3" xfId="0" applyNumberFormat="1" applyFont="1" applyFill="1" applyBorder="1" applyAlignment="1">
      <alignment wrapText="1"/>
    </xf>
    <xf numFmtId="166" fontId="25" fillId="0" borderId="21" xfId="0" applyNumberFormat="1" applyFont="1" applyBorder="1" applyAlignment="1">
      <alignment horizontal="left" wrapText="1" indent="1"/>
    </xf>
    <xf numFmtId="166" fontId="0" fillId="0" borderId="7" xfId="0" applyNumberFormat="1" applyBorder="1" applyAlignment="1">
      <alignment horizontal="center" vertical="center"/>
    </xf>
    <xf numFmtId="166" fontId="2" fillId="0" borderId="7" xfId="0" applyNumberFormat="1" applyFont="1" applyBorder="1" applyAlignment="1">
      <alignment horizontal="center" vertical="center"/>
    </xf>
    <xf numFmtId="166" fontId="0" fillId="0" borderId="7" xfId="0" applyNumberFormat="1" applyBorder="1" applyAlignment="1">
      <alignment horizontal="center" vertical="center" wrapText="1"/>
    </xf>
    <xf numFmtId="166" fontId="0" fillId="3" borderId="7" xfId="0" applyNumberFormat="1" applyFill="1" applyBorder="1" applyAlignment="1">
      <alignment horizontal="center" vertical="center" wrapText="1"/>
    </xf>
    <xf numFmtId="166" fontId="0" fillId="3" borderId="3" xfId="0" applyNumberFormat="1" applyFill="1" applyBorder="1" applyAlignment="1">
      <alignment horizontal="center" vertical="center" wrapText="1"/>
    </xf>
    <xf numFmtId="14" fontId="0" fillId="0" borderId="3" xfId="0" applyNumberFormat="1" applyBorder="1" applyAlignment="1">
      <alignment horizontal="center" vertical="center"/>
    </xf>
    <xf numFmtId="165" fontId="0" fillId="0" borderId="3" xfId="0" applyNumberFormat="1" applyBorder="1" applyAlignment="1">
      <alignment horizontal="left" vertical="center" wrapText="1"/>
    </xf>
    <xf numFmtId="15" fontId="41" fillId="0" borderId="3" xfId="0" applyNumberFormat="1" applyFont="1" applyBorder="1" applyAlignment="1">
      <alignment horizontal="center" vertical="center" wrapText="1"/>
    </xf>
    <xf numFmtId="0" fontId="41" fillId="0" borderId="3" xfId="0" applyFont="1" applyBorder="1" applyAlignment="1">
      <alignment horizontal="center" vertical="center" wrapText="1"/>
    </xf>
    <xf numFmtId="0" fontId="42" fillId="0" borderId="3" xfId="0" applyFont="1" applyBorder="1" applyAlignment="1">
      <alignment horizontal="left" vertical="center" wrapText="1" readingOrder="1"/>
    </xf>
    <xf numFmtId="167" fontId="0" fillId="0" borderId="3" xfId="0" applyNumberFormat="1" applyBorder="1" applyAlignment="1">
      <alignment horizontal="center" vertical="center" wrapText="1"/>
    </xf>
    <xf numFmtId="0" fontId="44" fillId="0" borderId="0" xfId="0" applyFont="1" applyAlignment="1">
      <alignment horizontal="center" vertical="center"/>
    </xf>
    <xf numFmtId="15" fontId="0" fillId="0" borderId="7" xfId="0" applyNumberFormat="1" applyBorder="1" applyAlignment="1">
      <alignment horizontal="center" vertical="center" wrapText="1"/>
    </xf>
    <xf numFmtId="0" fontId="46" fillId="0" borderId="0" xfId="0" applyFont="1" applyAlignment="1">
      <alignment horizontal="left" vertical="center" readingOrder="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0" xfId="0" applyFont="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cellXfs>
  <cellStyles count="4">
    <cellStyle name="60% - Accent2" xfId="2" builtinId="36"/>
    <cellStyle name="Hyperlink" xfId="3" builtinId="8"/>
    <cellStyle name="Normal" xfId="0" builtinId="0"/>
    <cellStyle name="Percent" xfId="1" builtinId="5"/>
  </cellStyles>
  <dxfs count="203">
    <dxf>
      <font>
        <b val="0"/>
        <i val="0"/>
        <strike val="0"/>
        <condense val="0"/>
        <extend val="0"/>
        <outline val="0"/>
        <shadow val="0"/>
        <u val="none"/>
        <vertAlign val="baseline"/>
        <sz val="12"/>
        <color theme="1"/>
        <name val="Aptos Narrow"/>
        <family val="2"/>
        <scheme val="minor"/>
      </font>
      <numFmt numFmtId="168" formatCode="dd\-mmm\-yy"/>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8"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8"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8"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4" formatCode="[$-409]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0.00_);[Red]\(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168"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theme="4" tint="0.39997558519241921"/>
        </bottom>
        <vertical/>
        <horizontal/>
      </border>
    </dxf>
    <dxf>
      <border outline="0">
        <top style="thin">
          <color indexed="64"/>
        </top>
      </border>
    </dxf>
    <dxf>
      <border outline="0">
        <bottom style="thin">
          <color indexed="64"/>
        </bottom>
      </border>
    </dxf>
    <dxf>
      <border outline="0">
        <left style="medium">
          <color rgb="FF000000"/>
        </left>
        <right style="thin">
          <color indexed="64"/>
        </right>
      </border>
    </dxf>
    <dxf>
      <font>
        <b val="0"/>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15608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9" tint="0.79998168889431442"/>
        </patternFill>
      </fill>
    </dxf>
    <dxf>
      <fill>
        <patternFill>
          <bgColor rgb="FFFFFF00"/>
        </patternFill>
      </fill>
    </dxf>
    <dxf>
      <fill>
        <patternFill>
          <bgColor rgb="FFFF0000"/>
        </patternFill>
      </fill>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Calibri"/>
        <family val="2"/>
        <scheme val="none"/>
      </font>
      <fill>
        <patternFill patternType="solid">
          <fgColor rgb="FF000000"/>
          <bgColor rgb="FF156082"/>
        </patternFill>
      </fill>
      <alignment horizontal="center" vertical="center" textRotation="0" wrapText="1" indent="0" justifyLastLine="0" shrinkToFit="0" readingOrder="0"/>
    </dxf>
    <dxf>
      <numFmt numFmtId="0" formatCode="General"/>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Calibri"/>
        <family val="2"/>
        <scheme val="none"/>
      </font>
      <fill>
        <patternFill patternType="solid">
          <fgColor rgb="FF000000"/>
          <bgColor rgb="FF156082"/>
        </patternFill>
      </fill>
      <alignment horizontal="center" vertical="center" textRotation="0" wrapText="1" indent="0" justifyLastLine="0" shrinkToFit="0" readingOrder="0"/>
    </dxf>
    <dxf>
      <font>
        <color theme="1"/>
      </font>
      <fill>
        <patternFill>
          <bgColor rgb="FF00B050"/>
        </patternFill>
      </fill>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dd/mmm/yy;@"/>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medium">
          <color rgb="FF000000"/>
        </left>
        <right style="thin">
          <color indexed="64"/>
        </right>
      </border>
    </dxf>
    <dxf>
      <alignment horizontal="center" vertical="center" textRotation="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15608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rgb="FFFFFF00"/>
        </patternFill>
      </fill>
    </dxf>
    <dxf>
      <fill>
        <patternFill>
          <bgColor rgb="FFFF0000"/>
        </patternFill>
      </fill>
    </dxf>
    <dxf>
      <fill>
        <patternFill>
          <bgColor theme="9" tint="0.79998168889431442"/>
        </patternFill>
      </fill>
    </dxf>
    <dxf>
      <fill>
        <patternFill>
          <bgColor rgb="FFFFFF00"/>
        </patternFill>
      </fill>
    </dxf>
    <dxf>
      <fill>
        <patternFill>
          <bgColor rgb="FFFF0000"/>
        </patternFill>
      </fill>
    </dxf>
    <dxf>
      <fill>
        <patternFill>
          <bgColor theme="9" tint="0.79998168889431442"/>
        </patternFill>
      </fill>
    </dxf>
    <dxf>
      <fill>
        <patternFill>
          <bgColor rgb="FFFFFF00"/>
        </patternFill>
      </fill>
    </dxf>
    <dxf>
      <fill>
        <patternFill>
          <bgColor rgb="FFFF0000"/>
        </patternFill>
      </fill>
    </dxf>
    <dxf>
      <fill>
        <patternFill>
          <bgColor theme="9" tint="0.79998168889431442"/>
        </patternFill>
      </fill>
    </dxf>
    <dxf>
      <font>
        <color rgb="FF006100"/>
      </font>
      <fill>
        <patternFill>
          <bgColor rgb="FFC6EFCE"/>
        </patternFill>
      </fill>
    </dxf>
    <dxf>
      <fill>
        <patternFill>
          <bgColor rgb="FFFFFF00"/>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FF00"/>
        </patternFill>
      </fill>
    </dxf>
    <dxf>
      <fill>
        <patternFill>
          <bgColor rgb="FFFFC000"/>
        </patternFill>
      </fill>
    </dxf>
    <dxf>
      <fill>
        <patternFill>
          <bgColor rgb="FFFF0000"/>
        </patternFill>
      </fill>
    </dxf>
    <dxf>
      <font>
        <color theme="1"/>
      </font>
      <fill>
        <patternFill>
          <bgColor rgb="FF00B050"/>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ill>
        <patternFill>
          <bgColor theme="9" tint="0.79998168889431442"/>
        </patternFill>
      </fill>
    </dxf>
    <dxf>
      <fill>
        <patternFill>
          <bgColor rgb="FFFFFF00"/>
        </patternFill>
      </fill>
    </dxf>
    <dxf>
      <fill>
        <patternFill>
          <bgColor rgb="FFFF0000"/>
        </patternFill>
      </fill>
    </dxf>
    <dxf>
      <font>
        <color theme="1"/>
      </font>
      <fill>
        <patternFill>
          <bgColor rgb="FF00B050"/>
        </patternFill>
      </fill>
    </dxf>
    <dxf>
      <font>
        <color rgb="FF006100"/>
      </font>
      <fill>
        <patternFill>
          <bgColor rgb="FFC6EFCE"/>
        </patternFill>
      </fill>
    </dxf>
    <dxf>
      <fill>
        <patternFill>
          <bgColor theme="9" tint="0.79998168889431442"/>
        </patternFill>
      </fill>
    </dxf>
    <dxf>
      <fill>
        <patternFill>
          <bgColor rgb="FFFFFF00"/>
        </patternFill>
      </fill>
    </dxf>
    <dxf>
      <fill>
        <patternFill>
          <bgColor rgb="FFFF0000"/>
        </patternFill>
      </fill>
    </dxf>
    <dxf>
      <font>
        <color theme="1"/>
      </font>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1"/>
      </font>
      <fill>
        <patternFill>
          <bgColor rgb="FF00B050"/>
        </patternFill>
      </fill>
    </dxf>
    <dxf>
      <font>
        <color rgb="FF006100"/>
      </font>
      <fill>
        <patternFill>
          <bgColor rgb="FFC6EFCE"/>
        </patternFill>
      </fill>
    </dxf>
    <dxf>
      <font>
        <color theme="1"/>
      </font>
      <fill>
        <patternFill>
          <bgColor rgb="FF00B050"/>
        </patternFill>
      </fill>
    </dxf>
    <dxf>
      <fill>
        <patternFill>
          <bgColor rgb="FFFFFF00"/>
        </patternFill>
      </fill>
    </dxf>
    <dxf>
      <fill>
        <patternFill>
          <bgColor theme="9" tint="0.79998168889431442"/>
        </patternFill>
      </fill>
    </dxf>
    <dxf>
      <fill>
        <patternFill>
          <bgColor rgb="FFFF0000"/>
        </patternFill>
      </fill>
    </dxf>
    <dxf>
      <fill>
        <patternFill>
          <bgColor rgb="FFFFFF00"/>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0000"/>
        </patternFill>
      </fill>
    </dxf>
    <dxf>
      <fill>
        <patternFill>
          <bgColor rgb="FFFFFF00"/>
        </patternFill>
      </fill>
    </dxf>
    <dxf>
      <fill>
        <patternFill>
          <bgColor theme="9" tint="0.79998168889431442"/>
        </patternFill>
      </fill>
    </dxf>
    <dxf>
      <fill>
        <patternFill>
          <bgColor rgb="FFFF0000"/>
        </patternFill>
      </fill>
    </dxf>
    <dxf>
      <fill>
        <patternFill>
          <bgColor rgb="FFFFFF00"/>
        </patternFill>
      </fill>
    </dxf>
    <dxf>
      <fill>
        <patternFill>
          <bgColor theme="9" tint="0.79998168889431442"/>
        </patternFill>
      </fill>
    </dxf>
    <dxf>
      <fill>
        <patternFill>
          <bgColor rgb="FFFF0000"/>
        </patternFill>
      </fill>
    </dxf>
    <dxf>
      <fill>
        <patternFill>
          <bgColor rgb="FFFFFF00"/>
        </patternFill>
      </fill>
    </dxf>
    <dxf>
      <fill>
        <patternFill>
          <bgColor theme="9" tint="0.79998168889431442"/>
        </patternFill>
      </fill>
    </dxf>
    <dxf>
      <fill>
        <patternFill>
          <bgColor rgb="FFFF0000"/>
        </patternFill>
      </fill>
    </dxf>
    <dxf>
      <fill>
        <patternFill>
          <bgColor rgb="FFFFFF00"/>
        </patternFill>
      </fill>
    </dxf>
    <dxf>
      <fill>
        <patternFill>
          <bgColor rgb="FFFF00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FF00"/>
        </patternFill>
      </fill>
    </dxf>
    <dxf>
      <fill>
        <patternFill>
          <bgColor rgb="FFFFFF00"/>
        </patternFill>
      </fill>
    </dxf>
    <dxf>
      <fill>
        <patternFill>
          <bgColor rgb="FFFF0000"/>
        </patternFill>
      </fill>
    </dxf>
    <dxf>
      <fill>
        <patternFill>
          <bgColor theme="9" tint="0.79998168889431442"/>
        </patternFill>
      </fill>
    </dxf>
    <dxf>
      <fill>
        <patternFill>
          <bgColor rgb="FFFF0000"/>
        </patternFill>
      </fill>
    </dxf>
    <dxf>
      <fill>
        <patternFill>
          <bgColor rgb="FFFFFF00"/>
        </patternFill>
      </fill>
    </dxf>
    <dxf>
      <fill>
        <patternFill>
          <bgColor theme="9" tint="0.79998168889431442"/>
        </patternFill>
      </fill>
    </dxf>
    <dxf>
      <fill>
        <patternFill>
          <bgColor theme="9" tint="0.79998168889431442"/>
        </patternFill>
      </fill>
    </dxf>
    <dxf>
      <fill>
        <patternFill>
          <bgColor rgb="FFFF0000"/>
        </patternFill>
      </fill>
    </dxf>
    <dxf>
      <fill>
        <patternFill>
          <bgColor rgb="FFFFFF00"/>
        </patternFill>
      </fill>
    </dxf>
    <dxf>
      <fill>
        <patternFill>
          <bgColor theme="9" tint="0.79998168889431442"/>
        </patternFill>
      </fill>
    </dxf>
    <dxf>
      <fill>
        <patternFill>
          <bgColor rgb="FFFFFF00"/>
        </patternFill>
      </fill>
    </dxf>
    <dxf>
      <fill>
        <patternFill>
          <bgColor rgb="FFFF0000"/>
        </patternFill>
      </fill>
    </dxf>
    <dxf>
      <fill>
        <patternFill>
          <bgColor theme="9" tint="0.79998168889431442"/>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theme="9" tint="0.79998168889431442"/>
        </patternFill>
      </fill>
    </dxf>
    <dxf>
      <fill>
        <patternFill>
          <bgColor theme="9" tint="0.79998168889431442"/>
        </patternFill>
      </fill>
    </dxf>
    <dxf>
      <fill>
        <patternFill>
          <bgColor rgb="FFFFFF00"/>
        </patternFill>
      </fill>
    </dxf>
    <dxf>
      <fill>
        <patternFill>
          <bgColor rgb="FFFF0000"/>
        </patternFill>
      </fill>
    </dxf>
    <dxf>
      <fill>
        <patternFill>
          <bgColor rgb="FFFF00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theme="9" tint="0.79998168889431442"/>
        </patternFill>
      </fill>
    </dxf>
    <dxf>
      <fill>
        <patternFill>
          <bgColor rgb="FFFFC000"/>
        </patternFill>
      </fill>
    </dxf>
    <dxf>
      <fill>
        <patternFill>
          <bgColor rgb="FFFF0000"/>
        </patternFill>
      </fill>
    </dxf>
    <dxf>
      <fill>
        <patternFill>
          <bgColor rgb="FFFFFF00"/>
        </patternFill>
      </fill>
    </dxf>
    <dxf>
      <fill>
        <patternFill>
          <bgColor theme="9" tint="0.79998168889431442"/>
        </patternFill>
      </fill>
    </dxf>
    <dxf>
      <fill>
        <patternFill>
          <bgColor theme="9" tint="0.79998168889431442"/>
        </patternFill>
      </fill>
    </dxf>
    <dxf>
      <fill>
        <patternFill>
          <bgColor rgb="FFFF0000"/>
        </patternFill>
      </fill>
    </dxf>
    <dxf>
      <fill>
        <patternFill>
          <bgColor rgb="FFFFC000"/>
        </patternFill>
      </fill>
    </dxf>
    <dxf>
      <fill>
        <patternFill>
          <bgColor rgb="FFFFFF00"/>
        </patternFill>
      </fill>
    </dxf>
    <dxf>
      <fill>
        <patternFill>
          <bgColor theme="9" tint="0.79998168889431442"/>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theme="9" tint="0.79998168889431442"/>
        </patternFill>
      </fill>
    </dxf>
    <dxf>
      <fill>
        <patternFill>
          <bgColor rgb="FFFFC000"/>
        </patternFill>
      </fill>
    </dxf>
    <dxf>
      <fill>
        <patternFill>
          <bgColor rgb="FFFF0000"/>
        </patternFill>
      </fill>
    </dxf>
    <dxf>
      <fill>
        <patternFill>
          <bgColor theme="9" tint="0.79998168889431442"/>
        </patternFill>
      </fill>
    </dxf>
    <dxf>
      <fill>
        <patternFill>
          <bgColor rgb="FFFFFF00"/>
        </patternFill>
      </fill>
    </dxf>
    <dxf>
      <fill>
        <patternFill>
          <bgColor rgb="FFFFC000"/>
        </patternFill>
      </fill>
    </dxf>
    <dxf>
      <fill>
        <patternFill>
          <bgColor rgb="FFFF0000"/>
        </patternFill>
      </fill>
    </dxf>
    <dxf>
      <fill>
        <patternFill>
          <bgColor theme="9" tint="0.7999816888943144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haredStrings" Target="sharedStrings.xml"/><Relationship Id="rId28" Type="http://schemas.openxmlformats.org/officeDocument/2006/relationships/customXml" Target="../customXml/item4.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
          <c:dPt>
            <c:idx val="0"/>
            <c:bubble3D val="0"/>
            <c:spPr>
              <a:solidFill>
                <a:srgbClr val="FF0000"/>
              </a:solidFill>
              <a:ln w="19050">
                <a:solidFill>
                  <a:schemeClr val="lt1"/>
                </a:solidFill>
              </a:ln>
              <a:effectLst/>
            </c:spPr>
            <c:extLst>
              <c:ext xmlns:c16="http://schemas.microsoft.com/office/drawing/2014/chart" uri="{C3380CC4-5D6E-409C-BE32-E72D297353CC}">
                <c16:uniqueId val="{00000001-1626-4854-93D4-38475525DD1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4-1626-4854-93D4-38475525DD1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3-1626-4854-93D4-38475525DD16}"/>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1626-4854-93D4-38475525DD16}"/>
              </c:ext>
            </c:extLst>
          </c:dPt>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Statistics!$N$25:$N$28</c:f>
              <c:strCache>
                <c:ptCount val="4"/>
                <c:pt idx="0">
                  <c:v>Extremely High</c:v>
                </c:pt>
                <c:pt idx="1">
                  <c:v>High</c:v>
                </c:pt>
                <c:pt idx="2">
                  <c:v>Medium</c:v>
                </c:pt>
                <c:pt idx="3">
                  <c:v>Low</c:v>
                </c:pt>
              </c:strCache>
            </c:strRef>
          </c:cat>
          <c:val>
            <c:numRef>
              <c:f>Statistics!$P$25:$P$28</c:f>
              <c:numCache>
                <c:formatCode>0%</c:formatCode>
                <c:ptCount val="4"/>
                <c:pt idx="0">
                  <c:v>0.43693693693693691</c:v>
                </c:pt>
                <c:pt idx="1">
                  <c:v>0.45945945945945948</c:v>
                </c:pt>
                <c:pt idx="2">
                  <c:v>0.1036036036036036</c:v>
                </c:pt>
                <c:pt idx="3">
                  <c:v>0</c:v>
                </c:pt>
              </c:numCache>
            </c:numRef>
          </c:val>
          <c:extLst>
            <c:ext xmlns:c16="http://schemas.microsoft.com/office/drawing/2014/chart" uri="{C3380CC4-5D6E-409C-BE32-E72D297353CC}">
              <c16:uniqueId val="{00000000-1626-4854-93D4-38475525DD1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
          <c:dPt>
            <c:idx val="0"/>
            <c:bubble3D val="0"/>
            <c:spPr>
              <a:solidFill>
                <a:srgbClr val="FF0000"/>
              </a:solidFill>
              <a:ln w="19050">
                <a:solidFill>
                  <a:schemeClr val="lt1"/>
                </a:solidFill>
              </a:ln>
              <a:effectLst/>
            </c:spPr>
            <c:extLst>
              <c:ext xmlns:c16="http://schemas.microsoft.com/office/drawing/2014/chart" uri="{C3380CC4-5D6E-409C-BE32-E72D297353CC}">
                <c16:uniqueId val="{00000001-1626-4854-93D4-38475525DD1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1626-4854-93D4-38475525DD1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1626-4854-93D4-38475525DD16}"/>
              </c:ext>
            </c:extLst>
          </c:dPt>
          <c:dLbls>
            <c:spPr>
              <a:noFill/>
              <a:ln>
                <a:noFill/>
              </a:ln>
              <a:effectLst/>
            </c:spPr>
            <c:txPr>
              <a:bodyPr rot="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Statistics!$R$25:$R$27</c:f>
              <c:strCache>
                <c:ptCount val="3"/>
                <c:pt idx="0">
                  <c:v>Client</c:v>
                </c:pt>
                <c:pt idx="1">
                  <c:v>Alfanar</c:v>
                </c:pt>
                <c:pt idx="2">
                  <c:v>Vendor</c:v>
                </c:pt>
              </c:strCache>
            </c:strRef>
          </c:cat>
          <c:val>
            <c:numRef>
              <c:f>Statistics!$T$25:$T$27</c:f>
              <c:numCache>
                <c:formatCode>0%</c:formatCode>
                <c:ptCount val="3"/>
                <c:pt idx="0">
                  <c:v>0.38009049773755654</c:v>
                </c:pt>
                <c:pt idx="1">
                  <c:v>0.22624434389140272</c:v>
                </c:pt>
                <c:pt idx="2">
                  <c:v>0.39366515837104071</c:v>
                </c:pt>
              </c:numCache>
            </c:numRef>
          </c:val>
          <c:extLst>
            <c:ext xmlns:c16="http://schemas.microsoft.com/office/drawing/2014/chart" uri="{C3380CC4-5D6E-409C-BE32-E72D297353CC}">
              <c16:uniqueId val="{00000000-1626-4854-93D4-38475525DD1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sng" strike="noStrike" kern="1200" spc="0" baseline="0">
                <a:solidFill>
                  <a:schemeClr val="tx1">
                    <a:lumMod val="95000"/>
                    <a:lumOff val="5000"/>
                  </a:schemeClr>
                </a:solidFill>
                <a:latin typeface="+mn-lt"/>
                <a:ea typeface="+mn-ea"/>
                <a:cs typeface="+mn-cs"/>
              </a:defRPr>
            </a:pPr>
            <a:r>
              <a:rPr lang="en-US" b="1" i="1" u="sng">
                <a:solidFill>
                  <a:schemeClr val="tx1">
                    <a:lumMod val="95000"/>
                    <a:lumOff val="5000"/>
                  </a:schemeClr>
                </a:solidFill>
              </a:rPr>
              <a:t>Vendors</a:t>
            </a:r>
            <a:r>
              <a:rPr lang="en-US" b="1" i="1" u="sng" baseline="0">
                <a:solidFill>
                  <a:schemeClr val="tx1">
                    <a:lumMod val="95000"/>
                    <a:lumOff val="5000"/>
                  </a:schemeClr>
                </a:solidFill>
              </a:rPr>
              <a:t> / </a:t>
            </a:r>
            <a:r>
              <a:rPr lang="en-US" b="1" i="1" u="sng">
                <a:solidFill>
                  <a:schemeClr val="tx1">
                    <a:lumMod val="95000"/>
                    <a:lumOff val="5000"/>
                  </a:schemeClr>
                </a:solidFill>
              </a:rPr>
              <a:t>Issues No.</a:t>
            </a:r>
          </a:p>
        </c:rich>
      </c:tx>
      <c:overlay val="0"/>
      <c:spPr>
        <a:noFill/>
        <a:ln>
          <a:noFill/>
        </a:ln>
        <a:effectLst/>
      </c:spPr>
      <c:txPr>
        <a:bodyPr rot="0" spcFirstLastPara="1" vertOverflow="ellipsis" vert="horz" wrap="square" anchor="ctr" anchorCtr="1"/>
        <a:lstStyle/>
        <a:p>
          <a:pPr algn="l">
            <a:defRPr sz="1400" b="0" i="0" u="sng" strike="noStrike" kern="1200" spc="0" baseline="0">
              <a:solidFill>
                <a:schemeClr val="tx1">
                  <a:lumMod val="95000"/>
                  <a:lumOff val="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Statistics!$B$17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Statistics!$A$18:$A$60</c:f>
              <c:strCache>
                <c:ptCount val="43"/>
                <c:pt idx="0">
                  <c:v>SPTC</c:v>
                </c:pt>
                <c:pt idx="1">
                  <c:v>RITZ</c:v>
                </c:pt>
                <c:pt idx="2">
                  <c:v>SIEMENS</c:v>
                </c:pt>
                <c:pt idx="3">
                  <c:v>AES</c:v>
                </c:pt>
                <c:pt idx="4">
                  <c:v>HITACHI</c:v>
                </c:pt>
                <c:pt idx="5">
                  <c:v>BCG</c:v>
                </c:pt>
                <c:pt idx="6">
                  <c:v>LAPP</c:v>
                </c:pt>
                <c:pt idx="7">
                  <c:v>Ranco &amp; Zamil</c:v>
                </c:pt>
                <c:pt idx="8">
                  <c:v>Arteche</c:v>
                </c:pt>
                <c:pt idx="9">
                  <c:v>EPC</c:v>
                </c:pt>
                <c:pt idx="10">
                  <c:v>DAR</c:v>
                </c:pt>
                <c:pt idx="11">
                  <c:v>Pfisterer Switzerland AG</c:v>
                </c:pt>
                <c:pt idx="12">
                  <c:v>MEFC</c:v>
                </c:pt>
                <c:pt idx="13">
                  <c:v>NCC</c:v>
                </c:pt>
                <c:pt idx="14">
                  <c:v>AL WABEL</c:v>
                </c:pt>
                <c:pt idx="15">
                  <c:v>E-Techs</c:v>
                </c:pt>
                <c:pt idx="16">
                  <c:v>Tridelta</c:v>
                </c:pt>
                <c:pt idx="17">
                  <c:v>MSCL</c:v>
                </c:pt>
                <c:pt idx="18">
                  <c:v>Al Majal</c:v>
                </c:pt>
                <c:pt idx="19">
                  <c:v>Hyosung</c:v>
                </c:pt>
                <c:pt idx="20">
                  <c:v>Hyundai</c:v>
                </c:pt>
                <c:pt idx="21">
                  <c:v>ABB</c:v>
                </c:pt>
                <c:pt idx="22">
                  <c:v>M/S FAWAZ REFR &amp; AIRCONDITIONING</c:v>
                </c:pt>
                <c:pt idx="23">
                  <c:v>Prainsa</c:v>
                </c:pt>
                <c:pt idx="24">
                  <c:v>AJEC</c:v>
                </c:pt>
                <c:pt idx="25">
                  <c:v>Al Babain</c:v>
                </c:pt>
                <c:pt idx="26">
                  <c:v>Moneer Al Boqami</c:v>
                </c:pt>
                <c:pt idx="27">
                  <c:v>GE</c:v>
                </c:pt>
                <c:pt idx="28">
                  <c:v>LEEEC</c:v>
                </c:pt>
                <c:pt idx="29">
                  <c:v>Dalkevod</c:v>
                </c:pt>
                <c:pt idx="30">
                  <c:v>Ramz Alataa</c:v>
                </c:pt>
                <c:pt idx="31">
                  <c:v>Saden</c:v>
                </c:pt>
                <c:pt idx="32">
                  <c:v>HAWA</c:v>
                </c:pt>
                <c:pt idx="33">
                  <c:v>Twin City</c:v>
                </c:pt>
                <c:pt idx="34">
                  <c:v>TRENCH</c:v>
                </c:pt>
                <c:pt idx="35">
                  <c:v>TBEA</c:v>
                </c:pt>
                <c:pt idx="36">
                  <c:v>Advanced Elements Contracting</c:v>
                </c:pt>
                <c:pt idx="37">
                  <c:v>BYD</c:v>
                </c:pt>
                <c:pt idx="38">
                  <c:v>TAIHAN</c:v>
                </c:pt>
                <c:pt idx="39">
                  <c:v>ZECK</c:v>
                </c:pt>
                <c:pt idx="40">
                  <c:v>Sawaed AL Ezz </c:v>
                </c:pt>
                <c:pt idx="41">
                  <c:v>CET</c:v>
                </c:pt>
                <c:pt idx="42">
                  <c:v>Applus</c:v>
                </c:pt>
              </c:strCache>
            </c:strRef>
          </c:cat>
          <c:val>
            <c:numRef>
              <c:f>Statistics!$B$18:$B$60</c:f>
              <c:numCache>
                <c:formatCode>General</c:formatCode>
                <c:ptCount val="43"/>
                <c:pt idx="0">
                  <c:v>2</c:v>
                </c:pt>
                <c:pt idx="1">
                  <c:v>0</c:v>
                </c:pt>
                <c:pt idx="2">
                  <c:v>2</c:v>
                </c:pt>
                <c:pt idx="3">
                  <c:v>17</c:v>
                </c:pt>
                <c:pt idx="4">
                  <c:v>21</c:v>
                </c:pt>
                <c:pt idx="5">
                  <c:v>1</c:v>
                </c:pt>
                <c:pt idx="6">
                  <c:v>1</c:v>
                </c:pt>
                <c:pt idx="7">
                  <c:v>2</c:v>
                </c:pt>
                <c:pt idx="8">
                  <c:v>1</c:v>
                </c:pt>
                <c:pt idx="9">
                  <c:v>0</c:v>
                </c:pt>
                <c:pt idx="10">
                  <c:v>2</c:v>
                </c:pt>
                <c:pt idx="11">
                  <c:v>1</c:v>
                </c:pt>
                <c:pt idx="12">
                  <c:v>1</c:v>
                </c:pt>
                <c:pt idx="13">
                  <c:v>1</c:v>
                </c:pt>
                <c:pt idx="14">
                  <c:v>1</c:v>
                </c:pt>
                <c:pt idx="15">
                  <c:v>0</c:v>
                </c:pt>
                <c:pt idx="16">
                  <c:v>0</c:v>
                </c:pt>
                <c:pt idx="17">
                  <c:v>0</c:v>
                </c:pt>
                <c:pt idx="18">
                  <c:v>0</c:v>
                </c:pt>
                <c:pt idx="19">
                  <c:v>1</c:v>
                </c:pt>
                <c:pt idx="20">
                  <c:v>1</c:v>
                </c:pt>
                <c:pt idx="21">
                  <c:v>1</c:v>
                </c:pt>
                <c:pt idx="22">
                  <c:v>0</c:v>
                </c:pt>
                <c:pt idx="23">
                  <c:v>0</c:v>
                </c:pt>
                <c:pt idx="24">
                  <c:v>0</c:v>
                </c:pt>
                <c:pt idx="25">
                  <c:v>3</c:v>
                </c:pt>
                <c:pt idx="26">
                  <c:v>0</c:v>
                </c:pt>
                <c:pt idx="27">
                  <c:v>3</c:v>
                </c:pt>
                <c:pt idx="28">
                  <c:v>0</c:v>
                </c:pt>
                <c:pt idx="29">
                  <c:v>1</c:v>
                </c:pt>
                <c:pt idx="30">
                  <c:v>0</c:v>
                </c:pt>
                <c:pt idx="31">
                  <c:v>0</c:v>
                </c:pt>
                <c:pt idx="32">
                  <c:v>1</c:v>
                </c:pt>
                <c:pt idx="33">
                  <c:v>0</c:v>
                </c:pt>
                <c:pt idx="34">
                  <c:v>0</c:v>
                </c:pt>
                <c:pt idx="35">
                  <c:v>3</c:v>
                </c:pt>
                <c:pt idx="36">
                  <c:v>3</c:v>
                </c:pt>
                <c:pt idx="37">
                  <c:v>6</c:v>
                </c:pt>
                <c:pt idx="38">
                  <c:v>1</c:v>
                </c:pt>
                <c:pt idx="39">
                  <c:v>0</c:v>
                </c:pt>
                <c:pt idx="40">
                  <c:v>0</c:v>
                </c:pt>
                <c:pt idx="41">
                  <c:v>3</c:v>
                </c:pt>
                <c:pt idx="42">
                  <c:v>0</c:v>
                </c:pt>
              </c:numCache>
            </c:numRef>
          </c:val>
          <c:extLst>
            <c:ext xmlns:c16="http://schemas.microsoft.com/office/drawing/2014/chart" uri="{C3380CC4-5D6E-409C-BE32-E72D297353CC}">
              <c16:uniqueId val="{00000000-FD7E-4D81-A3B3-8EF28F00F1F3}"/>
            </c:ext>
          </c:extLst>
        </c:ser>
        <c:dLbls>
          <c:dLblPos val="outEnd"/>
          <c:showLegendKey val="0"/>
          <c:showVal val="1"/>
          <c:showCatName val="0"/>
          <c:showSerName val="0"/>
          <c:showPercent val="0"/>
          <c:showBubbleSize val="0"/>
        </c:dLbls>
        <c:gapWidth val="50"/>
        <c:overlap val="-100"/>
        <c:axId val="1277783920"/>
        <c:axId val="1277793040"/>
      </c:barChart>
      <c:catAx>
        <c:axId val="127778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chemeClr val="tx1">
                    <a:lumMod val="95000"/>
                    <a:lumOff val="5000"/>
                  </a:schemeClr>
                </a:solidFill>
                <a:latin typeface="+mn-lt"/>
                <a:ea typeface="+mn-ea"/>
                <a:cs typeface="+mn-cs"/>
              </a:defRPr>
            </a:pPr>
            <a:endParaRPr lang="en-US"/>
          </a:p>
        </c:txPr>
        <c:crossAx val="1277793040"/>
        <c:crosses val="autoZero"/>
        <c:auto val="1"/>
        <c:lblAlgn val="ctr"/>
        <c:lblOffset val="100"/>
        <c:noMultiLvlLbl val="0"/>
      </c:catAx>
      <c:valAx>
        <c:axId val="127779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2777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r>
              <a:rPr lang="en-US" sz="1400" b="1" i="1" u="sng"/>
              <a:t>Issues Status</a:t>
            </a:r>
          </a:p>
        </c:rich>
      </c:tx>
      <c:overlay val="0"/>
      <c:spPr>
        <a:noFill/>
        <a:ln>
          <a:noFill/>
        </a:ln>
        <a:effectLst/>
      </c:spPr>
      <c:txPr>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Statistics!$J$25</c:f>
              <c:strCache>
                <c:ptCount val="1"/>
                <c:pt idx="0">
                  <c:v>Open</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Statistics!$K$24</c:f>
              <c:strCache>
                <c:ptCount val="1"/>
                <c:pt idx="0">
                  <c:v>Issues No.</c:v>
                </c:pt>
              </c:strCache>
            </c:strRef>
          </c:cat>
          <c:val>
            <c:numRef>
              <c:f>Statistics!$K$25</c:f>
              <c:numCache>
                <c:formatCode>General</c:formatCode>
                <c:ptCount val="1"/>
                <c:pt idx="0">
                  <c:v>222</c:v>
                </c:pt>
              </c:numCache>
            </c:numRef>
          </c:val>
          <c:extLst>
            <c:ext xmlns:c16="http://schemas.microsoft.com/office/drawing/2014/chart" uri="{C3380CC4-5D6E-409C-BE32-E72D297353CC}">
              <c16:uniqueId val="{00000000-1626-4854-93D4-38475525DD16}"/>
            </c:ext>
          </c:extLst>
        </c:ser>
        <c:ser>
          <c:idx val="1"/>
          <c:order val="1"/>
          <c:tx>
            <c:strRef>
              <c:f>Statistics!$J$26</c:f>
              <c:strCache>
                <c:ptCount val="1"/>
                <c:pt idx="0">
                  <c:v>Closed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1"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Statistics!$K$24</c:f>
              <c:strCache>
                <c:ptCount val="1"/>
                <c:pt idx="0">
                  <c:v>Issues No.</c:v>
                </c:pt>
              </c:strCache>
            </c:strRef>
          </c:cat>
          <c:val>
            <c:numRef>
              <c:f>Statistics!$K$26</c:f>
              <c:numCache>
                <c:formatCode>General</c:formatCode>
                <c:ptCount val="1"/>
                <c:pt idx="0">
                  <c:v>283</c:v>
                </c:pt>
              </c:numCache>
            </c:numRef>
          </c:val>
          <c:extLst>
            <c:ext xmlns:c16="http://schemas.microsoft.com/office/drawing/2014/chart" uri="{C3380CC4-5D6E-409C-BE32-E72D297353CC}">
              <c16:uniqueId val="{00000006-4714-4F78-B60B-CF6FA6922027}"/>
            </c:ext>
          </c:extLst>
        </c:ser>
        <c:dLbls>
          <c:showLegendKey val="0"/>
          <c:showVal val="0"/>
          <c:showCatName val="0"/>
          <c:showSerName val="0"/>
          <c:showPercent val="0"/>
          <c:showBubbleSize val="0"/>
        </c:dLbls>
        <c:gapWidth val="100"/>
        <c:axId val="1262666400"/>
        <c:axId val="1262659200"/>
      </c:barChart>
      <c:catAx>
        <c:axId val="126266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crossAx val="1262659200"/>
        <c:crosses val="autoZero"/>
        <c:auto val="1"/>
        <c:lblAlgn val="ctr"/>
        <c:lblOffset val="100"/>
        <c:noMultiLvlLbl val="0"/>
      </c:catAx>
      <c:valAx>
        <c:axId val="12626592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62666400"/>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r>
              <a:rPr lang="en-US" sz="1400" b="1" i="1" u="sng" strike="noStrike" baseline="0">
                <a:effectLst/>
              </a:rPr>
              <a:t>Alfanar Dep.</a:t>
            </a:r>
            <a:r>
              <a:rPr lang="en-US" sz="1400" b="1" i="1" u="sng" strike="noStrike" baseline="0"/>
              <a:t> Issues</a:t>
            </a:r>
            <a:endParaRPr lang="en-US" sz="1400" b="1" i="1" u="sng"/>
          </a:p>
        </c:rich>
      </c:tx>
      <c:overlay val="0"/>
      <c:spPr>
        <a:noFill/>
        <a:ln>
          <a:noFill/>
        </a:ln>
        <a:effectLst/>
      </c:spPr>
      <c:txPr>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Statistics!$B$74</c:f>
              <c:strCache>
                <c:ptCount val="1"/>
                <c:pt idx="0">
                  <c:v>Issues No.</c:v>
                </c:pt>
              </c:strCache>
            </c:strRef>
          </c:tx>
          <c:spPr>
            <a:solidFill>
              <a:schemeClr val="accent1"/>
            </a:solidFill>
            <a:ln w="19050">
              <a:solidFill>
                <a:schemeClr val="lt1"/>
              </a:solidFill>
            </a:ln>
            <a:effectLst/>
          </c:spPr>
          <c:invertIfNegative val="0"/>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4472-4B63-81F2-562FAC1F28BF}"/>
              </c:ext>
            </c:extLst>
          </c:dPt>
          <c:dPt>
            <c:idx val="2"/>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2-4472-4B63-81F2-562FAC1F28BF}"/>
              </c:ext>
            </c:extLst>
          </c:dPt>
          <c:dLbls>
            <c:spPr>
              <a:noFill/>
              <a:ln>
                <a:noFill/>
              </a:ln>
              <a:effectLst/>
            </c:spPr>
            <c:txPr>
              <a:bodyPr rot="0" spcFirstLastPara="1" vertOverflow="ellipsis" vert="horz" wrap="square" lIns="38100" tIns="19050" rIns="38100" bIns="19050" anchor="ctr" anchorCtr="1">
                <a:spAutoFit/>
              </a:bodyPr>
              <a:lstStyle/>
              <a:p>
                <a:pPr>
                  <a:defRPr lang="en-US" sz="11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Statistics!$A$75:$A$84</c:f>
              <c:strCache>
                <c:ptCount val="10"/>
                <c:pt idx="0">
                  <c:v>Supply chain-Purchasing</c:v>
                </c:pt>
                <c:pt idx="1">
                  <c:v>Resource Department</c:v>
                </c:pt>
                <c:pt idx="2">
                  <c:v>PMO</c:v>
                </c:pt>
                <c:pt idx="3">
                  <c:v>BUSINESS OPERATIONS SUPPORT</c:v>
                </c:pt>
                <c:pt idx="4">
                  <c:v>Treasury </c:v>
                </c:pt>
                <c:pt idx="5">
                  <c:v>Construction</c:v>
                </c:pt>
                <c:pt idx="6">
                  <c:v>T&amp;C</c:v>
                </c:pt>
                <c:pt idx="7">
                  <c:v>Supplement</c:v>
                </c:pt>
                <c:pt idx="8">
                  <c:v>Project Team</c:v>
                </c:pt>
                <c:pt idx="9">
                  <c:v>Tender</c:v>
                </c:pt>
              </c:strCache>
            </c:strRef>
          </c:cat>
          <c:val>
            <c:numRef>
              <c:f>Statistics!$B$75:$B$84</c:f>
              <c:numCache>
                <c:formatCode>General</c:formatCode>
                <c:ptCount val="10"/>
                <c:pt idx="0">
                  <c:v>6</c:v>
                </c:pt>
                <c:pt idx="1">
                  <c:v>1</c:v>
                </c:pt>
                <c:pt idx="2">
                  <c:v>0</c:v>
                </c:pt>
                <c:pt idx="3">
                  <c:v>0</c:v>
                </c:pt>
                <c:pt idx="4">
                  <c:v>0</c:v>
                </c:pt>
                <c:pt idx="5">
                  <c:v>16</c:v>
                </c:pt>
                <c:pt idx="6">
                  <c:v>0</c:v>
                </c:pt>
                <c:pt idx="7">
                  <c:v>0</c:v>
                </c:pt>
                <c:pt idx="8">
                  <c:v>7</c:v>
                </c:pt>
                <c:pt idx="9">
                  <c:v>0</c:v>
                </c:pt>
              </c:numCache>
            </c:numRef>
          </c:val>
          <c:extLst>
            <c:ext xmlns:c16="http://schemas.microsoft.com/office/drawing/2014/chart" uri="{C3380CC4-5D6E-409C-BE32-E72D297353CC}">
              <c16:uniqueId val="{00000000-1626-4854-93D4-38475525DD16}"/>
            </c:ext>
          </c:extLst>
        </c:ser>
        <c:dLbls>
          <c:showLegendKey val="0"/>
          <c:showVal val="0"/>
          <c:showCatName val="0"/>
          <c:showSerName val="0"/>
          <c:showPercent val="0"/>
          <c:showBubbleSize val="0"/>
        </c:dLbls>
        <c:gapWidth val="100"/>
        <c:axId val="1262666400"/>
        <c:axId val="1262659200"/>
      </c:barChart>
      <c:catAx>
        <c:axId val="126266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crossAx val="1262659200"/>
        <c:crosses val="autoZero"/>
        <c:auto val="1"/>
        <c:lblAlgn val="ctr"/>
        <c:lblOffset val="100"/>
        <c:noMultiLvlLbl val="0"/>
      </c:catAx>
      <c:valAx>
        <c:axId val="126265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6266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r>
              <a:rPr lang="en-US" sz="1400" b="1" i="1" u="sng" strike="noStrike" baseline="0">
                <a:effectLst/>
              </a:rPr>
              <a:t>SEC Priority </a:t>
            </a:r>
            <a:endParaRPr lang="en-US" sz="1400" b="1" i="1" u="sng"/>
          </a:p>
        </c:rich>
      </c:tx>
      <c:overlay val="0"/>
      <c:spPr>
        <a:noFill/>
        <a:ln>
          <a:noFill/>
        </a:ln>
        <a:effectLst/>
      </c:spPr>
      <c:txPr>
        <a:bodyPr rot="0" spcFirstLastPara="1" vertOverflow="ellipsis" vert="horz" wrap="square" anchor="ctr" anchorCtr="1"/>
        <a:lstStyle/>
        <a:p>
          <a:pPr>
            <a:defRPr lang="en-US" sz="1400" b="1" i="1" u="sng"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Statistics!$B$91</c:f>
              <c:strCache>
                <c:ptCount val="1"/>
                <c:pt idx="0">
                  <c:v>Issues No.</c:v>
                </c:pt>
              </c:strCache>
            </c:strRef>
          </c:tx>
          <c:spPr>
            <a:solidFill>
              <a:schemeClr val="accent1"/>
            </a:solidFill>
            <a:ln w="19050">
              <a:solidFill>
                <a:schemeClr val="lt1"/>
              </a:solidFill>
            </a:ln>
            <a:effectLst/>
          </c:spPr>
          <c:invertIfNegative val="0"/>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4472-4B63-81F2-562FAC1F28BF}"/>
              </c:ext>
            </c:extLst>
          </c:dPt>
          <c:dPt>
            <c:idx val="2"/>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2-4472-4B63-81F2-562FAC1F28BF}"/>
              </c:ext>
            </c:extLst>
          </c:dPt>
          <c:dLbls>
            <c:spPr>
              <a:noFill/>
              <a:ln>
                <a:noFill/>
              </a:ln>
              <a:effectLst/>
            </c:spPr>
            <c:txPr>
              <a:bodyPr rot="0" spcFirstLastPara="1" vertOverflow="ellipsis" vert="horz" wrap="square" lIns="38100" tIns="19050" rIns="38100" bIns="19050" anchor="ctr" anchorCtr="1">
                <a:spAutoFit/>
              </a:bodyPr>
              <a:lstStyle/>
              <a:p>
                <a:pPr>
                  <a:defRPr lang="en-US" sz="11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Statistics!$A$92:$A$94</c:f>
              <c:strCache>
                <c:ptCount val="3"/>
                <c:pt idx="0">
                  <c:v>A</c:v>
                </c:pt>
                <c:pt idx="1">
                  <c:v>B</c:v>
                </c:pt>
                <c:pt idx="2">
                  <c:v>C</c:v>
                </c:pt>
              </c:strCache>
            </c:strRef>
          </c:cat>
          <c:val>
            <c:numRef>
              <c:f>Statistics!$B$92:$B$94</c:f>
              <c:numCache>
                <c:formatCode>General</c:formatCode>
                <c:ptCount val="3"/>
                <c:pt idx="0">
                  <c:v>148</c:v>
                </c:pt>
                <c:pt idx="1">
                  <c:v>40</c:v>
                </c:pt>
                <c:pt idx="2">
                  <c:v>10</c:v>
                </c:pt>
              </c:numCache>
            </c:numRef>
          </c:val>
          <c:extLst>
            <c:ext xmlns:c16="http://schemas.microsoft.com/office/drawing/2014/chart" uri="{C3380CC4-5D6E-409C-BE32-E72D297353CC}">
              <c16:uniqueId val="{00000000-1626-4854-93D4-38475525DD16}"/>
            </c:ext>
          </c:extLst>
        </c:ser>
        <c:dLbls>
          <c:showLegendKey val="0"/>
          <c:showVal val="0"/>
          <c:showCatName val="0"/>
          <c:showSerName val="0"/>
          <c:showPercent val="0"/>
          <c:showBubbleSize val="0"/>
        </c:dLbls>
        <c:gapWidth val="100"/>
        <c:axId val="1262666400"/>
        <c:axId val="1262659200"/>
      </c:barChart>
      <c:catAx>
        <c:axId val="126266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1" u="none" strike="noStrike" kern="1200" baseline="0">
                <a:solidFill>
                  <a:schemeClr val="dk1"/>
                </a:solidFill>
                <a:latin typeface="+mn-lt"/>
                <a:ea typeface="+mn-ea"/>
                <a:cs typeface="+mn-cs"/>
              </a:defRPr>
            </a:pPr>
            <a:endParaRPr lang="en-US"/>
          </a:p>
        </c:txPr>
        <c:crossAx val="1262659200"/>
        <c:crosses val="autoZero"/>
        <c:auto val="1"/>
        <c:lblAlgn val="ctr"/>
        <c:lblOffset val="100"/>
        <c:noMultiLvlLbl val="0"/>
      </c:catAx>
      <c:valAx>
        <c:axId val="126265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6266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sng" strike="noStrike" kern="1200" spc="0" baseline="0">
                <a:solidFill>
                  <a:schemeClr val="tx1">
                    <a:lumMod val="95000"/>
                    <a:lumOff val="5000"/>
                  </a:schemeClr>
                </a:solidFill>
                <a:latin typeface="+mn-lt"/>
                <a:ea typeface="+mn-ea"/>
                <a:cs typeface="+mn-cs"/>
              </a:defRPr>
            </a:pPr>
            <a:r>
              <a:rPr lang="en-US" sz="1400" b="1" i="1" u="sng">
                <a:solidFill>
                  <a:schemeClr val="tx1">
                    <a:lumMod val="95000"/>
                    <a:lumOff val="5000"/>
                  </a:schemeClr>
                </a:solidFill>
              </a:rPr>
              <a:t>Issue Types</a:t>
            </a:r>
            <a:r>
              <a:rPr lang="en-US" sz="1400" b="1" i="1" u="sng" baseline="0">
                <a:solidFill>
                  <a:schemeClr val="tx1">
                    <a:lumMod val="95000"/>
                    <a:lumOff val="5000"/>
                  </a:schemeClr>
                </a:solidFill>
              </a:rPr>
              <a:t> / </a:t>
            </a:r>
            <a:r>
              <a:rPr lang="en-US" sz="1400" b="1" i="1" u="sng">
                <a:solidFill>
                  <a:schemeClr val="tx1">
                    <a:lumMod val="95000"/>
                    <a:lumOff val="5000"/>
                  </a:schemeClr>
                </a:solidFill>
              </a:rPr>
              <a:t>Issues No.</a:t>
            </a:r>
          </a:p>
        </c:rich>
      </c:tx>
      <c:overlay val="0"/>
      <c:spPr>
        <a:noFill/>
        <a:ln>
          <a:noFill/>
        </a:ln>
        <a:effectLst/>
      </c:spPr>
      <c:txPr>
        <a:bodyPr rot="0" spcFirstLastPara="1" vertOverflow="ellipsis" vert="horz" wrap="square" anchor="ctr" anchorCtr="1"/>
        <a:lstStyle/>
        <a:p>
          <a:pPr algn="l">
            <a:defRPr sz="1400" b="0" i="0" u="sng" strike="noStrike" kern="1200" spc="0" baseline="0">
              <a:solidFill>
                <a:schemeClr val="tx1">
                  <a:lumMod val="95000"/>
                  <a:lumOff val="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Lists!$E$1</c:f>
              <c:strCache>
                <c:ptCount val="1"/>
                <c:pt idx="0">
                  <c:v>No. Issues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Lists!$D$2:$D$21</c:f>
              <c:strCache>
                <c:ptCount val="20"/>
                <c:pt idx="0">
                  <c:v>Design inputs</c:v>
                </c:pt>
                <c:pt idx="1">
                  <c:v>Delivery</c:v>
                </c:pt>
                <c:pt idx="2">
                  <c:v>Installation</c:v>
                </c:pt>
                <c:pt idx="3">
                  <c:v>Test &amp; Comm.</c:v>
                </c:pt>
                <c:pt idx="4">
                  <c:v>Design Submission / Rectifications</c:v>
                </c:pt>
                <c:pt idx="5">
                  <c:v>Resources</c:v>
                </c:pt>
                <c:pt idx="6">
                  <c:v>PO Issuance Delay</c:v>
                </c:pt>
                <c:pt idx="7">
                  <c:v>Revised PO</c:v>
                </c:pt>
                <c:pt idx="8">
                  <c:v>Local Content</c:v>
                </c:pt>
                <c:pt idx="9">
                  <c:v>IQAMA Issues</c:v>
                </c:pt>
                <c:pt idx="10">
                  <c:v>Construction</c:v>
                </c:pt>
                <c:pt idx="11">
                  <c:v>Treasury </c:v>
                </c:pt>
                <c:pt idx="12">
                  <c:v>Permits / Request from Client</c:v>
                </c:pt>
                <c:pt idx="13">
                  <c:v>Shutdown</c:v>
                </c:pt>
                <c:pt idx="14">
                  <c:v>VO/EOT</c:v>
                </c:pt>
                <c:pt idx="15">
                  <c:v>Client Issues</c:v>
                </c:pt>
                <c:pt idx="16">
                  <c:v>Tender</c:v>
                </c:pt>
                <c:pt idx="17">
                  <c:v>Close Out</c:v>
                </c:pt>
                <c:pt idx="18">
                  <c:v>Funding</c:v>
                </c:pt>
                <c:pt idx="19">
                  <c:v>FAT Test</c:v>
                </c:pt>
              </c:strCache>
            </c:strRef>
          </c:cat>
          <c:val>
            <c:numRef>
              <c:f>Lists!$E$2:$E$21</c:f>
              <c:numCache>
                <c:formatCode>General</c:formatCode>
                <c:ptCount val="20"/>
                <c:pt idx="0">
                  <c:v>11</c:v>
                </c:pt>
                <c:pt idx="1">
                  <c:v>58</c:v>
                </c:pt>
                <c:pt idx="2">
                  <c:v>11</c:v>
                </c:pt>
                <c:pt idx="3">
                  <c:v>6</c:v>
                </c:pt>
                <c:pt idx="4">
                  <c:v>27</c:v>
                </c:pt>
                <c:pt idx="5">
                  <c:v>2</c:v>
                </c:pt>
                <c:pt idx="6">
                  <c:v>8</c:v>
                </c:pt>
                <c:pt idx="7">
                  <c:v>0</c:v>
                </c:pt>
                <c:pt idx="8">
                  <c:v>0</c:v>
                </c:pt>
                <c:pt idx="9">
                  <c:v>0</c:v>
                </c:pt>
                <c:pt idx="10">
                  <c:v>24</c:v>
                </c:pt>
                <c:pt idx="11">
                  <c:v>0</c:v>
                </c:pt>
                <c:pt idx="12">
                  <c:v>15</c:v>
                </c:pt>
                <c:pt idx="13">
                  <c:v>9</c:v>
                </c:pt>
                <c:pt idx="14">
                  <c:v>5</c:v>
                </c:pt>
                <c:pt idx="15">
                  <c:v>18</c:v>
                </c:pt>
                <c:pt idx="16">
                  <c:v>0</c:v>
                </c:pt>
                <c:pt idx="17">
                  <c:v>2</c:v>
                </c:pt>
                <c:pt idx="18">
                  <c:v>2</c:v>
                </c:pt>
                <c:pt idx="19">
                  <c:v>0</c:v>
                </c:pt>
              </c:numCache>
            </c:numRef>
          </c:val>
          <c:extLst>
            <c:ext xmlns:c16="http://schemas.microsoft.com/office/drawing/2014/chart" uri="{C3380CC4-5D6E-409C-BE32-E72D297353CC}">
              <c16:uniqueId val="{00000000-FD7E-4D81-A3B3-8EF28F00F1F3}"/>
            </c:ext>
          </c:extLst>
        </c:ser>
        <c:dLbls>
          <c:dLblPos val="outEnd"/>
          <c:showLegendKey val="0"/>
          <c:showVal val="1"/>
          <c:showCatName val="0"/>
          <c:showSerName val="0"/>
          <c:showPercent val="0"/>
          <c:showBubbleSize val="0"/>
        </c:dLbls>
        <c:gapWidth val="50"/>
        <c:overlap val="-100"/>
        <c:axId val="1277783920"/>
        <c:axId val="1277793040"/>
      </c:barChart>
      <c:catAx>
        <c:axId val="127778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95000"/>
                    <a:lumOff val="5000"/>
                  </a:schemeClr>
                </a:solidFill>
                <a:latin typeface="+mn-lt"/>
                <a:ea typeface="+mn-ea"/>
                <a:cs typeface="+mn-cs"/>
              </a:defRPr>
            </a:pPr>
            <a:endParaRPr lang="en-US"/>
          </a:p>
        </c:txPr>
        <c:crossAx val="1277793040"/>
        <c:crosses val="autoZero"/>
        <c:auto val="1"/>
        <c:lblAlgn val="ctr"/>
        <c:lblOffset val="100"/>
        <c:noMultiLvlLbl val="0"/>
      </c:catAx>
      <c:valAx>
        <c:axId val="127779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27778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6909</xdr:rowOff>
    </xdr:from>
    <xdr:to>
      <xdr:col>1</xdr:col>
      <xdr:colOff>1412686</xdr:colOff>
      <xdr:row>8</xdr:row>
      <xdr:rowOff>78676</xdr:rowOff>
    </xdr:to>
    <mc:AlternateContent xmlns:mc="http://schemas.openxmlformats.org/markup-compatibility/2006" xmlns:sle15="http://schemas.microsoft.com/office/drawing/2012/slicer">
      <mc:Choice Requires="sle15">
        <xdr:graphicFrame macro="">
          <xdr:nvGraphicFramePr>
            <xdr:cNvPr id="14" name="Issue owner 1">
              <a:extLst>
                <a:ext uri="{FF2B5EF4-FFF2-40B4-BE49-F238E27FC236}">
                  <a16:creationId xmlns:a16="http://schemas.microsoft.com/office/drawing/2014/main" id="{B430A977-7132-472C-9255-1B5297091E69}"/>
                </a:ext>
              </a:extLst>
            </xdr:cNvPr>
            <xdr:cNvGraphicFramePr/>
          </xdr:nvGraphicFramePr>
          <xdr:xfrm>
            <a:off x="0" y="0"/>
            <a:ext cx="0" cy="0"/>
          </xdr:xfrm>
          <a:graphic>
            <a:graphicData uri="http://schemas.microsoft.com/office/drawing/2010/slicer">
              <sle:slicer xmlns:sle="http://schemas.microsoft.com/office/drawing/2010/slicer" name="Issue owner 1"/>
            </a:graphicData>
          </a:graphic>
        </xdr:graphicFrame>
      </mc:Choice>
      <mc:Fallback xmlns="">
        <xdr:sp macro="" textlink="">
          <xdr:nvSpPr>
            <xdr:cNvPr id="0" name=""/>
            <xdr:cNvSpPr>
              <a:spLocks noTextEdit="1"/>
            </xdr:cNvSpPr>
          </xdr:nvSpPr>
          <xdr:spPr>
            <a:xfrm>
              <a:off x="0" y="201219"/>
              <a:ext cx="1688593" cy="150305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1516878</xdr:colOff>
      <xdr:row>1</xdr:row>
      <xdr:rowOff>30365</xdr:rowOff>
    </xdr:from>
    <xdr:to>
      <xdr:col>2</xdr:col>
      <xdr:colOff>1136578</xdr:colOff>
      <xdr:row>8</xdr:row>
      <xdr:rowOff>74078</xdr:rowOff>
    </xdr:to>
    <mc:AlternateContent xmlns:mc="http://schemas.openxmlformats.org/markup-compatibility/2006" xmlns:sle15="http://schemas.microsoft.com/office/drawing/2012/slicer">
      <mc:Choice Requires="sle15">
        <xdr:graphicFrame macro="">
          <xdr:nvGraphicFramePr>
            <xdr:cNvPr id="13" name="Name">
              <a:extLst>
                <a:ext uri="{FF2B5EF4-FFF2-40B4-BE49-F238E27FC236}">
                  <a16:creationId xmlns:a16="http://schemas.microsoft.com/office/drawing/2014/main" id="{73A89BF6-E6E2-4349-84DB-1E2CAF0D8623}"/>
                </a:ext>
                <a:ext uri="{147F2762-F138-4A5C-976F-8EAC2B608ADB}">
                  <a16:predDERef xmlns:a16="http://schemas.microsoft.com/office/drawing/2014/main" pred="{B430A977-7132-472C-9255-1B5297091E6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773249" y="218885"/>
              <a:ext cx="1582485" cy="14886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955479</xdr:colOff>
      <xdr:row>0</xdr:row>
      <xdr:rowOff>111313</xdr:rowOff>
    </xdr:from>
    <xdr:to>
      <xdr:col>4</xdr:col>
      <xdr:colOff>796993</xdr:colOff>
      <xdr:row>7</xdr:row>
      <xdr:rowOff>113788</xdr:rowOff>
    </xdr:to>
    <mc:AlternateContent xmlns:mc="http://schemas.openxmlformats.org/markup-compatibility/2006" xmlns:sle15="http://schemas.microsoft.com/office/drawing/2012/slicer">
      <mc:Choice Requires="sle15">
        <xdr:graphicFrame macro="">
          <xdr:nvGraphicFramePr>
            <xdr:cNvPr id="11" name="Project">
              <a:extLst>
                <a:ext uri="{FF2B5EF4-FFF2-40B4-BE49-F238E27FC236}">
                  <a16:creationId xmlns:a16="http://schemas.microsoft.com/office/drawing/2014/main" id="{A43C5A7A-7296-4D13-A886-A6486262C0AD}"/>
                </a:ext>
                <a:ext uri="{147F2762-F138-4A5C-976F-8EAC2B608ADB}">
                  <a16:predDERef xmlns:a16="http://schemas.microsoft.com/office/drawing/2014/main" pred="{73A89BF6-E6E2-4349-84DB-1E2CAF0D8623}"/>
                </a:ext>
              </a:extLst>
            </xdr:cNvPr>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mlns="">
        <xdr:sp macro="" textlink="">
          <xdr:nvSpPr>
            <xdr:cNvPr id="0" name=""/>
            <xdr:cNvSpPr>
              <a:spLocks noTextEdit="1"/>
            </xdr:cNvSpPr>
          </xdr:nvSpPr>
          <xdr:spPr>
            <a:xfrm>
              <a:off x="4894103" y="82738"/>
              <a:ext cx="1551524" cy="14693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1288105</xdr:colOff>
      <xdr:row>0</xdr:row>
      <xdr:rowOff>68455</xdr:rowOff>
    </xdr:from>
    <xdr:to>
      <xdr:col>8</xdr:col>
      <xdr:colOff>1440321</xdr:colOff>
      <xdr:row>7</xdr:row>
      <xdr:rowOff>83893</xdr:rowOff>
    </xdr:to>
    <mc:AlternateContent xmlns:mc="http://schemas.openxmlformats.org/markup-compatibility/2006" xmlns:sle15="http://schemas.microsoft.com/office/drawing/2012/slicer">
      <mc:Choice Requires="sle15">
        <xdr:graphicFrame macro="">
          <xdr:nvGraphicFramePr>
            <xdr:cNvPr id="5" name="Impact">
              <a:extLst>
                <a:ext uri="{FF2B5EF4-FFF2-40B4-BE49-F238E27FC236}">
                  <a16:creationId xmlns:a16="http://schemas.microsoft.com/office/drawing/2014/main" id="{F5FC963F-3DF6-A00B-785B-CF45D1FC17EE}"/>
                </a:ext>
              </a:extLst>
            </xdr:cNvPr>
            <xdr:cNvGraphicFramePr/>
          </xdr:nvGraphicFramePr>
          <xdr:xfrm>
            <a:off x="0" y="0"/>
            <a:ext cx="0" cy="0"/>
          </xdr:xfrm>
          <a:graphic>
            <a:graphicData uri="http://schemas.microsoft.com/office/drawing/2010/slicer">
              <sle:slicer xmlns:sle="http://schemas.microsoft.com/office/drawing/2010/slicer" name="Impact"/>
            </a:graphicData>
          </a:graphic>
        </xdr:graphicFrame>
      </mc:Choice>
      <mc:Fallback xmlns="">
        <xdr:sp macro="" textlink="">
          <xdr:nvSpPr>
            <xdr:cNvPr id="0" name=""/>
            <xdr:cNvSpPr>
              <a:spLocks noTextEdit="1"/>
            </xdr:cNvSpPr>
          </xdr:nvSpPr>
          <xdr:spPr>
            <a:xfrm>
              <a:off x="9459830" y="53215"/>
              <a:ext cx="1504618" cy="147276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802822</xdr:colOff>
      <xdr:row>0</xdr:row>
      <xdr:rowOff>68579</xdr:rowOff>
    </xdr:from>
    <xdr:to>
      <xdr:col>6</xdr:col>
      <xdr:colOff>654899</xdr:colOff>
      <xdr:row>7</xdr:row>
      <xdr:rowOff>106493</xdr:rowOff>
    </xdr:to>
    <mc:AlternateContent xmlns:mc="http://schemas.openxmlformats.org/markup-compatibility/2006" xmlns:sle15="http://schemas.microsoft.com/office/drawing/2012/slicer">
      <mc:Choice Requires="sle15">
        <xdr:graphicFrame macro="">
          <xdr:nvGraphicFramePr>
            <xdr:cNvPr id="7" name="Status">
              <a:extLst>
                <a:ext uri="{FF2B5EF4-FFF2-40B4-BE49-F238E27FC236}">
                  <a16:creationId xmlns:a16="http://schemas.microsoft.com/office/drawing/2014/main" id="{0FDDED70-8881-B760-1E6F-C223F907B09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464156" y="72389"/>
              <a:ext cx="1476235" cy="14672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688949</xdr:colOff>
      <xdr:row>0</xdr:row>
      <xdr:rowOff>68393</xdr:rowOff>
    </xdr:from>
    <xdr:to>
      <xdr:col>7</xdr:col>
      <xdr:colOff>1257173</xdr:colOff>
      <xdr:row>7</xdr:row>
      <xdr:rowOff>73100</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3D0B4BFA-F939-7E90-F873-6B865F47C6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7616" y="58233"/>
              <a:ext cx="1454457" cy="14429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1441404</xdr:colOff>
      <xdr:row>0</xdr:row>
      <xdr:rowOff>73285</xdr:rowOff>
    </xdr:from>
    <xdr:to>
      <xdr:col>9</xdr:col>
      <xdr:colOff>1364276</xdr:colOff>
      <xdr:row>6</xdr:row>
      <xdr:rowOff>187884</xdr:rowOff>
    </xdr:to>
    <mc:AlternateContent xmlns:mc="http://schemas.openxmlformats.org/markup-compatibility/2006" xmlns:sle15="http://schemas.microsoft.com/office/drawing/2012/slicer">
      <mc:Choice Requires="sle15">
        <xdr:graphicFrame macro="">
          <xdr:nvGraphicFramePr>
            <xdr:cNvPr id="8" name="Priority by SEC">
              <a:extLst>
                <a:ext uri="{FF2B5EF4-FFF2-40B4-BE49-F238E27FC236}">
                  <a16:creationId xmlns:a16="http://schemas.microsoft.com/office/drawing/2014/main" id="{F95A020B-8C6D-26BD-3787-D25BF02BFC59}"/>
                </a:ext>
              </a:extLst>
            </xdr:cNvPr>
            <xdr:cNvGraphicFramePr/>
          </xdr:nvGraphicFramePr>
          <xdr:xfrm>
            <a:off x="0" y="0"/>
            <a:ext cx="0" cy="0"/>
          </xdr:xfrm>
          <a:graphic>
            <a:graphicData uri="http://schemas.microsoft.com/office/drawing/2010/slicer">
              <sle:slicer xmlns:sle="http://schemas.microsoft.com/office/drawing/2010/slicer" name="Priority by SEC"/>
            </a:graphicData>
          </a:graphic>
        </xdr:graphicFrame>
      </mc:Choice>
      <mc:Fallback xmlns="">
        <xdr:sp macro="" textlink="">
          <xdr:nvSpPr>
            <xdr:cNvPr id="0" name=""/>
            <xdr:cNvSpPr>
              <a:spLocks noTextEdit="1"/>
            </xdr:cNvSpPr>
          </xdr:nvSpPr>
          <xdr:spPr>
            <a:xfrm>
              <a:off x="10984581" y="44710"/>
              <a:ext cx="1472627" cy="13909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1368729</xdr:colOff>
      <xdr:row>0</xdr:row>
      <xdr:rowOff>35784</xdr:rowOff>
    </xdr:from>
    <xdr:to>
      <xdr:col>10</xdr:col>
      <xdr:colOff>1554944</xdr:colOff>
      <xdr:row>6</xdr:row>
      <xdr:rowOff>111190</xdr:rowOff>
    </xdr:to>
    <mc:AlternateContent xmlns:mc="http://schemas.openxmlformats.org/markup-compatibility/2006" xmlns:sle15="http://schemas.microsoft.com/office/drawing/2012/slicer">
      <mc:Choice Requires="sle15">
        <xdr:graphicFrame macro="">
          <xdr:nvGraphicFramePr>
            <xdr:cNvPr id="10" name="Priority by Alfanar">
              <a:extLst>
                <a:ext uri="{FF2B5EF4-FFF2-40B4-BE49-F238E27FC236}">
                  <a16:creationId xmlns:a16="http://schemas.microsoft.com/office/drawing/2014/main" id="{AF7A6DD7-1AA1-81C7-AA5D-BB85A1052D5B}"/>
                </a:ext>
                <a:ext uri="{147F2762-F138-4A5C-976F-8EAC2B608ADB}">
                  <a16:predDERef xmlns:a16="http://schemas.microsoft.com/office/drawing/2014/main" pred="{F95A020B-8C6D-26BD-3787-D25BF02BFC59}"/>
                </a:ext>
              </a:extLst>
            </xdr:cNvPr>
            <xdr:cNvGraphicFramePr/>
          </xdr:nvGraphicFramePr>
          <xdr:xfrm>
            <a:off x="0" y="0"/>
            <a:ext cx="0" cy="0"/>
          </xdr:xfrm>
          <a:graphic>
            <a:graphicData uri="http://schemas.microsoft.com/office/drawing/2010/slicer">
              <sle:slicer xmlns:sle="http://schemas.microsoft.com/office/drawing/2010/slicer" name="Priority by Alfanar"/>
            </a:graphicData>
          </a:graphic>
        </xdr:graphicFrame>
      </mc:Choice>
      <mc:Fallback xmlns="">
        <xdr:sp macro="" textlink="">
          <xdr:nvSpPr>
            <xdr:cNvPr id="0" name=""/>
            <xdr:cNvSpPr>
              <a:spLocks noTextEdit="1"/>
            </xdr:cNvSpPr>
          </xdr:nvSpPr>
          <xdr:spPr>
            <a:xfrm>
              <a:off x="12474361" y="35784"/>
              <a:ext cx="1777574" cy="13136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1302932</xdr:colOff>
      <xdr:row>0</xdr:row>
      <xdr:rowOff>106941</xdr:rowOff>
    </xdr:from>
    <xdr:to>
      <xdr:col>3</xdr:col>
      <xdr:colOff>945160</xdr:colOff>
      <xdr:row>7</xdr:row>
      <xdr:rowOff>112656</xdr:rowOff>
    </xdr:to>
    <mc:AlternateContent xmlns:mc="http://schemas.openxmlformats.org/markup-compatibility/2006" xmlns:sle15="http://schemas.microsoft.com/office/drawing/2012/slicer">
      <mc:Choice Requires="sle15">
        <xdr:graphicFrame macro="">
          <xdr:nvGraphicFramePr>
            <xdr:cNvPr id="9" name="Issue Type">
              <a:extLst>
                <a:ext uri="{FF2B5EF4-FFF2-40B4-BE49-F238E27FC236}">
                  <a16:creationId xmlns:a16="http://schemas.microsoft.com/office/drawing/2014/main" id="{290D7E49-4BA1-03E1-9D14-CD6A74485B30}"/>
                </a:ext>
              </a:extLst>
            </xdr:cNvPr>
            <xdr:cNvGraphicFramePr/>
          </xdr:nvGraphicFramePr>
          <xdr:xfrm>
            <a:off x="0" y="0"/>
            <a:ext cx="0" cy="0"/>
          </xdr:xfrm>
          <a:graphic>
            <a:graphicData uri="http://schemas.microsoft.com/office/drawing/2010/slicer">
              <sle:slicer xmlns:sle="http://schemas.microsoft.com/office/drawing/2010/slicer" name="Issue Type"/>
            </a:graphicData>
          </a:graphic>
        </xdr:graphicFrame>
      </mc:Choice>
      <mc:Fallback xmlns="">
        <xdr:sp macro="" textlink="">
          <xdr:nvSpPr>
            <xdr:cNvPr id="0" name=""/>
            <xdr:cNvSpPr>
              <a:spLocks noTextEdit="1"/>
            </xdr:cNvSpPr>
          </xdr:nvSpPr>
          <xdr:spPr>
            <a:xfrm>
              <a:off x="3415366" y="91701"/>
              <a:ext cx="1461433" cy="1466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9525</xdr:colOff>
      <xdr:row>7</xdr:row>
      <xdr:rowOff>52387</xdr:rowOff>
    </xdr:from>
    <xdr:to>
      <xdr:col>16</xdr:col>
      <xdr:colOff>0</xdr:colOff>
      <xdr:row>21</xdr:row>
      <xdr:rowOff>128587</xdr:rowOff>
    </xdr:to>
    <xdr:graphicFrame macro="">
      <xdr:nvGraphicFramePr>
        <xdr:cNvPr id="2" name="Chart 1">
          <a:extLst>
            <a:ext uri="{FF2B5EF4-FFF2-40B4-BE49-F238E27FC236}">
              <a16:creationId xmlns:a16="http://schemas.microsoft.com/office/drawing/2014/main" id="{7D928584-5234-26A4-797D-5872391A7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7</xdr:row>
      <xdr:rowOff>52387</xdr:rowOff>
    </xdr:from>
    <xdr:to>
      <xdr:col>20</xdr:col>
      <xdr:colOff>9526</xdr:colOff>
      <xdr:row>21</xdr:row>
      <xdr:rowOff>128587</xdr:rowOff>
    </xdr:to>
    <xdr:graphicFrame macro="">
      <xdr:nvGraphicFramePr>
        <xdr:cNvPr id="3" name="Chart 2">
          <a:extLst>
            <a:ext uri="{FF2B5EF4-FFF2-40B4-BE49-F238E27FC236}">
              <a16:creationId xmlns:a16="http://schemas.microsoft.com/office/drawing/2014/main" id="{79F96E4E-07C3-BD46-FA9E-CB0503FDC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12512</xdr:colOff>
      <xdr:row>30</xdr:row>
      <xdr:rowOff>11111</xdr:rowOff>
    </xdr:from>
    <xdr:to>
      <xdr:col>20</xdr:col>
      <xdr:colOff>0</xdr:colOff>
      <xdr:row>61</xdr:row>
      <xdr:rowOff>0</xdr:rowOff>
    </xdr:to>
    <xdr:graphicFrame macro="">
      <xdr:nvGraphicFramePr>
        <xdr:cNvPr id="5" name="Chart 3">
          <a:extLst>
            <a:ext uri="{FF2B5EF4-FFF2-40B4-BE49-F238E27FC236}">
              <a16:creationId xmlns:a16="http://schemas.microsoft.com/office/drawing/2014/main" id="{B7F6A6F3-CFA8-B04A-270D-3CDE6BE6BD9F}"/>
            </a:ext>
            <a:ext uri="{147F2762-F138-4A5C-976F-8EAC2B608ADB}">
              <a16:predDERef xmlns:a16="http://schemas.microsoft.com/office/drawing/2014/main" pred="{79F96E4E-07C3-BD46-FA9E-CB0503FDC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7</xdr:row>
      <xdr:rowOff>52387</xdr:rowOff>
    </xdr:from>
    <xdr:to>
      <xdr:col>12</xdr:col>
      <xdr:colOff>1</xdr:colOff>
      <xdr:row>21</xdr:row>
      <xdr:rowOff>128587</xdr:rowOff>
    </xdr:to>
    <xdr:graphicFrame macro="">
      <xdr:nvGraphicFramePr>
        <xdr:cNvPr id="4" name="Chart 4">
          <a:extLst>
            <a:ext uri="{FF2B5EF4-FFF2-40B4-BE49-F238E27FC236}">
              <a16:creationId xmlns:a16="http://schemas.microsoft.com/office/drawing/2014/main" id="{1C1108A5-6BEA-425F-3A84-9BF5DD8BA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582706</xdr:colOff>
      <xdr:row>30</xdr:row>
      <xdr:rowOff>18770</xdr:rowOff>
    </xdr:from>
    <xdr:to>
      <xdr:col>11</xdr:col>
      <xdr:colOff>1243854</xdr:colOff>
      <xdr:row>44</xdr:row>
      <xdr:rowOff>106176</xdr:rowOff>
    </xdr:to>
    <xdr:graphicFrame macro="">
      <xdr:nvGraphicFramePr>
        <xdr:cNvPr id="8" name="Chart 7">
          <a:extLst>
            <a:ext uri="{FF2B5EF4-FFF2-40B4-BE49-F238E27FC236}">
              <a16:creationId xmlns:a16="http://schemas.microsoft.com/office/drawing/2014/main" id="{55E10945-C42B-93A1-7298-44E14C848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582706</xdr:colOff>
      <xdr:row>46</xdr:row>
      <xdr:rowOff>119623</xdr:rowOff>
    </xdr:from>
    <xdr:to>
      <xdr:col>11</xdr:col>
      <xdr:colOff>1243854</xdr:colOff>
      <xdr:row>61</xdr:row>
      <xdr:rowOff>16529</xdr:rowOff>
    </xdr:to>
    <xdr:graphicFrame macro="">
      <xdr:nvGraphicFramePr>
        <xdr:cNvPr id="10" name="Chart 9">
          <a:extLst>
            <a:ext uri="{FF2B5EF4-FFF2-40B4-BE49-F238E27FC236}">
              <a16:creationId xmlns:a16="http://schemas.microsoft.com/office/drawing/2014/main" id="{8317EC99-FF0B-655C-225E-E83C64F1E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585108</xdr:colOff>
      <xdr:row>62</xdr:row>
      <xdr:rowOff>79147</xdr:rowOff>
    </xdr:from>
    <xdr:to>
      <xdr:col>19</xdr:col>
      <xdr:colOff>1211036</xdr:colOff>
      <xdr:row>94</xdr:row>
      <xdr:rowOff>68036</xdr:rowOff>
    </xdr:to>
    <xdr:graphicFrame macro="">
      <xdr:nvGraphicFramePr>
        <xdr:cNvPr id="36" name="Chart 3">
          <a:extLst>
            <a:ext uri="{FF2B5EF4-FFF2-40B4-BE49-F238E27FC236}">
              <a16:creationId xmlns:a16="http://schemas.microsoft.com/office/drawing/2014/main" id="{84DAA710-7B04-A444-3131-FBAC6CDAB29F}"/>
            </a:ext>
            <a:ext uri="{147F2762-F138-4A5C-976F-8EAC2B608ADB}">
              <a16:predDERef xmlns:a16="http://schemas.microsoft.com/office/drawing/2014/main" pred="{8317EC99-FF0B-655C-225E-E83C64F1E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444504</xdr:colOff>
      <xdr:row>0</xdr:row>
      <xdr:rowOff>31750</xdr:rowOff>
    </xdr:from>
    <xdr:to>
      <xdr:col>5</xdr:col>
      <xdr:colOff>1182691</xdr:colOff>
      <xdr:row>7</xdr:row>
      <xdr:rowOff>149224</xdr:rowOff>
    </xdr:to>
    <mc:AlternateContent xmlns:mc="http://schemas.openxmlformats.org/markup-compatibility/2006" xmlns:sle15="http://schemas.microsoft.com/office/drawing/2012/slicer">
      <mc:Choice Requires="sle15">
        <xdr:graphicFrame macro="">
          <xdr:nvGraphicFramePr>
            <xdr:cNvPr id="2" name="Project 1">
              <a:extLst>
                <a:ext uri="{FF2B5EF4-FFF2-40B4-BE49-F238E27FC236}">
                  <a16:creationId xmlns:a16="http://schemas.microsoft.com/office/drawing/2014/main" id="{6FA84BF9-84A7-D1D2-DAFE-C349971FD5AC}"/>
                </a:ext>
              </a:extLst>
            </xdr:cNvPr>
            <xdr:cNvGraphicFramePr/>
          </xdr:nvGraphicFramePr>
          <xdr:xfrm>
            <a:off x="0" y="0"/>
            <a:ext cx="0" cy="0"/>
          </xdr:xfrm>
          <a:graphic>
            <a:graphicData uri="http://schemas.microsoft.com/office/drawing/2010/slicer">
              <sle:slicer xmlns:sle="http://schemas.microsoft.com/office/drawing/2010/slicer" name="Project 1"/>
            </a:graphicData>
          </a:graphic>
        </xdr:graphicFrame>
      </mc:Choice>
      <mc:Fallback xmlns="">
        <xdr:sp macro="" textlink="">
          <xdr:nvSpPr>
            <xdr:cNvPr id="0" name=""/>
            <xdr:cNvSpPr>
              <a:spLocks noTextEdit="1"/>
            </xdr:cNvSpPr>
          </xdr:nvSpPr>
          <xdr:spPr>
            <a:xfrm>
              <a:off x="2349504" y="31750"/>
              <a:ext cx="2222500" cy="15065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1371602</xdr:colOff>
      <xdr:row>0</xdr:row>
      <xdr:rowOff>41275</xdr:rowOff>
    </xdr:from>
    <xdr:to>
      <xdr:col>6</xdr:col>
      <xdr:colOff>327027</xdr:colOff>
      <xdr:row>7</xdr:row>
      <xdr:rowOff>103187</xdr:rowOff>
    </xdr:to>
    <mc:AlternateContent xmlns:mc="http://schemas.openxmlformats.org/markup-compatibility/2006" xmlns:sle15="http://schemas.microsoft.com/office/drawing/2012/slicer">
      <mc:Choice Requires="sle15">
        <xdr:graphicFrame macro="">
          <xdr:nvGraphicFramePr>
            <xdr:cNvPr id="3" name="Impact 1">
              <a:extLst>
                <a:ext uri="{FF2B5EF4-FFF2-40B4-BE49-F238E27FC236}">
                  <a16:creationId xmlns:a16="http://schemas.microsoft.com/office/drawing/2014/main" id="{532C41CF-372C-F8DE-C255-9627E02C0A58}"/>
                </a:ext>
              </a:extLst>
            </xdr:cNvPr>
            <xdr:cNvGraphicFramePr/>
          </xdr:nvGraphicFramePr>
          <xdr:xfrm>
            <a:off x="0" y="0"/>
            <a:ext cx="0" cy="0"/>
          </xdr:xfrm>
          <a:graphic>
            <a:graphicData uri="http://schemas.microsoft.com/office/drawing/2010/slicer">
              <sle:slicer xmlns:sle="http://schemas.microsoft.com/office/drawing/2010/slicer" name="Impact 1"/>
            </a:graphicData>
          </a:graphic>
        </xdr:graphicFrame>
      </mc:Choice>
      <mc:Fallback xmlns="">
        <xdr:sp macro="" textlink="">
          <xdr:nvSpPr>
            <xdr:cNvPr id="0" name=""/>
            <xdr:cNvSpPr>
              <a:spLocks noTextEdit="1"/>
            </xdr:cNvSpPr>
          </xdr:nvSpPr>
          <xdr:spPr>
            <a:xfrm>
              <a:off x="4760915" y="41275"/>
              <a:ext cx="1828800" cy="1450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79375</xdr:colOff>
      <xdr:row>0</xdr:row>
      <xdr:rowOff>33337</xdr:rowOff>
    </xdr:from>
    <xdr:to>
      <xdr:col>3</xdr:col>
      <xdr:colOff>277813</xdr:colOff>
      <xdr:row>7</xdr:row>
      <xdr:rowOff>71437</xdr:rowOff>
    </xdr:to>
    <mc:AlternateContent xmlns:mc="http://schemas.openxmlformats.org/markup-compatibility/2006" xmlns:sle15="http://schemas.microsoft.com/office/drawing/2012/slicer">
      <mc:Choice Requires="sle15">
        <xdr:graphicFrame macro="">
          <xdr:nvGraphicFramePr>
            <xdr:cNvPr id="5" name="Name 1">
              <a:extLst>
                <a:ext uri="{FF2B5EF4-FFF2-40B4-BE49-F238E27FC236}">
                  <a16:creationId xmlns:a16="http://schemas.microsoft.com/office/drawing/2014/main" id="{FEB9B1A3-4887-DB89-8D93-F5E289D7542D}"/>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79375" y="33337"/>
              <a:ext cx="2103438" cy="142716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346EC1B-9565-4C3E-9779-F2B729AE4F8A}">
    <nsvFilter filterId="{5556BEDA-BA9C-47E1-B514-04765EDCF070}" ref="B10:X527" tableId="1">
      <columnFilter colId="5" id="{C482AD03-682A-42D7-8F4E-A3D945E2F7D2}">
        <filter colId="5">
          <x:filters>
            <x:filter val="Vendor"/>
          </x:filters>
        </filter>
      </columnFilter>
      <columnFilter colId="6" id="{6B9C0399-FA73-4A07-BB5D-1761E20C6B99}">
        <filter colId="6">
          <x:filters>
            <x:filter val="SPTC"/>
          </x:filters>
        </filter>
      </columnFilter>
    </nsvFilter>
  </namedSheetView>
  <namedSheetView name="View2" id="{C1565C6F-FBEA-4D08-A4D2-71178515A77F}">
    <nsvFilter filterId="{5556BEDA-BA9C-47E1-B514-04765EDCF070}" ref="B10:X527" tableId="1"/>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owner1" xr10:uid="{7C78635A-F725-40C8-951F-AD8D5A865E91}" sourceName="Issue owne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33848A5-6572-4FBA-B2A0-8F6C50DB87BD}" sourceName="Name">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5D80AC8B-F959-4D5B-B05F-DB67CBB4E88A}" sourceName="Project">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 xr10:uid="{F7FF8777-3C11-4725-9349-8163ED014CA9}" sourceName="Impact">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D227E94-0312-4465-88BF-B2F17E510907}" sourceName="Status">
  <extLst>
    <x:ext xmlns:x15="http://schemas.microsoft.com/office/spreadsheetml/2010/11/main" uri="{2F2917AC-EB37-4324-AD4E-5DD8C200BD13}">
      <x15:tableSlicerCache tableId="1"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1" xr10:uid="{D199ED58-0D28-4222-B612-92F942EE36E9}" sourceName="Project">
  <extLst>
    <x:ext xmlns:x15="http://schemas.microsoft.com/office/spreadsheetml/2010/11/main" uri="{2F2917AC-EB37-4324-AD4E-5DD8C200BD13}">
      <x15:tableSlicerCache tableId="2"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1" xr10:uid="{25413CB6-900F-44CF-B7BA-A1E4AC91919B}" sourceName="Impact">
  <extLst>
    <x:ext xmlns:x15="http://schemas.microsoft.com/office/spreadsheetml/2010/11/main" uri="{2F2917AC-EB37-4324-AD4E-5DD8C200BD13}">
      <x15:tableSlicerCache tableId="2" column="7"/>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A9FA2340-54EA-4F1C-8B9B-BDF2F34131E2}" sourceName="Name">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B77CD6-2E66-42FC-9692-F2A6194EDF01}" sourceName="Region">
  <extLst>
    <x:ext xmlns:x15="http://schemas.microsoft.com/office/spreadsheetml/2010/11/main" uri="{2F2917AC-EB37-4324-AD4E-5DD8C200BD13}">
      <x15:tableSlicerCache tableId="1" column="18"/>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by_SEC" xr10:uid="{CFF9B6F0-F8F5-4BA8-B000-5C4428FDF25D}" sourceName="Priority By SEC">
  <extLst>
    <x:ext xmlns:x15="http://schemas.microsoft.com/office/spreadsheetml/2010/11/main" uri="{2F2917AC-EB37-4324-AD4E-5DD8C200BD13}">
      <x15:tableSlicerCache tableId="1" column="19"/>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by_Alfanar" xr10:uid="{CECE28CA-92BB-4817-85A2-3C1AEFDB29BA}" sourceName="Priority by Alfanar">
  <extLst>
    <x:ext xmlns:x15="http://schemas.microsoft.com/office/spreadsheetml/2010/11/main" uri="{2F2917AC-EB37-4324-AD4E-5DD8C200BD13}">
      <x15:tableSlicerCache tableId="1" column="20"/>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Type" xr10:uid="{E920A432-C8B1-4DE1-8F94-BC20FF051FB2}" sourceName="Issue Type">
  <extLst>
    <x:ext xmlns:x15="http://schemas.microsoft.com/office/spreadsheetml/2010/11/main" uri="{2F2917AC-EB37-4324-AD4E-5DD8C200BD13}">
      <x15:tableSlicerCache tableId="1" column="2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sue owner 1" xr10:uid="{A9E45737-4D9D-4E8E-A0D3-70D1C0808406}" cache="Slicer_Issue_owner1" caption="Issue owner" rowHeight="251883"/>
  <slicer name="Name" xr10:uid="{9CB630C8-5573-47D2-991C-AB7D5FE56497}" cache="Slicer_Name" caption="Name" rowHeight="251883"/>
  <slicer name="Project" xr10:uid="{5D3F89ED-6C27-41CF-A29C-39A389866EC4}" cache="Slicer_Project" caption="Project" startItem="40" rowHeight="251883"/>
  <slicer name="Impact" xr10:uid="{1805D159-58BD-44C6-BCD6-D233EC807918}" cache="Slicer_Impact" caption="Impact" rowHeight="251883"/>
  <slicer name="Status" xr10:uid="{66637466-6E4A-40F2-82E7-86D0F11A6C4C}" cache="Slicer_Status" caption="Status" rowHeight="251883"/>
  <slicer name="Region" xr10:uid="{3EE4ABE1-B9FE-472F-8D62-F95D0CFE8CA1}" cache="Slicer_Region" caption="Region" rowHeight="251883"/>
  <slicer name="Priority by SEC" xr10:uid="{B190F8BA-B9D8-4465-9BA2-97A3FCF65758}" cache="Slicer_Priority_by_SEC" caption="Priority By SEC" rowHeight="251883"/>
  <slicer name="Priority by Alfanar" xr10:uid="{3B6C39A6-3D0A-4822-BD3C-A6769CF34BAD}" cache="Slicer_Priority_by_Alfanar" caption="Priority by Alfanar" rowHeight="251883"/>
  <slicer name="Issue Type" xr10:uid="{49657072-C84B-44A6-A092-D4B87E6F8AA2}" cache="Slicer_Issue_Type" caption="Issue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1" xr10:uid="{81A6619E-7594-45F0-BA03-8E9402E63521}" cache="Slicer_Project1" caption="Project" startItem="3" rowHeight="251883"/>
  <slicer name="Impact 1" xr10:uid="{E6ED35D5-9152-4D86-AE6A-5F586F9DD21D}" cache="Slicer_Impact1" caption="Impact" rowHeight="251883"/>
  <slicer name="Name 1" xr10:uid="{65EC1F1E-E692-42D1-9BB9-E57A2039D55C}" cache="Slicer_Name1" caption="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10D31-67B0-4ACC-AFE3-E47CB39335C5}" name="Table1" displayName="Table1" ref="B10:X527" totalsRowShown="0" headerRowDxfId="60" dataDxfId="59" headerRowBorderDxfId="57" tableBorderDxfId="58">
  <autoFilter ref="B10:X527" xr:uid="{5556BEDA-BA9C-47E1-B514-04765EDCF070}">
    <filterColumn colId="0">
      <filters>
        <filter val="PE-283"/>
        <filter val="(NonBlanks)"/>
      </filters>
    </filterColumn>
    <filterColumn colId="18">
      <filters blank="1">
        <filter val="Open"/>
      </filters>
    </filterColumn>
  </autoFilter>
  <tableColumns count="23">
    <tableColumn id="1" xr3:uid="{E2B4EB2A-5F78-4468-B13E-2741E93CA38C}" name="Project" dataDxfId="56"/>
    <tableColumn id="23" xr3:uid="{FD840CE2-1B89-4AE6-A467-0A005AFC4862}" name="Project Name" dataDxfId="55"/>
    <tableColumn id="22" xr3:uid="{5EA7FBF5-1EEF-482D-9666-B7463F3032CE}" name="Project Manager" dataDxfId="54"/>
    <tableColumn id="18" xr3:uid="{93C16B55-775D-4FB9-8CA2-7966C7673095}" name="Region" dataDxfId="53"/>
    <tableColumn id="2" xr3:uid="{C72730D0-1305-4E2C-933A-E10A7564997D}" name="SN" dataDxfId="52"/>
    <tableColumn id="3" xr3:uid="{C482AD03-682A-42D7-8F4E-A3D945E2F7D2}" name="Issue owner" dataDxfId="51"/>
    <tableColumn id="4" xr3:uid="{6B9C0399-FA73-4A07-BB5D-1761E20C6B99}" name="Name" dataDxfId="50"/>
    <tableColumn id="21" xr3:uid="{8E73A85F-7E7D-4472-B94E-6DA94A104180}" name="Issue Type" dataDxfId="49"/>
    <tableColumn id="5" xr3:uid="{AFD9A61A-5902-49AC-A1E3-2C74E9C84A73}" name="Date Issued" dataDxfId="48"/>
    <tableColumn id="6" xr3:uid="{C0E476DB-D911-4269-A4B4-689757A28DE9}" name="Main Issue" dataDxfId="47"/>
    <tableColumn id="7" xr3:uid="{1CF6D069-BEA5-47D8-8A5D-96AA15655337}" name="Impact" dataDxfId="46"/>
    <tableColumn id="8" xr3:uid="{C1719B9E-6990-43E7-A767-018548B662EF}" name="Action Taken" dataDxfId="45"/>
    <tableColumn id="9" xr3:uid="{36196403-ACB8-4328-AECB-F0D6519ABC74}" name="Action Required" dataDxfId="44"/>
    <tableColumn id="19" xr3:uid="{18947BBC-E490-4274-9C91-AB1FBC5282D7}" name="Priority By SEC" dataDxfId="43"/>
    <tableColumn id="20" xr3:uid="{4075D35E-63D0-44ED-A1C2-C97176E248F4}" name="Priority by Alfanar" dataDxfId="42"/>
    <tableColumn id="10" xr3:uid="{E88B3B1A-528A-45F2-911D-D54A99787132}" name="Action By" dataDxfId="41"/>
    <tableColumn id="15" xr3:uid="{D06143E0-F3D4-4C8E-8C5C-C7E2A385741E}" name="Planned Target" dataDxfId="40"/>
    <tableColumn id="11" xr3:uid="{EF7B99E0-A7A3-4484-9E07-6783A9B6E896}" name="Forecast/Expected Target" dataDxfId="39"/>
    <tableColumn id="12" xr3:uid="{1746DCC0-3355-45E6-8EC4-55AD4FBAC325}" name="Status" dataDxfId="38"/>
    <tableColumn id="13" xr3:uid="{0DA24B11-5F65-4411-832E-C932BA7B04D3}" name="(Schedule/Cost)Impact" dataDxfId="37"/>
    <tableColumn id="14" xr3:uid="{23B201E0-F51F-4C16-831C-A5629E8A1262}" name="Remarks" dataDxfId="36"/>
    <tableColumn id="16" xr3:uid="{8D1EFE48-D517-4F75-93C7-8ACFC5CDE5C5}" name="Cost" dataDxfId="35"/>
    <tableColumn id="17" xr3:uid="{F686FB31-3BEA-4873-A4A5-EFA08BC6D246}" name="PO Status"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F63CBD-E3CE-44A7-821B-ECD2195CE599}" name="Table4" displayName="Table4" ref="A17:B65" totalsRowShown="0" headerRowDxfId="33">
  <autoFilter ref="A17:B65" xr:uid="{7AF63CBD-E3CE-44A7-821B-ECD2195CE599}"/>
  <tableColumns count="2">
    <tableColumn id="1" xr3:uid="{248A43B2-12D5-44AE-B227-30AD272857CB}" name="Vendor" dataDxfId="32"/>
    <tableColumn id="2" xr3:uid="{DF25A29B-B3E8-4364-91EE-50B72DDC81B9}" name="No"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06CA66-9A42-40C2-A65A-99D0DB3300C5}" name="Table3" displayName="Table3" ref="D1:E21" totalsRowShown="0" headerRowDxfId="29" headerRowBorderDxfId="27" tableBorderDxfId="28">
  <autoFilter ref="D1:E21" xr:uid="{D506CA66-9A42-40C2-A65A-99D0DB3300C5}"/>
  <tableColumns count="2">
    <tableColumn id="1" xr3:uid="{BE0BE76A-C709-4C64-A71A-4ACB66DCE3F9}" name="Issue Type"/>
    <tableColumn id="2" xr3:uid="{7296C4F3-A887-4A1F-8CC6-F669004F841C}" name="No. Issues" dataDxfId="26">
      <calculatedColumnFormula>COUNTIFS(Table1[Issue Type],Table3[[#This Row],[Issue Type]],Table1[Status],"open")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E79EFF-FDC9-4C11-ADFC-50BD70796BD5}" name="Table36" displayName="Table36" ref="G1:G10" totalsRowShown="0" headerRowDxfId="25" headerRowBorderDxfId="23" tableBorderDxfId="24">
  <autoFilter ref="G1:G10" xr:uid="{83E79EFF-FDC9-4C11-ADFC-50BD70796BD5}"/>
  <tableColumns count="1">
    <tableColumn id="1" xr3:uid="{A0E9196A-6FB6-4899-9C22-E621DE9AC84C}" name="Issue Own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7112A6-6D3E-4DF2-A4EB-A9AA4ABA9774}" name="Table2" displayName="Table2" ref="A9:O123" totalsRowShown="0" headerRowDxfId="19" dataDxfId="18" headerRowBorderDxfId="16" tableBorderDxfId="17" totalsRowBorderDxfId="15">
  <autoFilter ref="A9:O123" xr:uid="{2A7112A6-6D3E-4DF2-A4EB-A9AA4ABA9774}"/>
  <tableColumns count="15">
    <tableColumn id="1" xr3:uid="{3D6C28D6-21F3-4763-9E1E-67D4BBB09ABC}" name="Project" dataDxfId="14"/>
    <tableColumn id="2" xr3:uid="{A42C8EF5-2E01-4098-A81A-0D2F136ECB69}" name="SN" dataDxfId="13"/>
    <tableColumn id="3" xr3:uid="{F8DC1306-FE40-4DFC-BF5E-E3206575F6D3}" name="Issue owner" dataDxfId="12"/>
    <tableColumn id="4" xr3:uid="{2F9D6FF0-7057-4850-8259-E5035D01D044}" name="Name" dataDxfId="11"/>
    <tableColumn id="5" xr3:uid="{8587C8B7-4838-406D-8EA7-66F62576B882}" name="date Issued" dataDxfId="10"/>
    <tableColumn id="6" xr3:uid="{C18D7DBE-840F-477A-916A-732E17AFFC3B}" name="Main Issue" dataDxfId="9"/>
    <tableColumn id="7" xr3:uid="{AA57BEC6-BC8D-4E64-9693-7F5D1EBD5D7D}" name="Impact" dataDxfId="8"/>
    <tableColumn id="8" xr3:uid="{2AE291C4-A6A5-47A3-B29B-AA4FF265F0CC}" name="Action Taken" dataDxfId="7"/>
    <tableColumn id="9" xr3:uid="{3FC2FBDE-0521-4BD8-8BCC-3C6807301826}" name="Action Required" dataDxfId="6"/>
    <tableColumn id="10" xr3:uid="{A0E8B69E-979D-4F8C-BEE6-E0BC978B137B}" name="Action By" dataDxfId="5"/>
    <tableColumn id="11" xr3:uid="{AC82B3B6-D132-464E-AB90-B9B260A881D6}" name="Planned Target" dataDxfId="4"/>
    <tableColumn id="12" xr3:uid="{EB60045C-AC53-4A80-8631-1EE65519D025}" name="Forecast/Expected Target" dataDxfId="3"/>
    <tableColumn id="13" xr3:uid="{C5F5CF3B-39F3-4E50-9844-FC7982F2A9D1}" name="Status" dataDxfId="2"/>
    <tableColumn id="14" xr3:uid="{A860FE2D-C4E6-43B4-9896-C53E348D4825}" name="(Schedule/Cost)Impact" dataDxfId="1"/>
    <tableColumn id="15" xr3:uid="{5B99852B-C332-4BEB-8A0E-83537B6046A0}"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u:/s/ProjectPlanningdepartment/EUr_XUSzz4RLs1BS49BpP2IB_eAy6Yzz2DfYD9bCO-5D8A?e=FbFSez" TargetMode="External"/><Relationship Id="rId13" Type="http://schemas.openxmlformats.org/officeDocument/2006/relationships/hyperlink" Target="https://alfanargroup-my.sharepoint.com/:u:/g/personal/ahmed_kamal_alfanar_com/EY0f731U-VpPviqwayP-jhEBMPmZTZahw6HR4Dzo6FbFMg?e=zYhkLK" TargetMode="External"/><Relationship Id="rId18" Type="http://schemas.openxmlformats.org/officeDocument/2006/relationships/hyperlink" Target="https://alfanargroup-my.sharepoint.com/:b:/g/personal/irfan_shaik_alfanar_com/EbTW6uuxC-FChmlDle4mBF8BbHcn_lTAZzLz_IUJip4-gw?e=MQlJ8q" TargetMode="External"/><Relationship Id="rId26" Type="http://schemas.microsoft.com/office/2019/04/relationships/namedSheetView" Target="../namedSheetViews/namedSheetView1.xml"/><Relationship Id="rId3" Type="http://schemas.openxmlformats.org/officeDocument/2006/relationships/hyperlink" Target="https://alfanargroup-my.sharepoint.com/:x:/g/personal/mohamed_sanan_alfanar_com/Ec86f57lNyRKvQRWJWbuVfEBlKYrNtnqm64PQlUVHRHKqg?e=TjfBCu" TargetMode="External"/><Relationship Id="rId21" Type="http://schemas.openxmlformats.org/officeDocument/2006/relationships/hyperlink" Target="../../../../../../../../../:x:/s/ProjectPlanningdepartment/EQ1dFMIL8QhEtYBPbkKCRbsBl0RlaFpG1WYiGOQCASsh0g?e=Rrgy5p" TargetMode="External"/><Relationship Id="rId7" Type="http://schemas.openxmlformats.org/officeDocument/2006/relationships/hyperlink" Target="../../../../../../../../../:x:/s/ProjectPlanningdepartment/EadR9EEvO6VKuKPlH1HtJuEBvuryvmGVZJnfqh-7SWnNXg?e=jiLyQh" TargetMode="External"/><Relationship Id="rId12" Type="http://schemas.openxmlformats.org/officeDocument/2006/relationships/hyperlink" Target="https://alfanargroup-my.sharepoint.com/:x:/g/personal/mohamed_sanan_alfanar_com/EW-sTVw52M9Li3HitV9qlTcB5VDi_EJ-oJcLpctYQYsJDg?e=psU6VP" TargetMode="External"/><Relationship Id="rId17" Type="http://schemas.openxmlformats.org/officeDocument/2006/relationships/hyperlink" Target="https://alfanargroup-my.sharepoint.com/:x:/g/personal/amrishkumar_umapathy_alfanar_com/EfdpmYAJYOdGhJ-FerLKyMoBuY6AHZLKp3xC9ORes8v-iQ?e=uBLV1k&amp;xsdata=MDV8MDJ8U3llZC5IYWtraW1AYWxmYW5hci5jb218ZTU5OGQ2YjY4ZjQyNGE5ODBjMWUwOGRkYjdkMzY2MTN8OTQ3ZDlkYmU1ZjA4NDQxNjk2YTk4NDY4ZjdmODI5OWV8MHwwfDYzODg2ODg0MDc2MDIyNTI0NnxVbmtub3dufFRXRnBiR1pzYjNkOGV5SkZiWEIwZVUxaGNHa2lPblJ5ZFdVc0lsWWlPaUl3TGpBdU1EQXdNQ0lzSWxBaU9pSlhhVzR6TWlJc0lrRk9Jam9pVFdGcGJDSXNJbGRVSWpveWZRPT18MHx8fA%3d%3d&amp;sdata=UGRJdDg4VCtyZ3Rxdlc3SnhhOWhuNDRCQmJFMzZsc0ZJS09OOXIyaktPTT0%3d" TargetMode="External"/><Relationship Id="rId25" Type="http://schemas.microsoft.com/office/2007/relationships/slicer" Target="../slicers/slicer1.xml"/><Relationship Id="rId2" Type="http://schemas.openxmlformats.org/officeDocument/2006/relationships/hyperlink" Target="../../../../../../../../../:x:/s/ProjectPlanningdepartment/EdXzgVSpMORArpI1NeO9ENcBSR4l1yo-vrvCqCiY0TyPjA?e=v4WFrr" TargetMode="External"/><Relationship Id="rId16" Type="http://schemas.openxmlformats.org/officeDocument/2006/relationships/hyperlink" Target="https://alfanargroup-my.sharepoint.com/:x:/g/personal/amrishkumar_umapathy_alfanar_com/EWtxBo3pqXNGsKClLxXeGusB7oSQEfTCbtQ2INClBQYRLw?e=1UbLa2" TargetMode="External"/><Relationship Id="rId20" Type="http://schemas.openxmlformats.org/officeDocument/2006/relationships/hyperlink" Target="../../../../../../../../../:x:/s/ProjectPlanningdepartment/EQ1dFMIL8QhEtYBPbkKCRbsBl0RlaFpG1WYiGOQCASsh0g?e=Rrgy5p" TargetMode="External"/><Relationship Id="rId1" Type="http://schemas.openxmlformats.org/officeDocument/2006/relationships/hyperlink" Target="../../../../../../../../../:x:/s/ProjectPlanningdepartment/EVCy_S1B3ZhJqFG5mO3UVwQBo6GdvnwjHtfiLZ_rc_9lFQ?e=K6YZ2W" TargetMode="External"/><Relationship Id="rId6" Type="http://schemas.openxmlformats.org/officeDocument/2006/relationships/hyperlink" Target="../../../../../../../../../:x:/s/ProjectPlanningdepartment/EadR9EEvO6VKuKPlH1HtJuEBvuryvmGVZJnfqh-7SWnNXg?e=jiLyQh" TargetMode="External"/><Relationship Id="rId11" Type="http://schemas.openxmlformats.org/officeDocument/2006/relationships/hyperlink" Target="https://alfanargroup-my.sharepoint.com/:b:/g/personal/irfan_shaik_alfanar_com/EdKrQOL2GFJGtU-ti90r-mABLNBBByL9vrFmjNWwJTQxkQ?e=BjTLKr" TargetMode="External"/><Relationship Id="rId24" Type="http://schemas.openxmlformats.org/officeDocument/2006/relationships/table" Target="../tables/table1.xml"/><Relationship Id="rId5" Type="http://schemas.openxmlformats.org/officeDocument/2006/relationships/hyperlink" Target="../../../../../../../../../:x:/s/ProjectPlanningdepartment/EUtqD7BqI9JIlhQwNVFUNzMBJAeR7K-Ija9ug5ZHJYyHdg?e=A1bklT" TargetMode="External"/><Relationship Id="rId15" Type="http://schemas.openxmlformats.org/officeDocument/2006/relationships/hyperlink" Target="https://alfanargroup-my.sharepoint.com/:u:/g/personal/irfan_shaik_alfanar_com/EfEwwC0TUkBDiyiBGVx-EkABoeqfq3OnNh04axBUMENbMg?e=To9Eco" TargetMode="External"/><Relationship Id="rId23" Type="http://schemas.openxmlformats.org/officeDocument/2006/relationships/drawing" Target="../drawings/drawing1.xml"/><Relationship Id="rId10" Type="http://schemas.openxmlformats.org/officeDocument/2006/relationships/hyperlink" Target="https://alfanargroup-my.sharepoint.com/:b:/g/personal/irfan_shaik_alfanar_com/EbnMly_saVpKo-ZvfSsk0nYBSe4VMCbJuAe5bVA4bWLuVA?e=CjoaXd" TargetMode="External"/><Relationship Id="rId19" Type="http://schemas.openxmlformats.org/officeDocument/2006/relationships/hyperlink" Target="https://alfanargroup-my.sharepoint.com/:b:/g/personal/irfan_shaik_alfanar_com/ER1IOH0knxxBjUXWXiNadzIBAsDhmphD04M5MR357SFZeg?e=xl2Iqu" TargetMode="External"/><Relationship Id="rId4" Type="http://schemas.openxmlformats.org/officeDocument/2006/relationships/hyperlink" Target="../../../../../../../../../:x:/s/ProjectPlanningdepartment/ERI4U2IhDwRKjeRIzrd2iIkBWWCcMI5rc4EAZCycXUkwEA?e=ruICVH" TargetMode="External"/><Relationship Id="rId9" Type="http://schemas.openxmlformats.org/officeDocument/2006/relationships/hyperlink" Target="../../../../../../../../../:x:/s/ProjectPlanningdepartment/ESepuSClGWFLmnfPBSMbmk0B_hyTQ4XYvDmnq2u7a177tg?e=tp6wHF" TargetMode="External"/><Relationship Id="rId14" Type="http://schemas.openxmlformats.org/officeDocument/2006/relationships/hyperlink" Target="https://alfanargroup-my.sharepoint.com/:i:/g/personal/irfan_shaik_alfanar_com/EaHxZcaoKaZJg6PmK92-AtAB3o20vR36KmqywRFTnSNUtw?e=QLiMg5" TargetMode="External"/><Relationship Id="rId22"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42A9-38C5-4C3D-BB34-6C20C01D621E}">
  <sheetPr codeName="Sheet2"/>
  <dimension ref="A1:A24"/>
  <sheetViews>
    <sheetView workbookViewId="0">
      <selection sqref="A1:A3"/>
    </sheetView>
  </sheetViews>
  <sheetFormatPr defaultRowHeight="14.45"/>
  <cols>
    <col min="1" max="1" width="34.85546875" bestFit="1" customWidth="1"/>
  </cols>
  <sheetData>
    <row r="1" spans="1:1">
      <c r="A1" t="s">
        <v>0</v>
      </c>
    </row>
    <row r="2" spans="1:1">
      <c r="A2" t="s">
        <v>1</v>
      </c>
    </row>
    <row r="3" spans="1:1">
      <c r="A3" t="s">
        <v>2</v>
      </c>
    </row>
    <row r="24" ht="22.5" customHeight="1"/>
  </sheetData>
  <pageMargins left="0.7" right="0.7" top="0.75" bottom="0.75" header="0.3" footer="0.3"/>
  <headerFooter>
    <oddFooter>&amp;C_x000D_&amp;1#&amp;"Calibri"&amp;10&amp;K0000FF 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8CBC4-B15A-4D8A-B6B8-FCFCCFC3262E}">
  <sheetPr codeName="Sheet1"/>
  <dimension ref="A2:AC696"/>
  <sheetViews>
    <sheetView tabSelected="1" topLeftCell="I3" zoomScale="70" zoomScaleNormal="70" workbookViewId="0">
      <selection activeCell="M540" sqref="M540"/>
    </sheetView>
  </sheetViews>
  <sheetFormatPr defaultColWidth="8.85546875" defaultRowHeight="15" customHeight="1"/>
  <cols>
    <col min="1" max="1" width="3.42578125" style="45" customWidth="1"/>
    <col min="2" max="3" width="28" style="41" customWidth="1"/>
    <col min="4" max="4" width="26" style="45" customWidth="1"/>
    <col min="5" max="5" width="13.42578125" style="45" customWidth="1"/>
    <col min="6" max="6" width="10.5703125" style="41" customWidth="1"/>
    <col min="7" max="7" width="13.42578125" style="45" customWidth="1"/>
    <col min="8" max="8" width="19.5703125" style="45" customWidth="1"/>
    <col min="9" max="9" width="24" style="45" customWidth="1"/>
    <col min="10" max="10" width="23.28515625" style="41" customWidth="1"/>
    <col min="11" max="11" width="76.5703125" style="45" customWidth="1"/>
    <col min="12" max="12" width="13.5703125" style="45" bestFit="1" customWidth="1"/>
    <col min="13" max="13" width="99.5703125" style="45" customWidth="1"/>
    <col min="14" max="14" width="62.42578125" style="45" customWidth="1"/>
    <col min="15" max="15" width="20.7109375" style="45" customWidth="1"/>
    <col min="16" max="16" width="26.140625" style="50" customWidth="1"/>
    <col min="17" max="17" width="18.28515625" style="45" customWidth="1"/>
    <col min="18" max="18" width="13" style="45" customWidth="1"/>
    <col min="19" max="19" width="45.85546875" style="41" customWidth="1"/>
    <col min="20" max="20" width="19.140625" style="45" customWidth="1"/>
    <col min="21" max="21" width="30.5703125" style="45" customWidth="1"/>
    <col min="22" max="22" width="57" style="45" customWidth="1"/>
    <col min="23" max="23" width="24.42578125" style="45" customWidth="1"/>
    <col min="24" max="24" width="76.28515625" style="45" customWidth="1"/>
    <col min="25" max="25" width="13.5703125" style="45" bestFit="1" customWidth="1"/>
    <col min="26" max="26" width="8.85546875" style="45"/>
    <col min="27" max="27" width="9.85546875" style="45" bestFit="1" customWidth="1"/>
    <col min="28" max="28" width="12" style="45" bestFit="1" customWidth="1"/>
    <col min="29" max="29" width="10.85546875" style="45" bestFit="1" customWidth="1"/>
    <col min="30" max="16384" width="8.85546875" style="45"/>
  </cols>
  <sheetData>
    <row r="2" spans="2:25" ht="15.95">
      <c r="X2" s="42" t="s">
        <v>3</v>
      </c>
      <c r="Y2" s="51" t="s">
        <v>4</v>
      </c>
    </row>
    <row r="3" spans="2:25" ht="15.95">
      <c r="U3" s="196"/>
      <c r="W3" s="48"/>
      <c r="X3" s="43" t="s">
        <v>5</v>
      </c>
      <c r="Y3" s="46" t="s">
        <v>6</v>
      </c>
    </row>
    <row r="4" spans="2:25" ht="15.95">
      <c r="U4" s="196"/>
      <c r="W4" s="48"/>
      <c r="X4" s="44" t="s">
        <v>7</v>
      </c>
      <c r="Y4" s="43" t="s">
        <v>8</v>
      </c>
    </row>
    <row r="5" spans="2:25" ht="15.95">
      <c r="W5" s="48"/>
      <c r="Y5" s="44" t="s">
        <v>9</v>
      </c>
    </row>
    <row r="8" spans="2:25" ht="14.45">
      <c r="W8" s="45" t="s">
        <v>10</v>
      </c>
      <c r="X8" s="73" t="s">
        <v>11</v>
      </c>
    </row>
    <row r="10" spans="2:25" ht="52.5" customHeight="1">
      <c r="B10" s="65" t="s">
        <v>12</v>
      </c>
      <c r="C10" s="65" t="s">
        <v>13</v>
      </c>
      <c r="D10" s="65" t="s">
        <v>14</v>
      </c>
      <c r="E10" s="65" t="s">
        <v>15</v>
      </c>
      <c r="F10" s="70" t="s">
        <v>16</v>
      </c>
      <c r="G10" s="70" t="s">
        <v>17</v>
      </c>
      <c r="H10" s="71" t="s">
        <v>18</v>
      </c>
      <c r="I10" s="24" t="s">
        <v>19</v>
      </c>
      <c r="J10" s="78" t="s">
        <v>20</v>
      </c>
      <c r="K10" s="67" t="s">
        <v>21</v>
      </c>
      <c r="L10" s="67" t="s">
        <v>22</v>
      </c>
      <c r="M10" s="67" t="s">
        <v>23</v>
      </c>
      <c r="N10" s="67" t="s">
        <v>24</v>
      </c>
      <c r="O10" s="18" t="s">
        <v>25</v>
      </c>
      <c r="P10" s="18" t="s">
        <v>26</v>
      </c>
      <c r="Q10" s="18" t="s">
        <v>27</v>
      </c>
      <c r="R10" s="19" t="s">
        <v>28</v>
      </c>
      <c r="S10" s="20" t="s">
        <v>29</v>
      </c>
      <c r="T10" s="20" t="s">
        <v>30</v>
      </c>
      <c r="U10" s="20" t="s">
        <v>31</v>
      </c>
      <c r="V10" s="20" t="s">
        <v>32</v>
      </c>
      <c r="W10" s="21" t="s">
        <v>33</v>
      </c>
      <c r="X10" s="21" t="s">
        <v>34</v>
      </c>
    </row>
    <row r="11" spans="2:25" ht="32.1" hidden="1">
      <c r="B11" s="18" t="s">
        <v>35</v>
      </c>
      <c r="C11" s="16" t="s">
        <v>36</v>
      </c>
      <c r="D11" s="18" t="s">
        <v>37</v>
      </c>
      <c r="E11" s="18" t="s">
        <v>38</v>
      </c>
      <c r="F11" s="14">
        <v>1</v>
      </c>
      <c r="G11" s="14" t="s">
        <v>39</v>
      </c>
      <c r="H11" s="26" t="s">
        <v>0</v>
      </c>
      <c r="I11" s="26" t="s">
        <v>40</v>
      </c>
      <c r="J11" s="202"/>
      <c r="K11" s="18" t="s">
        <v>41</v>
      </c>
      <c r="L11" s="47" t="s">
        <v>6</v>
      </c>
      <c r="M11" s="18" t="s">
        <v>42</v>
      </c>
      <c r="N11" s="18" t="s">
        <v>43</v>
      </c>
      <c r="O11" s="18" t="s">
        <v>3</v>
      </c>
      <c r="P11" s="18" t="s">
        <v>3</v>
      </c>
      <c r="Q11" s="18" t="s">
        <v>44</v>
      </c>
      <c r="R11" s="19"/>
      <c r="S11" s="20"/>
      <c r="T11" s="20" t="s">
        <v>45</v>
      </c>
      <c r="U11" s="20"/>
      <c r="V11" s="20"/>
      <c r="W11" s="20"/>
      <c r="X11" s="20"/>
    </row>
    <row r="12" spans="2:25" ht="32.1" hidden="1">
      <c r="B12" s="18" t="s">
        <v>35</v>
      </c>
      <c r="C12" s="16" t="s">
        <v>36</v>
      </c>
      <c r="D12" s="18" t="s">
        <v>37</v>
      </c>
      <c r="E12" s="18" t="s">
        <v>38</v>
      </c>
      <c r="F12" s="14">
        <v>1</v>
      </c>
      <c r="G12" s="14" t="s">
        <v>39</v>
      </c>
      <c r="H12" s="26" t="s">
        <v>0</v>
      </c>
      <c r="I12" s="26" t="s">
        <v>46</v>
      </c>
      <c r="J12" s="202"/>
      <c r="K12" s="18" t="s">
        <v>47</v>
      </c>
      <c r="L12" s="47" t="s">
        <v>6</v>
      </c>
      <c r="M12" s="18" t="s">
        <v>48</v>
      </c>
      <c r="N12" s="18" t="s">
        <v>49</v>
      </c>
      <c r="O12" s="18" t="s">
        <v>3</v>
      </c>
      <c r="P12" s="18" t="s">
        <v>3</v>
      </c>
      <c r="Q12" s="18" t="s">
        <v>44</v>
      </c>
      <c r="R12" s="19"/>
      <c r="S12" s="20"/>
      <c r="T12" s="20" t="s">
        <v>45</v>
      </c>
      <c r="U12" s="20"/>
      <c r="V12" s="20"/>
      <c r="W12" s="20"/>
      <c r="X12" s="20"/>
    </row>
    <row r="13" spans="2:25" ht="32.1" hidden="1">
      <c r="B13" s="18" t="s">
        <v>50</v>
      </c>
      <c r="C13" s="18" t="s">
        <v>51</v>
      </c>
      <c r="D13" s="18" t="s">
        <v>52</v>
      </c>
      <c r="E13" s="18" t="s">
        <v>38</v>
      </c>
      <c r="F13" s="14">
        <v>1</v>
      </c>
      <c r="G13" s="14" t="s">
        <v>53</v>
      </c>
      <c r="H13" s="26" t="s">
        <v>54</v>
      </c>
      <c r="I13" s="26" t="s">
        <v>55</v>
      </c>
      <c r="J13" s="202"/>
      <c r="K13" s="18" t="s">
        <v>56</v>
      </c>
      <c r="L13" s="47" t="s">
        <v>6</v>
      </c>
      <c r="M13" s="18" t="s">
        <v>57</v>
      </c>
      <c r="N13" s="18" t="s">
        <v>58</v>
      </c>
      <c r="O13" s="18" t="s">
        <v>3</v>
      </c>
      <c r="P13" s="18" t="s">
        <v>3</v>
      </c>
      <c r="Q13" s="18" t="s">
        <v>59</v>
      </c>
      <c r="R13" s="19"/>
      <c r="S13" s="20"/>
      <c r="T13" s="20" t="s">
        <v>45</v>
      </c>
      <c r="U13" s="20"/>
      <c r="V13" s="20" t="s">
        <v>60</v>
      </c>
      <c r="W13" s="20"/>
      <c r="X13" s="20"/>
    </row>
    <row r="14" spans="2:25" ht="57.95" hidden="1">
      <c r="B14" s="18" t="s">
        <v>50</v>
      </c>
      <c r="C14" s="18" t="s">
        <v>51</v>
      </c>
      <c r="D14" s="18" t="s">
        <v>52</v>
      </c>
      <c r="E14" s="18" t="s">
        <v>38</v>
      </c>
      <c r="F14" s="14">
        <v>1</v>
      </c>
      <c r="G14" s="14" t="s">
        <v>53</v>
      </c>
      <c r="H14" s="26" t="s">
        <v>54</v>
      </c>
      <c r="I14" s="26" t="s">
        <v>55</v>
      </c>
      <c r="J14" s="202"/>
      <c r="K14" s="18" t="s">
        <v>61</v>
      </c>
      <c r="L14" s="47" t="s">
        <v>6</v>
      </c>
      <c r="M14" s="18" t="s">
        <v>62</v>
      </c>
      <c r="N14" s="18" t="s">
        <v>63</v>
      </c>
      <c r="O14" s="18" t="s">
        <v>3</v>
      </c>
      <c r="P14" s="18" t="s">
        <v>3</v>
      </c>
      <c r="Q14" s="18" t="s">
        <v>59</v>
      </c>
      <c r="R14" s="19"/>
      <c r="S14" s="20" t="s">
        <v>64</v>
      </c>
      <c r="T14" s="20" t="s">
        <v>65</v>
      </c>
      <c r="U14" s="20"/>
      <c r="V14" s="20" t="s">
        <v>60</v>
      </c>
      <c r="W14" s="20"/>
      <c r="X14" s="20"/>
    </row>
    <row r="15" spans="2:25" ht="80.099999999999994" hidden="1">
      <c r="B15" s="18" t="s">
        <v>66</v>
      </c>
      <c r="C15" s="18" t="s">
        <v>67</v>
      </c>
      <c r="D15" s="18" t="s">
        <v>68</v>
      </c>
      <c r="E15" s="18" t="s">
        <v>38</v>
      </c>
      <c r="F15" s="14">
        <v>1</v>
      </c>
      <c r="G15" s="14" t="s">
        <v>69</v>
      </c>
      <c r="H15" s="26" t="s">
        <v>70</v>
      </c>
      <c r="I15" s="26" t="s">
        <v>40</v>
      </c>
      <c r="J15" s="202"/>
      <c r="K15" s="18" t="s">
        <v>71</v>
      </c>
      <c r="L15" s="47" t="s">
        <v>6</v>
      </c>
      <c r="M15" s="18" t="s">
        <v>72</v>
      </c>
      <c r="N15" s="18" t="s">
        <v>73</v>
      </c>
      <c r="O15" s="18" t="s">
        <v>3</v>
      </c>
      <c r="P15" s="18" t="s">
        <v>3</v>
      </c>
      <c r="Q15" s="18" t="s">
        <v>69</v>
      </c>
      <c r="R15" s="19">
        <v>45784</v>
      </c>
      <c r="S15" s="20"/>
      <c r="T15" s="20" t="s">
        <v>45</v>
      </c>
      <c r="U15" s="20"/>
      <c r="V15" s="20"/>
      <c r="W15" s="20"/>
      <c r="X15" s="20" t="s">
        <v>74</v>
      </c>
    </row>
    <row r="16" spans="2:25" ht="29.1" hidden="1">
      <c r="B16" s="18" t="s">
        <v>66</v>
      </c>
      <c r="C16" s="18" t="s">
        <v>67</v>
      </c>
      <c r="D16" s="18" t="s">
        <v>68</v>
      </c>
      <c r="E16" s="18" t="s">
        <v>38</v>
      </c>
      <c r="F16" s="14">
        <v>2</v>
      </c>
      <c r="G16" s="14" t="s">
        <v>53</v>
      </c>
      <c r="H16" s="26" t="s">
        <v>54</v>
      </c>
      <c r="I16" s="26" t="s">
        <v>75</v>
      </c>
      <c r="J16" s="202"/>
      <c r="K16" s="18" t="s">
        <v>76</v>
      </c>
      <c r="L16" s="47" t="s">
        <v>6</v>
      </c>
      <c r="M16" s="18" t="s">
        <v>77</v>
      </c>
      <c r="N16" s="18" t="s">
        <v>78</v>
      </c>
      <c r="O16" s="18" t="s">
        <v>3</v>
      </c>
      <c r="P16" s="18" t="s">
        <v>3</v>
      </c>
      <c r="Q16" s="18" t="s">
        <v>79</v>
      </c>
      <c r="R16" s="19">
        <v>46233</v>
      </c>
      <c r="S16" s="20">
        <v>46233</v>
      </c>
      <c r="T16" s="20" t="s">
        <v>65</v>
      </c>
      <c r="U16" s="20"/>
      <c r="V16" s="20"/>
      <c r="W16" s="20"/>
      <c r="X16" s="20"/>
    </row>
    <row r="17" spans="2:24" ht="29.1" hidden="1">
      <c r="B17" s="18" t="s">
        <v>66</v>
      </c>
      <c r="C17" s="18" t="s">
        <v>67</v>
      </c>
      <c r="D17" s="18" t="s">
        <v>68</v>
      </c>
      <c r="E17" s="18" t="s">
        <v>38</v>
      </c>
      <c r="F17" s="14">
        <v>2</v>
      </c>
      <c r="G17" s="14" t="s">
        <v>39</v>
      </c>
      <c r="H17" s="26" t="s">
        <v>80</v>
      </c>
      <c r="I17" s="26" t="s">
        <v>81</v>
      </c>
      <c r="J17" s="202"/>
      <c r="K17" s="18" t="s">
        <v>82</v>
      </c>
      <c r="L17" s="47" t="s">
        <v>6</v>
      </c>
      <c r="M17" s="18" t="s">
        <v>83</v>
      </c>
      <c r="N17" s="18" t="s">
        <v>84</v>
      </c>
      <c r="O17" s="18" t="s">
        <v>3</v>
      </c>
      <c r="P17" s="18" t="s">
        <v>3</v>
      </c>
      <c r="Q17" s="18" t="s">
        <v>69</v>
      </c>
      <c r="R17" s="19">
        <v>46233</v>
      </c>
      <c r="S17" s="20">
        <v>46233</v>
      </c>
      <c r="T17" s="20" t="s">
        <v>65</v>
      </c>
      <c r="U17" s="20"/>
      <c r="V17" s="20"/>
      <c r="W17" s="20"/>
      <c r="X17" s="20" t="s">
        <v>85</v>
      </c>
    </row>
    <row r="18" spans="2:24" ht="29.1" hidden="1">
      <c r="B18" s="18" t="s">
        <v>66</v>
      </c>
      <c r="C18" s="18" t="s">
        <v>67</v>
      </c>
      <c r="D18" s="18" t="s">
        <v>68</v>
      </c>
      <c r="E18" s="18" t="s">
        <v>38</v>
      </c>
      <c r="F18" s="14">
        <v>2</v>
      </c>
      <c r="G18" s="14" t="s">
        <v>39</v>
      </c>
      <c r="H18" s="26" t="s">
        <v>80</v>
      </c>
      <c r="I18" s="26" t="s">
        <v>86</v>
      </c>
      <c r="J18" s="202"/>
      <c r="K18" s="18" t="s">
        <v>87</v>
      </c>
      <c r="L18" s="47" t="s">
        <v>6</v>
      </c>
      <c r="M18" s="18" t="s">
        <v>88</v>
      </c>
      <c r="N18" s="18" t="s">
        <v>89</v>
      </c>
      <c r="O18" s="18" t="s">
        <v>3</v>
      </c>
      <c r="P18" s="18" t="s">
        <v>3</v>
      </c>
      <c r="Q18" s="18" t="s">
        <v>69</v>
      </c>
      <c r="R18" s="19">
        <v>46233</v>
      </c>
      <c r="S18" s="20">
        <v>46264</v>
      </c>
      <c r="T18" s="20" t="s">
        <v>65</v>
      </c>
      <c r="U18" s="20"/>
      <c r="V18" s="20"/>
      <c r="W18" s="20"/>
      <c r="X18" s="20"/>
    </row>
    <row r="19" spans="2:24" ht="43.5" hidden="1">
      <c r="B19" s="18" t="s">
        <v>66</v>
      </c>
      <c r="C19" s="18" t="s">
        <v>67</v>
      </c>
      <c r="D19" s="18" t="s">
        <v>68</v>
      </c>
      <c r="E19" s="18" t="s">
        <v>38</v>
      </c>
      <c r="F19" s="14">
        <v>2</v>
      </c>
      <c r="G19" s="14" t="s">
        <v>69</v>
      </c>
      <c r="H19" s="26" t="s">
        <v>70</v>
      </c>
      <c r="I19" s="26" t="s">
        <v>40</v>
      </c>
      <c r="J19" s="202"/>
      <c r="K19" s="18" t="s">
        <v>90</v>
      </c>
      <c r="L19" s="47" t="s">
        <v>6</v>
      </c>
      <c r="M19" s="18" t="s">
        <v>91</v>
      </c>
      <c r="N19" s="18" t="s">
        <v>92</v>
      </c>
      <c r="O19" s="18" t="s">
        <v>3</v>
      </c>
      <c r="P19" s="18" t="s">
        <v>3</v>
      </c>
      <c r="Q19" s="18" t="s">
        <v>69</v>
      </c>
      <c r="R19" s="19">
        <v>46203</v>
      </c>
      <c r="S19" s="20">
        <v>46264</v>
      </c>
      <c r="T19" s="20" t="s">
        <v>45</v>
      </c>
      <c r="U19" s="20" t="s">
        <v>93</v>
      </c>
      <c r="V19" s="20"/>
      <c r="W19" s="20"/>
      <c r="X19" s="20" t="s">
        <v>94</v>
      </c>
    </row>
    <row r="20" spans="2:24" ht="48" hidden="1">
      <c r="B20" s="18" t="s">
        <v>66</v>
      </c>
      <c r="C20" s="18" t="s">
        <v>67</v>
      </c>
      <c r="D20" s="18" t="s">
        <v>68</v>
      </c>
      <c r="E20" s="18" t="s">
        <v>38</v>
      </c>
      <c r="F20" s="14">
        <v>3</v>
      </c>
      <c r="G20" s="14" t="s">
        <v>69</v>
      </c>
      <c r="H20" s="26" t="s">
        <v>95</v>
      </c>
      <c r="I20" s="26" t="s">
        <v>40</v>
      </c>
      <c r="J20" s="202"/>
      <c r="K20" s="18" t="s">
        <v>96</v>
      </c>
      <c r="L20" s="47" t="s">
        <v>6</v>
      </c>
      <c r="M20" s="18" t="s">
        <v>97</v>
      </c>
      <c r="N20" s="18" t="s">
        <v>98</v>
      </c>
      <c r="O20" s="18" t="s">
        <v>3</v>
      </c>
      <c r="P20" s="18" t="s">
        <v>3</v>
      </c>
      <c r="Q20" s="18" t="s">
        <v>99</v>
      </c>
      <c r="R20" s="19">
        <v>45767</v>
      </c>
      <c r="S20" s="20">
        <v>45807</v>
      </c>
      <c r="T20" s="20" t="s">
        <v>45</v>
      </c>
      <c r="U20" s="20" t="s">
        <v>100</v>
      </c>
      <c r="V20" s="20"/>
      <c r="W20" s="20"/>
      <c r="X20" s="20" t="s">
        <v>101</v>
      </c>
    </row>
    <row r="21" spans="2:24" ht="29.1" hidden="1">
      <c r="B21" s="18" t="s">
        <v>66</v>
      </c>
      <c r="C21" s="18" t="s">
        <v>67</v>
      </c>
      <c r="D21" s="18" t="s">
        <v>68</v>
      </c>
      <c r="E21" s="18" t="s">
        <v>38</v>
      </c>
      <c r="F21" s="14">
        <v>4</v>
      </c>
      <c r="G21" s="14" t="s">
        <v>69</v>
      </c>
      <c r="H21" s="26" t="s">
        <v>102</v>
      </c>
      <c r="I21" s="26" t="s">
        <v>81</v>
      </c>
      <c r="J21" s="202"/>
      <c r="K21" s="18" t="s">
        <v>103</v>
      </c>
      <c r="L21" s="47" t="s">
        <v>6</v>
      </c>
      <c r="M21" s="18" t="s">
        <v>104</v>
      </c>
      <c r="N21" s="18" t="s">
        <v>105</v>
      </c>
      <c r="O21" s="18" t="s">
        <v>3</v>
      </c>
      <c r="P21" s="18" t="s">
        <v>3</v>
      </c>
      <c r="Q21" s="18" t="s">
        <v>99</v>
      </c>
      <c r="R21" s="19">
        <v>45762</v>
      </c>
      <c r="S21" s="20">
        <v>45792</v>
      </c>
      <c r="T21" s="20" t="s">
        <v>45</v>
      </c>
      <c r="U21" s="20" t="s">
        <v>106</v>
      </c>
      <c r="V21" s="20"/>
      <c r="W21" s="20"/>
      <c r="X21" s="20" t="s">
        <v>107</v>
      </c>
    </row>
    <row r="22" spans="2:24" ht="15.95" hidden="1">
      <c r="B22" s="18" t="s">
        <v>66</v>
      </c>
      <c r="C22" s="18" t="s">
        <v>67</v>
      </c>
      <c r="D22" s="18" t="s">
        <v>68</v>
      </c>
      <c r="E22" s="18" t="s">
        <v>38</v>
      </c>
      <c r="F22" s="14">
        <v>5</v>
      </c>
      <c r="G22" s="14" t="s">
        <v>53</v>
      </c>
      <c r="H22" s="26" t="s">
        <v>54</v>
      </c>
      <c r="I22" s="26" t="s">
        <v>40</v>
      </c>
      <c r="J22" s="202"/>
      <c r="K22" s="18" t="s">
        <v>108</v>
      </c>
      <c r="L22" s="47" t="s">
        <v>109</v>
      </c>
      <c r="M22" s="18" t="s">
        <v>110</v>
      </c>
      <c r="N22" s="18" t="s">
        <v>111</v>
      </c>
      <c r="O22" s="18" t="s">
        <v>3</v>
      </c>
      <c r="P22" s="18" t="s">
        <v>3</v>
      </c>
      <c r="Q22" s="18" t="s">
        <v>112</v>
      </c>
      <c r="R22" s="19"/>
      <c r="S22" s="20"/>
      <c r="T22" s="20" t="s">
        <v>45</v>
      </c>
      <c r="U22" s="20"/>
      <c r="V22" s="20"/>
      <c r="W22" s="20"/>
      <c r="X22" s="20" t="s">
        <v>113</v>
      </c>
    </row>
    <row r="23" spans="2:24" ht="32.1" hidden="1">
      <c r="B23" s="18" t="s">
        <v>66</v>
      </c>
      <c r="C23" s="18" t="s">
        <v>67</v>
      </c>
      <c r="D23" s="18" t="s">
        <v>68</v>
      </c>
      <c r="E23" s="18" t="s">
        <v>38</v>
      </c>
      <c r="F23" s="14">
        <v>6</v>
      </c>
      <c r="G23" s="14" t="s">
        <v>69</v>
      </c>
      <c r="H23" s="26" t="s">
        <v>114</v>
      </c>
      <c r="I23" s="26" t="s">
        <v>115</v>
      </c>
      <c r="J23" s="202"/>
      <c r="K23" s="18" t="s">
        <v>116</v>
      </c>
      <c r="L23" s="47" t="s">
        <v>6</v>
      </c>
      <c r="M23" s="18" t="s">
        <v>117</v>
      </c>
      <c r="N23" s="18" t="s">
        <v>118</v>
      </c>
      <c r="O23" s="18" t="s">
        <v>3</v>
      </c>
      <c r="P23" s="18" t="s">
        <v>3</v>
      </c>
      <c r="Q23" s="18" t="s">
        <v>69</v>
      </c>
      <c r="R23" s="19"/>
      <c r="S23" s="20"/>
      <c r="T23" s="20" t="s">
        <v>45</v>
      </c>
      <c r="U23" s="20"/>
      <c r="V23" s="109" t="s">
        <v>119</v>
      </c>
      <c r="W23" s="20"/>
      <c r="X23" s="20" t="s">
        <v>120</v>
      </c>
    </row>
    <row r="24" spans="2:24" ht="33" hidden="1">
      <c r="B24" s="18" t="s">
        <v>121</v>
      </c>
      <c r="C24" s="18" t="s">
        <v>122</v>
      </c>
      <c r="D24" s="77" t="s">
        <v>123</v>
      </c>
      <c r="E24" s="18" t="s">
        <v>38</v>
      </c>
      <c r="F24" s="14">
        <v>1</v>
      </c>
      <c r="G24" s="14" t="s">
        <v>69</v>
      </c>
      <c r="H24" s="26" t="s">
        <v>124</v>
      </c>
      <c r="I24" s="26" t="s">
        <v>40</v>
      </c>
      <c r="J24" s="202"/>
      <c r="K24" s="18" t="s">
        <v>125</v>
      </c>
      <c r="L24" s="47" t="s">
        <v>4</v>
      </c>
      <c r="M24" s="115" t="s">
        <v>126</v>
      </c>
      <c r="N24" s="18" t="s">
        <v>127</v>
      </c>
      <c r="O24" s="18" t="s">
        <v>3</v>
      </c>
      <c r="P24" s="18" t="s">
        <v>3</v>
      </c>
      <c r="Q24" s="18" t="s">
        <v>99</v>
      </c>
      <c r="R24" s="19"/>
      <c r="S24" s="20">
        <v>45930</v>
      </c>
      <c r="T24" s="20" t="s">
        <v>45</v>
      </c>
      <c r="U24" s="20" t="s">
        <v>106</v>
      </c>
      <c r="V24" s="20"/>
      <c r="W24" s="20"/>
      <c r="X24" s="20"/>
    </row>
    <row r="25" spans="2:24" ht="29.1" hidden="1">
      <c r="B25" s="18" t="s">
        <v>121</v>
      </c>
      <c r="C25" s="18" t="s">
        <v>122</v>
      </c>
      <c r="D25" s="116" t="s">
        <v>123</v>
      </c>
      <c r="E25" s="18" t="s">
        <v>38</v>
      </c>
      <c r="F25" s="14">
        <v>2</v>
      </c>
      <c r="G25" s="14" t="s">
        <v>69</v>
      </c>
      <c r="H25" s="26" t="s">
        <v>128</v>
      </c>
      <c r="I25" s="26" t="s">
        <v>40</v>
      </c>
      <c r="J25" s="202"/>
      <c r="K25" s="18" t="s">
        <v>129</v>
      </c>
      <c r="L25" s="47" t="s">
        <v>8</v>
      </c>
      <c r="M25" s="18" t="s">
        <v>130</v>
      </c>
      <c r="N25" s="18" t="s">
        <v>131</v>
      </c>
      <c r="O25" s="18" t="s">
        <v>7</v>
      </c>
      <c r="P25" s="18" t="s">
        <v>7</v>
      </c>
      <c r="Q25" s="18" t="s">
        <v>99</v>
      </c>
      <c r="R25" s="19">
        <v>45777</v>
      </c>
      <c r="S25" s="20">
        <v>45848</v>
      </c>
      <c r="T25" s="20" t="s">
        <v>45</v>
      </c>
      <c r="U25" s="20" t="s">
        <v>132</v>
      </c>
      <c r="V25" s="20"/>
      <c r="W25" s="20"/>
      <c r="X25" s="20"/>
    </row>
    <row r="26" spans="2:24" ht="29.1" hidden="1">
      <c r="B26" s="18" t="s">
        <v>121</v>
      </c>
      <c r="C26" s="18" t="s">
        <v>122</v>
      </c>
      <c r="D26" s="77" t="s">
        <v>123</v>
      </c>
      <c r="E26" s="18" t="s">
        <v>38</v>
      </c>
      <c r="F26" s="14">
        <v>3</v>
      </c>
      <c r="G26" s="14" t="s">
        <v>69</v>
      </c>
      <c r="H26" s="26" t="s">
        <v>128</v>
      </c>
      <c r="I26" s="26" t="s">
        <v>40</v>
      </c>
      <c r="J26" s="202"/>
      <c r="K26" s="18" t="s">
        <v>133</v>
      </c>
      <c r="L26" s="47" t="s">
        <v>6</v>
      </c>
      <c r="M26" s="18" t="s">
        <v>130</v>
      </c>
      <c r="N26" s="18" t="s">
        <v>134</v>
      </c>
      <c r="O26" s="18" t="s">
        <v>5</v>
      </c>
      <c r="P26" s="18" t="s">
        <v>5</v>
      </c>
      <c r="Q26" s="18" t="s">
        <v>99</v>
      </c>
      <c r="R26" s="19">
        <v>45777</v>
      </c>
      <c r="S26" s="20">
        <v>45853</v>
      </c>
      <c r="T26" s="20" t="s">
        <v>45</v>
      </c>
      <c r="U26" s="20" t="s">
        <v>132</v>
      </c>
      <c r="V26" s="20"/>
      <c r="W26" s="20"/>
      <c r="X26" s="20"/>
    </row>
    <row r="27" spans="2:24" ht="15.95" hidden="1">
      <c r="B27" s="18" t="s">
        <v>121</v>
      </c>
      <c r="C27" s="18" t="s">
        <v>122</v>
      </c>
      <c r="D27" s="77" t="s">
        <v>123</v>
      </c>
      <c r="E27" s="18" t="s">
        <v>38</v>
      </c>
      <c r="F27" s="14">
        <v>4</v>
      </c>
      <c r="G27" s="14" t="s">
        <v>69</v>
      </c>
      <c r="H27" s="26" t="s">
        <v>128</v>
      </c>
      <c r="I27" s="26" t="s">
        <v>40</v>
      </c>
      <c r="J27" s="202"/>
      <c r="K27" s="117" t="s">
        <v>135</v>
      </c>
      <c r="L27" s="47" t="s">
        <v>4</v>
      </c>
      <c r="M27" s="18" t="s">
        <v>130</v>
      </c>
      <c r="N27" s="18" t="s">
        <v>136</v>
      </c>
      <c r="O27" s="18" t="s">
        <v>3</v>
      </c>
      <c r="P27" s="18" t="s">
        <v>3</v>
      </c>
      <c r="Q27" s="18" t="s">
        <v>99</v>
      </c>
      <c r="R27" s="19">
        <v>45762</v>
      </c>
      <c r="S27" s="20">
        <v>45792</v>
      </c>
      <c r="T27" s="20" t="s">
        <v>45</v>
      </c>
      <c r="U27" s="20" t="s">
        <v>137</v>
      </c>
      <c r="V27" s="20"/>
      <c r="W27" s="20"/>
      <c r="X27" s="20"/>
    </row>
    <row r="28" spans="2:24" ht="29.1" hidden="1">
      <c r="B28" s="18" t="s">
        <v>121</v>
      </c>
      <c r="C28" s="18" t="s">
        <v>122</v>
      </c>
      <c r="D28" s="77" t="s">
        <v>123</v>
      </c>
      <c r="E28" s="18" t="s">
        <v>38</v>
      </c>
      <c r="F28" s="14">
        <v>5</v>
      </c>
      <c r="G28" s="14" t="s">
        <v>69</v>
      </c>
      <c r="H28" s="26" t="s">
        <v>138</v>
      </c>
      <c r="I28" s="26" t="s">
        <v>40</v>
      </c>
      <c r="J28" s="202"/>
      <c r="K28" s="18" t="s">
        <v>139</v>
      </c>
      <c r="L28" s="47" t="s">
        <v>4</v>
      </c>
      <c r="M28" s="18" t="s">
        <v>140</v>
      </c>
      <c r="N28" s="18" t="s">
        <v>141</v>
      </c>
      <c r="O28" s="18" t="s">
        <v>3</v>
      </c>
      <c r="P28" s="18" t="s">
        <v>3</v>
      </c>
      <c r="Q28" s="18" t="s">
        <v>99</v>
      </c>
      <c r="R28" s="19">
        <v>45839</v>
      </c>
      <c r="S28" s="20">
        <v>45901</v>
      </c>
      <c r="T28" s="20" t="s">
        <v>45</v>
      </c>
      <c r="U28" s="20" t="s">
        <v>137</v>
      </c>
      <c r="V28" s="20"/>
      <c r="W28" s="20"/>
      <c r="X28" s="20"/>
    </row>
    <row r="29" spans="2:24" ht="32.1" hidden="1">
      <c r="B29" s="18" t="s">
        <v>121</v>
      </c>
      <c r="C29" s="18" t="s">
        <v>122</v>
      </c>
      <c r="D29" s="77" t="s">
        <v>123</v>
      </c>
      <c r="E29" s="18" t="s">
        <v>38</v>
      </c>
      <c r="F29" s="14">
        <v>6</v>
      </c>
      <c r="G29" s="14" t="s">
        <v>53</v>
      </c>
      <c r="H29" s="26" t="s">
        <v>142</v>
      </c>
      <c r="I29" s="26" t="s">
        <v>40</v>
      </c>
      <c r="J29" s="202"/>
      <c r="K29" s="18" t="s">
        <v>143</v>
      </c>
      <c r="L29" s="47" t="s">
        <v>4</v>
      </c>
      <c r="M29" s="18" t="s">
        <v>144</v>
      </c>
      <c r="N29" s="18" t="s">
        <v>145</v>
      </c>
      <c r="O29" s="18" t="s">
        <v>3</v>
      </c>
      <c r="P29" s="18" t="s">
        <v>3</v>
      </c>
      <c r="Q29" s="18" t="s">
        <v>146</v>
      </c>
      <c r="R29" s="19"/>
      <c r="S29" s="20">
        <v>45853</v>
      </c>
      <c r="T29" s="20" t="s">
        <v>45</v>
      </c>
      <c r="U29" s="20"/>
      <c r="V29" s="20"/>
      <c r="W29" s="20"/>
      <c r="X29" s="20"/>
    </row>
    <row r="30" spans="2:24" ht="43.5" hidden="1">
      <c r="B30" s="18" t="s">
        <v>121</v>
      </c>
      <c r="C30" s="18" t="s">
        <v>122</v>
      </c>
      <c r="D30" s="77" t="s">
        <v>123</v>
      </c>
      <c r="E30" s="18" t="s">
        <v>38</v>
      </c>
      <c r="F30" s="14">
        <v>7</v>
      </c>
      <c r="G30" s="14" t="s">
        <v>53</v>
      </c>
      <c r="H30" s="26" t="s">
        <v>54</v>
      </c>
      <c r="I30" s="26" t="s">
        <v>40</v>
      </c>
      <c r="J30" s="202"/>
      <c r="K30" s="18" t="s">
        <v>147</v>
      </c>
      <c r="L30" s="47" t="s">
        <v>4</v>
      </c>
      <c r="M30" s="76" t="s">
        <v>148</v>
      </c>
      <c r="N30" s="18" t="s">
        <v>149</v>
      </c>
      <c r="O30" s="18" t="s">
        <v>3</v>
      </c>
      <c r="P30" s="18" t="s">
        <v>3</v>
      </c>
      <c r="Q30" s="18" t="s">
        <v>146</v>
      </c>
      <c r="R30" s="19"/>
      <c r="S30" s="20">
        <v>45845</v>
      </c>
      <c r="T30" s="20" t="s">
        <v>45</v>
      </c>
      <c r="U30" s="20" t="s">
        <v>137</v>
      </c>
      <c r="V30" s="20"/>
      <c r="W30" s="20"/>
      <c r="X30" s="20"/>
    </row>
    <row r="31" spans="2:24" ht="43.5" hidden="1">
      <c r="B31" s="18" t="s">
        <v>150</v>
      </c>
      <c r="C31" s="18" t="s">
        <v>151</v>
      </c>
      <c r="D31" s="76" t="s">
        <v>152</v>
      </c>
      <c r="E31" s="18" t="s">
        <v>38</v>
      </c>
      <c r="F31" s="14">
        <v>1</v>
      </c>
      <c r="G31" s="14" t="s">
        <v>53</v>
      </c>
      <c r="H31" s="26" t="s">
        <v>54</v>
      </c>
      <c r="I31" s="26" t="s">
        <v>153</v>
      </c>
      <c r="J31" s="202"/>
      <c r="K31" s="18" t="s">
        <v>154</v>
      </c>
      <c r="L31" s="47" t="s">
        <v>4</v>
      </c>
      <c r="M31" s="18" t="s">
        <v>155</v>
      </c>
      <c r="N31" s="18" t="s">
        <v>156</v>
      </c>
      <c r="O31" s="18" t="s">
        <v>5</v>
      </c>
      <c r="P31" s="18" t="s">
        <v>5</v>
      </c>
      <c r="Q31" s="18" t="s">
        <v>112</v>
      </c>
      <c r="R31" s="19">
        <v>45777</v>
      </c>
      <c r="S31" s="20">
        <v>45777</v>
      </c>
      <c r="T31" s="20" t="s">
        <v>45</v>
      </c>
      <c r="U31" s="20" t="s">
        <v>157</v>
      </c>
      <c r="V31" s="20" t="s">
        <v>158</v>
      </c>
      <c r="W31" s="20" t="s">
        <v>159</v>
      </c>
      <c r="X31" s="20" t="s">
        <v>160</v>
      </c>
    </row>
    <row r="32" spans="2:24" ht="32.1" hidden="1">
      <c r="B32" s="18" t="s">
        <v>150</v>
      </c>
      <c r="C32" s="18" t="s">
        <v>151</v>
      </c>
      <c r="D32" s="76" t="s">
        <v>152</v>
      </c>
      <c r="E32" s="18" t="s">
        <v>38</v>
      </c>
      <c r="F32" s="14">
        <v>2</v>
      </c>
      <c r="G32" s="14" t="s">
        <v>53</v>
      </c>
      <c r="H32" s="26" t="s">
        <v>54</v>
      </c>
      <c r="I32" s="26" t="s">
        <v>153</v>
      </c>
      <c r="J32" s="202"/>
      <c r="K32" s="18" t="s">
        <v>161</v>
      </c>
      <c r="L32" s="47" t="s">
        <v>4</v>
      </c>
      <c r="M32" s="18" t="s">
        <v>162</v>
      </c>
      <c r="N32" s="18" t="s">
        <v>163</v>
      </c>
      <c r="O32" s="18" t="s">
        <v>5</v>
      </c>
      <c r="P32" s="18" t="s">
        <v>5</v>
      </c>
      <c r="Q32" s="18" t="s">
        <v>164</v>
      </c>
      <c r="R32" s="19">
        <v>45802</v>
      </c>
      <c r="S32" s="20">
        <v>45838</v>
      </c>
      <c r="T32" s="20" t="s">
        <v>45</v>
      </c>
      <c r="U32" s="20" t="s">
        <v>106</v>
      </c>
      <c r="V32" s="20" t="s">
        <v>165</v>
      </c>
      <c r="W32" s="20" t="s">
        <v>159</v>
      </c>
      <c r="X32" s="20" t="s">
        <v>160</v>
      </c>
    </row>
    <row r="33" spans="2:24" ht="29.1" hidden="1">
      <c r="B33" s="18" t="s">
        <v>150</v>
      </c>
      <c r="C33" s="18" t="s">
        <v>151</v>
      </c>
      <c r="D33" s="76" t="s">
        <v>152</v>
      </c>
      <c r="E33" s="18" t="s">
        <v>38</v>
      </c>
      <c r="F33" s="14">
        <v>3</v>
      </c>
      <c r="G33" s="14" t="s">
        <v>39</v>
      </c>
      <c r="H33" s="26" t="s">
        <v>166</v>
      </c>
      <c r="I33" s="26" t="s">
        <v>167</v>
      </c>
      <c r="J33" s="202"/>
      <c r="K33" s="18" t="s">
        <v>168</v>
      </c>
      <c r="L33" s="47" t="s">
        <v>6</v>
      </c>
      <c r="M33" s="18" t="s">
        <v>169</v>
      </c>
      <c r="N33" s="18" t="s">
        <v>170</v>
      </c>
      <c r="O33" s="18" t="s">
        <v>5</v>
      </c>
      <c r="P33" s="18" t="s">
        <v>5</v>
      </c>
      <c r="Q33" s="18" t="s">
        <v>99</v>
      </c>
      <c r="R33" s="19">
        <v>45809</v>
      </c>
      <c r="S33" s="20">
        <v>45838</v>
      </c>
      <c r="T33" s="20" t="s">
        <v>45</v>
      </c>
      <c r="U33" s="20" t="s">
        <v>159</v>
      </c>
      <c r="V33" s="20" t="s">
        <v>171</v>
      </c>
      <c r="W33" s="20" t="s">
        <v>159</v>
      </c>
      <c r="X33" s="20" t="s">
        <v>172</v>
      </c>
    </row>
    <row r="34" spans="2:24" ht="29.1" hidden="1">
      <c r="B34" s="18" t="s">
        <v>150</v>
      </c>
      <c r="C34" s="18" t="s">
        <v>151</v>
      </c>
      <c r="D34" s="76" t="s">
        <v>152</v>
      </c>
      <c r="E34" s="18" t="s">
        <v>38</v>
      </c>
      <c r="F34" s="14">
        <v>4</v>
      </c>
      <c r="G34" s="14" t="s">
        <v>69</v>
      </c>
      <c r="H34" s="26" t="s">
        <v>128</v>
      </c>
      <c r="I34" s="26" t="s">
        <v>40</v>
      </c>
      <c r="J34" s="202"/>
      <c r="K34" s="18" t="s">
        <v>173</v>
      </c>
      <c r="L34" s="47" t="s">
        <v>6</v>
      </c>
      <c r="M34" s="18" t="s">
        <v>174</v>
      </c>
      <c r="N34" s="18" t="s">
        <v>175</v>
      </c>
      <c r="O34" s="18" t="s">
        <v>5</v>
      </c>
      <c r="P34" s="18" t="s">
        <v>5</v>
      </c>
      <c r="Q34" s="18" t="s">
        <v>164</v>
      </c>
      <c r="R34" s="19">
        <v>45777</v>
      </c>
      <c r="S34" s="20"/>
      <c r="T34" s="20" t="s">
        <v>45</v>
      </c>
      <c r="U34" s="20" t="s">
        <v>106</v>
      </c>
      <c r="V34" s="20" t="s">
        <v>176</v>
      </c>
      <c r="W34" s="20" t="s">
        <v>159</v>
      </c>
      <c r="X34" s="20" t="s">
        <v>160</v>
      </c>
    </row>
    <row r="35" spans="2:24" ht="32.1" hidden="1">
      <c r="B35" s="18" t="s">
        <v>150</v>
      </c>
      <c r="C35" s="18" t="s">
        <v>151</v>
      </c>
      <c r="D35" s="76" t="s">
        <v>152</v>
      </c>
      <c r="E35" s="18" t="s">
        <v>38</v>
      </c>
      <c r="F35" s="14">
        <v>5</v>
      </c>
      <c r="G35" s="14" t="s">
        <v>53</v>
      </c>
      <c r="H35" s="26" t="s">
        <v>54</v>
      </c>
      <c r="I35" s="26" t="s">
        <v>153</v>
      </c>
      <c r="J35" s="202"/>
      <c r="K35" s="18" t="s">
        <v>177</v>
      </c>
      <c r="L35" s="47" t="s">
        <v>6</v>
      </c>
      <c r="M35" s="18" t="s">
        <v>178</v>
      </c>
      <c r="N35" s="18" t="s">
        <v>179</v>
      </c>
      <c r="O35" s="18" t="s">
        <v>5</v>
      </c>
      <c r="P35" s="18" t="s">
        <v>5</v>
      </c>
      <c r="Q35" s="18" t="s">
        <v>164</v>
      </c>
      <c r="R35" s="19">
        <v>45855</v>
      </c>
      <c r="S35" s="20">
        <v>45855</v>
      </c>
      <c r="T35" s="20" t="s">
        <v>45</v>
      </c>
      <c r="U35" s="20" t="s">
        <v>159</v>
      </c>
      <c r="V35" s="20" t="s">
        <v>180</v>
      </c>
      <c r="W35" s="20" t="s">
        <v>159</v>
      </c>
      <c r="X35" s="20" t="s">
        <v>160</v>
      </c>
    </row>
    <row r="36" spans="2:24" ht="32.1" hidden="1">
      <c r="B36" s="18" t="s">
        <v>150</v>
      </c>
      <c r="C36" s="18" t="s">
        <v>151</v>
      </c>
      <c r="D36" s="76" t="s">
        <v>152</v>
      </c>
      <c r="E36" s="18" t="s">
        <v>38</v>
      </c>
      <c r="F36" s="14">
        <v>6</v>
      </c>
      <c r="G36" s="14" t="s">
        <v>53</v>
      </c>
      <c r="H36" s="26" t="s">
        <v>54</v>
      </c>
      <c r="I36" s="26" t="s">
        <v>153</v>
      </c>
      <c r="J36" s="202"/>
      <c r="K36" s="18" t="s">
        <v>181</v>
      </c>
      <c r="L36" s="47" t="s">
        <v>6</v>
      </c>
      <c r="M36" s="18" t="s">
        <v>182</v>
      </c>
      <c r="N36" s="18" t="s">
        <v>179</v>
      </c>
      <c r="O36" s="18" t="s">
        <v>5</v>
      </c>
      <c r="P36" s="18" t="s">
        <v>5</v>
      </c>
      <c r="Q36" s="18" t="s">
        <v>164</v>
      </c>
      <c r="R36" s="19">
        <v>45788</v>
      </c>
      <c r="S36" s="20">
        <v>45838</v>
      </c>
      <c r="T36" s="20" t="s">
        <v>45</v>
      </c>
      <c r="U36" s="20" t="s">
        <v>106</v>
      </c>
      <c r="V36" s="20" t="s">
        <v>183</v>
      </c>
      <c r="W36" s="20" t="s">
        <v>159</v>
      </c>
      <c r="X36" s="20" t="s">
        <v>160</v>
      </c>
    </row>
    <row r="37" spans="2:24" ht="43.5" hidden="1">
      <c r="B37" s="18" t="s">
        <v>184</v>
      </c>
      <c r="C37" s="18" t="s">
        <v>185</v>
      </c>
      <c r="D37" s="76" t="s">
        <v>152</v>
      </c>
      <c r="E37" s="18" t="s">
        <v>38</v>
      </c>
      <c r="F37" s="14">
        <v>1</v>
      </c>
      <c r="G37" s="14" t="s">
        <v>53</v>
      </c>
      <c r="H37" s="26" t="s">
        <v>54</v>
      </c>
      <c r="I37" s="26" t="s">
        <v>153</v>
      </c>
      <c r="J37" s="202"/>
      <c r="K37" s="18" t="s">
        <v>154</v>
      </c>
      <c r="L37" s="47" t="s">
        <v>4</v>
      </c>
      <c r="M37" s="18" t="s">
        <v>155</v>
      </c>
      <c r="N37" s="18" t="s">
        <v>156</v>
      </c>
      <c r="O37" s="18" t="s">
        <v>5</v>
      </c>
      <c r="P37" s="18" t="s">
        <v>5</v>
      </c>
      <c r="Q37" s="18" t="s">
        <v>112</v>
      </c>
      <c r="R37" s="19">
        <v>45777</v>
      </c>
      <c r="S37" s="20">
        <v>45777</v>
      </c>
      <c r="T37" s="20" t="s">
        <v>45</v>
      </c>
      <c r="U37" s="20" t="s">
        <v>157</v>
      </c>
      <c r="V37" s="20" t="s">
        <v>158</v>
      </c>
      <c r="W37" s="20" t="s">
        <v>159</v>
      </c>
      <c r="X37" s="20" t="s">
        <v>160</v>
      </c>
    </row>
    <row r="38" spans="2:24" ht="32.1" hidden="1">
      <c r="B38" s="18" t="s">
        <v>184</v>
      </c>
      <c r="C38" s="18" t="s">
        <v>185</v>
      </c>
      <c r="D38" s="76" t="s">
        <v>152</v>
      </c>
      <c r="E38" s="18" t="s">
        <v>38</v>
      </c>
      <c r="F38" s="14">
        <v>2</v>
      </c>
      <c r="G38" s="14" t="s">
        <v>53</v>
      </c>
      <c r="H38" s="26" t="s">
        <v>54</v>
      </c>
      <c r="I38" s="26" t="s">
        <v>153</v>
      </c>
      <c r="J38" s="202"/>
      <c r="K38" s="18" t="s">
        <v>161</v>
      </c>
      <c r="L38" s="47" t="s">
        <v>4</v>
      </c>
      <c r="M38" s="18" t="s">
        <v>162</v>
      </c>
      <c r="N38" s="18" t="s">
        <v>163</v>
      </c>
      <c r="O38" s="18" t="s">
        <v>5</v>
      </c>
      <c r="P38" s="18" t="s">
        <v>5</v>
      </c>
      <c r="Q38" s="18" t="s">
        <v>164</v>
      </c>
      <c r="R38" s="19">
        <v>45802</v>
      </c>
      <c r="S38" s="20">
        <v>45838</v>
      </c>
      <c r="T38" s="20" t="s">
        <v>45</v>
      </c>
      <c r="U38" s="20" t="s">
        <v>106</v>
      </c>
      <c r="V38" s="20" t="s">
        <v>165</v>
      </c>
      <c r="W38" s="20" t="s">
        <v>159</v>
      </c>
      <c r="X38" s="20" t="s">
        <v>160</v>
      </c>
    </row>
    <row r="39" spans="2:24" ht="29.1" hidden="1">
      <c r="B39" s="18" t="s">
        <v>184</v>
      </c>
      <c r="C39" s="18" t="s">
        <v>185</v>
      </c>
      <c r="D39" s="76" t="s">
        <v>152</v>
      </c>
      <c r="E39" s="18" t="s">
        <v>38</v>
      </c>
      <c r="F39" s="14">
        <v>3</v>
      </c>
      <c r="G39" s="14" t="s">
        <v>39</v>
      </c>
      <c r="H39" s="26" t="s">
        <v>166</v>
      </c>
      <c r="I39" s="26" t="s">
        <v>167</v>
      </c>
      <c r="J39" s="202"/>
      <c r="K39" s="18" t="s">
        <v>168</v>
      </c>
      <c r="L39" s="47" t="s">
        <v>6</v>
      </c>
      <c r="M39" s="18" t="s">
        <v>169</v>
      </c>
      <c r="N39" s="18" t="s">
        <v>170</v>
      </c>
      <c r="O39" s="18" t="s">
        <v>5</v>
      </c>
      <c r="P39" s="18" t="s">
        <v>5</v>
      </c>
      <c r="Q39" s="18" t="s">
        <v>99</v>
      </c>
      <c r="R39" s="19">
        <v>45809</v>
      </c>
      <c r="S39" s="20">
        <v>45838</v>
      </c>
      <c r="T39" s="20" t="s">
        <v>45</v>
      </c>
      <c r="U39" s="20" t="s">
        <v>159</v>
      </c>
      <c r="V39" s="20" t="s">
        <v>171</v>
      </c>
      <c r="W39" s="20" t="s">
        <v>159</v>
      </c>
      <c r="X39" s="20" t="s">
        <v>172</v>
      </c>
    </row>
    <row r="40" spans="2:24" ht="29.1" hidden="1">
      <c r="B40" s="18" t="s">
        <v>184</v>
      </c>
      <c r="C40" s="18" t="s">
        <v>185</v>
      </c>
      <c r="D40" s="76" t="s">
        <v>152</v>
      </c>
      <c r="E40" s="18" t="s">
        <v>38</v>
      </c>
      <c r="F40" s="14">
        <v>4</v>
      </c>
      <c r="G40" s="14" t="s">
        <v>69</v>
      </c>
      <c r="H40" s="26" t="s">
        <v>128</v>
      </c>
      <c r="I40" s="26" t="s">
        <v>40</v>
      </c>
      <c r="J40" s="202"/>
      <c r="K40" s="18" t="s">
        <v>173</v>
      </c>
      <c r="L40" s="47" t="s">
        <v>6</v>
      </c>
      <c r="M40" s="18" t="s">
        <v>174</v>
      </c>
      <c r="N40" s="18" t="s">
        <v>175</v>
      </c>
      <c r="O40" s="18" t="s">
        <v>5</v>
      </c>
      <c r="P40" s="18" t="s">
        <v>5</v>
      </c>
      <c r="Q40" s="18" t="s">
        <v>164</v>
      </c>
      <c r="R40" s="19">
        <v>45777</v>
      </c>
      <c r="S40" s="20"/>
      <c r="T40" s="20" t="s">
        <v>45</v>
      </c>
      <c r="U40" s="20" t="s">
        <v>106</v>
      </c>
      <c r="V40" s="20" t="s">
        <v>176</v>
      </c>
      <c r="W40" s="20" t="s">
        <v>159</v>
      </c>
      <c r="X40" s="20" t="s">
        <v>160</v>
      </c>
    </row>
    <row r="41" spans="2:24" ht="32.1" hidden="1">
      <c r="B41" s="18" t="s">
        <v>184</v>
      </c>
      <c r="C41" s="18" t="s">
        <v>185</v>
      </c>
      <c r="D41" s="76" t="s">
        <v>152</v>
      </c>
      <c r="E41" s="18" t="s">
        <v>38</v>
      </c>
      <c r="F41" s="14">
        <v>5</v>
      </c>
      <c r="G41" s="14" t="s">
        <v>53</v>
      </c>
      <c r="H41" s="26" t="s">
        <v>54</v>
      </c>
      <c r="I41" s="26" t="s">
        <v>153</v>
      </c>
      <c r="J41" s="202"/>
      <c r="K41" s="18" t="s">
        <v>177</v>
      </c>
      <c r="L41" s="47" t="s">
        <v>6</v>
      </c>
      <c r="M41" s="18" t="s">
        <v>186</v>
      </c>
      <c r="N41" s="18" t="s">
        <v>179</v>
      </c>
      <c r="O41" s="18" t="s">
        <v>5</v>
      </c>
      <c r="P41" s="18" t="s">
        <v>5</v>
      </c>
      <c r="Q41" s="18" t="s">
        <v>164</v>
      </c>
      <c r="R41" s="19">
        <v>45855</v>
      </c>
      <c r="S41" s="20">
        <v>45855</v>
      </c>
      <c r="T41" s="20" t="s">
        <v>45</v>
      </c>
      <c r="U41" s="20" t="s">
        <v>159</v>
      </c>
      <c r="V41" s="20" t="s">
        <v>180</v>
      </c>
      <c r="W41" s="20" t="s">
        <v>159</v>
      </c>
      <c r="X41" s="20" t="s">
        <v>160</v>
      </c>
    </row>
    <row r="42" spans="2:24" ht="32.1" hidden="1">
      <c r="B42" s="18" t="s">
        <v>184</v>
      </c>
      <c r="C42" s="18" t="s">
        <v>185</v>
      </c>
      <c r="D42" s="76" t="s">
        <v>152</v>
      </c>
      <c r="E42" s="18" t="s">
        <v>38</v>
      </c>
      <c r="F42" s="14">
        <v>6</v>
      </c>
      <c r="G42" s="14" t="s">
        <v>53</v>
      </c>
      <c r="H42" s="26" t="s">
        <v>54</v>
      </c>
      <c r="I42" s="26" t="s">
        <v>153</v>
      </c>
      <c r="J42" s="202"/>
      <c r="K42" s="18" t="s">
        <v>181</v>
      </c>
      <c r="L42" s="47" t="s">
        <v>6</v>
      </c>
      <c r="M42" s="18" t="s">
        <v>187</v>
      </c>
      <c r="N42" s="18" t="s">
        <v>179</v>
      </c>
      <c r="O42" s="18" t="s">
        <v>5</v>
      </c>
      <c r="P42" s="18" t="s">
        <v>5</v>
      </c>
      <c r="Q42" s="18" t="s">
        <v>164</v>
      </c>
      <c r="R42" s="19">
        <v>45788</v>
      </c>
      <c r="S42" s="20">
        <v>45838</v>
      </c>
      <c r="T42" s="20" t="s">
        <v>45</v>
      </c>
      <c r="U42" s="20" t="s">
        <v>106</v>
      </c>
      <c r="V42" s="20" t="s">
        <v>183</v>
      </c>
      <c r="W42" s="20" t="s">
        <v>159</v>
      </c>
      <c r="X42" s="20" t="s">
        <v>160</v>
      </c>
    </row>
    <row r="43" spans="2:24" ht="32.1" hidden="1">
      <c r="B43" s="18" t="s">
        <v>188</v>
      </c>
      <c r="C43" s="18" t="s">
        <v>189</v>
      </c>
      <c r="D43" s="18" t="s">
        <v>190</v>
      </c>
      <c r="E43" s="18" t="s">
        <v>191</v>
      </c>
      <c r="F43" s="96">
        <v>1</v>
      </c>
      <c r="G43" s="14" t="s">
        <v>53</v>
      </c>
      <c r="H43" s="26" t="s">
        <v>54</v>
      </c>
      <c r="I43" s="26" t="s">
        <v>153</v>
      </c>
      <c r="J43" s="202"/>
      <c r="K43" s="16" t="s">
        <v>192</v>
      </c>
      <c r="L43" s="18" t="s">
        <v>8</v>
      </c>
      <c r="M43" s="16" t="s">
        <v>193</v>
      </c>
      <c r="N43" s="16" t="s">
        <v>194</v>
      </c>
      <c r="O43" s="18" t="s">
        <v>3</v>
      </c>
      <c r="P43" s="18" t="s">
        <v>3</v>
      </c>
      <c r="Q43" s="18" t="s">
        <v>54</v>
      </c>
      <c r="R43" s="19"/>
      <c r="S43" s="20"/>
      <c r="T43" s="20" t="s">
        <v>45</v>
      </c>
      <c r="U43" s="20"/>
      <c r="V43" s="20"/>
      <c r="W43" s="20"/>
      <c r="X43" s="20"/>
    </row>
    <row r="44" spans="2:24" ht="45.6" hidden="1" customHeight="1">
      <c r="B44" s="18" t="s">
        <v>188</v>
      </c>
      <c r="C44" s="18" t="s">
        <v>189</v>
      </c>
      <c r="D44" s="18" t="s">
        <v>190</v>
      </c>
      <c r="E44" s="18" t="s">
        <v>191</v>
      </c>
      <c r="F44" s="96">
        <v>2</v>
      </c>
      <c r="G44" s="14" t="s">
        <v>39</v>
      </c>
      <c r="H44" s="26" t="s">
        <v>195</v>
      </c>
      <c r="I44" s="26" t="s">
        <v>40</v>
      </c>
      <c r="J44" s="203"/>
      <c r="K44" s="16" t="s">
        <v>196</v>
      </c>
      <c r="L44" s="47" t="s">
        <v>6</v>
      </c>
      <c r="M44" s="16" t="s">
        <v>197</v>
      </c>
      <c r="N44" s="16" t="s">
        <v>198</v>
      </c>
      <c r="O44" s="96" t="s">
        <v>3</v>
      </c>
      <c r="P44" s="96" t="s">
        <v>3</v>
      </c>
      <c r="Q44" s="18" t="s">
        <v>59</v>
      </c>
      <c r="R44" s="19"/>
      <c r="S44" s="20">
        <v>46301</v>
      </c>
      <c r="T44" s="20" t="s">
        <v>45</v>
      </c>
      <c r="U44" s="20" t="s">
        <v>137</v>
      </c>
      <c r="V44" s="20"/>
      <c r="W44" s="20"/>
      <c r="X44" s="20"/>
    </row>
    <row r="45" spans="2:24" ht="43.5" hidden="1">
      <c r="B45" s="18" t="s">
        <v>188</v>
      </c>
      <c r="C45" s="18" t="s">
        <v>189</v>
      </c>
      <c r="D45" s="18" t="s">
        <v>190</v>
      </c>
      <c r="E45" s="18" t="s">
        <v>191</v>
      </c>
      <c r="F45" s="96">
        <v>3</v>
      </c>
      <c r="G45" s="14" t="s">
        <v>39</v>
      </c>
      <c r="H45" s="26" t="s">
        <v>0</v>
      </c>
      <c r="I45" s="26" t="s">
        <v>40</v>
      </c>
      <c r="J45" s="203"/>
      <c r="K45" s="16" t="s">
        <v>199</v>
      </c>
      <c r="L45" s="47" t="s">
        <v>4</v>
      </c>
      <c r="M45" s="16" t="s">
        <v>200</v>
      </c>
      <c r="N45" s="16" t="s">
        <v>201</v>
      </c>
      <c r="O45" s="96" t="s">
        <v>3</v>
      </c>
      <c r="P45" s="96" t="s">
        <v>3</v>
      </c>
      <c r="Q45" s="18" t="s">
        <v>59</v>
      </c>
      <c r="R45" s="19"/>
      <c r="S45" s="20">
        <v>46537</v>
      </c>
      <c r="T45" s="20" t="s">
        <v>65</v>
      </c>
      <c r="U45" s="20" t="s">
        <v>202</v>
      </c>
      <c r="V45" s="20"/>
      <c r="W45" s="20"/>
      <c r="X45" s="20" t="s">
        <v>160</v>
      </c>
    </row>
    <row r="46" spans="2:24" ht="29.1" hidden="1">
      <c r="B46" s="18" t="s">
        <v>188</v>
      </c>
      <c r="C46" s="18" t="s">
        <v>189</v>
      </c>
      <c r="D46" s="18" t="s">
        <v>190</v>
      </c>
      <c r="E46" s="18" t="s">
        <v>191</v>
      </c>
      <c r="F46" s="96">
        <v>4</v>
      </c>
      <c r="G46" s="14" t="s">
        <v>53</v>
      </c>
      <c r="H46" s="26" t="s">
        <v>54</v>
      </c>
      <c r="I46" s="26" t="s">
        <v>203</v>
      </c>
      <c r="J46" s="203"/>
      <c r="K46" s="16" t="s">
        <v>204</v>
      </c>
      <c r="L46" s="47" t="s">
        <v>6</v>
      </c>
      <c r="M46" s="18" t="s">
        <v>205</v>
      </c>
      <c r="N46" s="18" t="s">
        <v>206</v>
      </c>
      <c r="O46" s="96" t="s">
        <v>5</v>
      </c>
      <c r="P46" s="96" t="s">
        <v>5</v>
      </c>
      <c r="Q46" s="18" t="s">
        <v>54</v>
      </c>
      <c r="R46" s="19"/>
      <c r="S46" s="20"/>
      <c r="T46" s="20" t="s">
        <v>45</v>
      </c>
      <c r="U46" s="20"/>
      <c r="V46" s="20"/>
      <c r="W46" s="20"/>
      <c r="X46" s="20"/>
    </row>
    <row r="47" spans="2:24" ht="48" hidden="1">
      <c r="B47" s="18" t="s">
        <v>188</v>
      </c>
      <c r="C47" s="18" t="s">
        <v>189</v>
      </c>
      <c r="D47" s="18" t="s">
        <v>190</v>
      </c>
      <c r="E47" s="18" t="s">
        <v>191</v>
      </c>
      <c r="F47" s="96">
        <v>5</v>
      </c>
      <c r="G47" s="14" t="s">
        <v>39</v>
      </c>
      <c r="H47" s="26" t="s">
        <v>195</v>
      </c>
      <c r="I47" s="26" t="s">
        <v>207</v>
      </c>
      <c r="J47" s="203"/>
      <c r="K47" s="16" t="s">
        <v>208</v>
      </c>
      <c r="L47" s="47" t="s">
        <v>6</v>
      </c>
      <c r="M47" s="18" t="s">
        <v>209</v>
      </c>
      <c r="N47" s="18" t="s">
        <v>210</v>
      </c>
      <c r="O47" s="96" t="s">
        <v>5</v>
      </c>
      <c r="P47" s="96" t="s">
        <v>5</v>
      </c>
      <c r="Q47" s="18" t="s">
        <v>211</v>
      </c>
      <c r="R47" s="19">
        <v>46009</v>
      </c>
      <c r="S47" s="20">
        <v>46051</v>
      </c>
      <c r="T47" s="20" t="s">
        <v>45</v>
      </c>
      <c r="U47" s="20" t="s">
        <v>212</v>
      </c>
      <c r="V47" s="20"/>
      <c r="W47" s="20"/>
      <c r="X47" s="20"/>
    </row>
    <row r="48" spans="2:24" ht="32.1" hidden="1">
      <c r="B48" s="18" t="s">
        <v>188</v>
      </c>
      <c r="C48" s="18" t="s">
        <v>189</v>
      </c>
      <c r="D48" s="18" t="s">
        <v>190</v>
      </c>
      <c r="E48" s="18" t="s">
        <v>191</v>
      </c>
      <c r="F48" s="96">
        <v>6</v>
      </c>
      <c r="G48" s="14" t="s">
        <v>39</v>
      </c>
      <c r="H48" s="26" t="s">
        <v>195</v>
      </c>
      <c r="I48" s="26" t="s">
        <v>207</v>
      </c>
      <c r="J48" s="203"/>
      <c r="K48" s="16" t="s">
        <v>213</v>
      </c>
      <c r="L48" s="47" t="s">
        <v>6</v>
      </c>
      <c r="M48" s="18" t="s">
        <v>214</v>
      </c>
      <c r="N48" s="18" t="s">
        <v>215</v>
      </c>
      <c r="O48" s="96" t="s">
        <v>5</v>
      </c>
      <c r="P48" s="96" t="s">
        <v>5</v>
      </c>
      <c r="Q48" s="18" t="s">
        <v>216</v>
      </c>
      <c r="R48" s="19">
        <v>45988</v>
      </c>
      <c r="S48" s="20">
        <v>46053</v>
      </c>
      <c r="T48" s="20" t="s">
        <v>45</v>
      </c>
      <c r="U48" s="20" t="s">
        <v>217</v>
      </c>
      <c r="V48" s="20"/>
      <c r="W48" s="20"/>
      <c r="X48" s="20"/>
    </row>
    <row r="49" spans="2:24" ht="32.1" hidden="1">
      <c r="B49" s="18" t="s">
        <v>188</v>
      </c>
      <c r="C49" s="18" t="s">
        <v>189</v>
      </c>
      <c r="D49" s="18" t="s">
        <v>190</v>
      </c>
      <c r="E49" s="18" t="s">
        <v>191</v>
      </c>
      <c r="F49" s="96">
        <v>7</v>
      </c>
      <c r="G49" s="14" t="s">
        <v>39</v>
      </c>
      <c r="H49" s="26" t="s">
        <v>195</v>
      </c>
      <c r="I49" s="26" t="s">
        <v>2</v>
      </c>
      <c r="J49" s="203"/>
      <c r="K49" s="16" t="s">
        <v>218</v>
      </c>
      <c r="L49" s="47" t="s">
        <v>6</v>
      </c>
      <c r="M49" s="18"/>
      <c r="N49" s="18" t="s">
        <v>219</v>
      </c>
      <c r="O49" s="96" t="s">
        <v>5</v>
      </c>
      <c r="P49" s="96" t="s">
        <v>5</v>
      </c>
      <c r="Q49" s="18" t="s">
        <v>59</v>
      </c>
      <c r="R49" s="19">
        <v>45988</v>
      </c>
      <c r="S49" s="20">
        <v>46051</v>
      </c>
      <c r="T49" s="20" t="s">
        <v>45</v>
      </c>
      <c r="U49" s="20" t="s">
        <v>217</v>
      </c>
      <c r="V49" s="20"/>
      <c r="W49" s="20"/>
      <c r="X49" s="20"/>
    </row>
    <row r="50" spans="2:24" ht="29.1" hidden="1">
      <c r="B50" s="18" t="s">
        <v>188</v>
      </c>
      <c r="C50" s="18" t="s">
        <v>189</v>
      </c>
      <c r="D50" s="18" t="s">
        <v>190</v>
      </c>
      <c r="E50" s="18" t="s">
        <v>191</v>
      </c>
      <c r="F50" s="96">
        <v>8</v>
      </c>
      <c r="G50" s="14" t="s">
        <v>39</v>
      </c>
      <c r="H50" s="26" t="s">
        <v>195</v>
      </c>
      <c r="I50" s="26" t="s">
        <v>86</v>
      </c>
      <c r="J50" s="203"/>
      <c r="K50" s="197" t="s">
        <v>220</v>
      </c>
      <c r="L50" s="47" t="s">
        <v>6</v>
      </c>
      <c r="M50" s="18" t="s">
        <v>221</v>
      </c>
      <c r="N50" s="18" t="s">
        <v>222</v>
      </c>
      <c r="O50" s="96" t="s">
        <v>5</v>
      </c>
      <c r="P50" s="96" t="s">
        <v>5</v>
      </c>
      <c r="Q50" s="18" t="s">
        <v>223</v>
      </c>
      <c r="R50" s="19"/>
      <c r="S50" s="20"/>
      <c r="T50" s="20" t="s">
        <v>45</v>
      </c>
      <c r="U50" s="20" t="s">
        <v>224</v>
      </c>
      <c r="V50" s="20"/>
      <c r="W50" s="20"/>
      <c r="X50" s="20"/>
    </row>
    <row r="51" spans="2:24" ht="63.95" hidden="1">
      <c r="B51" s="18" t="s">
        <v>188</v>
      </c>
      <c r="C51" s="18" t="s">
        <v>189</v>
      </c>
      <c r="D51" s="18" t="s">
        <v>190</v>
      </c>
      <c r="E51" s="18" t="s">
        <v>191</v>
      </c>
      <c r="F51" s="96">
        <v>9</v>
      </c>
      <c r="G51" s="14" t="s">
        <v>39</v>
      </c>
      <c r="H51" s="26" t="s">
        <v>195</v>
      </c>
      <c r="I51" s="26" t="s">
        <v>86</v>
      </c>
      <c r="J51" s="203"/>
      <c r="K51" s="66" t="s">
        <v>225</v>
      </c>
      <c r="L51" s="47" t="s">
        <v>4</v>
      </c>
      <c r="M51" s="16" t="s">
        <v>226</v>
      </c>
      <c r="N51" s="18" t="s">
        <v>227</v>
      </c>
      <c r="O51" s="96" t="s">
        <v>3</v>
      </c>
      <c r="P51" s="96" t="s">
        <v>3</v>
      </c>
      <c r="Q51" s="18" t="s">
        <v>59</v>
      </c>
      <c r="R51" s="19"/>
      <c r="S51" s="20">
        <v>46264</v>
      </c>
      <c r="T51" s="20" t="s">
        <v>65</v>
      </c>
      <c r="U51" s="20" t="s">
        <v>228</v>
      </c>
      <c r="V51" s="20"/>
      <c r="W51" s="20"/>
      <c r="X51" s="20"/>
    </row>
    <row r="52" spans="2:24" ht="80.099999999999994" hidden="1">
      <c r="B52" s="18" t="s">
        <v>188</v>
      </c>
      <c r="C52" s="18" t="s">
        <v>189</v>
      </c>
      <c r="D52" s="18" t="s">
        <v>190</v>
      </c>
      <c r="E52" s="18" t="s">
        <v>191</v>
      </c>
      <c r="F52" s="96">
        <v>10</v>
      </c>
      <c r="G52" s="14" t="s">
        <v>39</v>
      </c>
      <c r="H52" s="26" t="s">
        <v>195</v>
      </c>
      <c r="I52" s="26" t="s">
        <v>86</v>
      </c>
      <c r="J52" s="203"/>
      <c r="K52" s="16" t="s">
        <v>229</v>
      </c>
      <c r="L52" s="47" t="s">
        <v>6</v>
      </c>
      <c r="M52" s="16" t="s">
        <v>230</v>
      </c>
      <c r="N52" s="18" t="s">
        <v>231</v>
      </c>
      <c r="O52" s="96" t="s">
        <v>5</v>
      </c>
      <c r="P52" s="96" t="s">
        <v>5</v>
      </c>
      <c r="Q52" s="18" t="s">
        <v>232</v>
      </c>
      <c r="R52" s="19"/>
      <c r="S52" s="20">
        <v>46295</v>
      </c>
      <c r="T52" s="20" t="s">
        <v>65</v>
      </c>
      <c r="U52" s="20" t="s">
        <v>233</v>
      </c>
      <c r="V52" s="20"/>
      <c r="W52" s="20"/>
      <c r="X52" s="20"/>
    </row>
    <row r="53" spans="2:24" ht="96" hidden="1">
      <c r="B53" s="18" t="s">
        <v>188</v>
      </c>
      <c r="C53" s="18" t="s">
        <v>189</v>
      </c>
      <c r="D53" s="18" t="s">
        <v>190</v>
      </c>
      <c r="E53" s="18" t="s">
        <v>191</v>
      </c>
      <c r="F53" s="96">
        <v>11</v>
      </c>
      <c r="G53" s="14" t="s">
        <v>39</v>
      </c>
      <c r="H53" s="26" t="s">
        <v>195</v>
      </c>
      <c r="I53" s="26" t="s">
        <v>86</v>
      </c>
      <c r="J53" s="203"/>
      <c r="K53" s="16" t="s">
        <v>234</v>
      </c>
      <c r="L53" s="47" t="s">
        <v>8</v>
      </c>
      <c r="M53" s="16" t="s">
        <v>235</v>
      </c>
      <c r="N53" s="18" t="s">
        <v>236</v>
      </c>
      <c r="O53" s="96" t="s">
        <v>7</v>
      </c>
      <c r="P53" s="96" t="s">
        <v>7</v>
      </c>
      <c r="Q53" s="18" t="s">
        <v>237</v>
      </c>
      <c r="R53" s="19"/>
      <c r="S53" s="20">
        <v>46295</v>
      </c>
      <c r="T53" s="20" t="s">
        <v>65</v>
      </c>
      <c r="U53" s="20" t="s">
        <v>238</v>
      </c>
      <c r="V53" s="20"/>
      <c r="W53" s="20"/>
      <c r="X53" s="20"/>
    </row>
    <row r="54" spans="2:24" ht="80.099999999999994" hidden="1">
      <c r="B54" s="18" t="s">
        <v>188</v>
      </c>
      <c r="C54" s="18" t="s">
        <v>189</v>
      </c>
      <c r="D54" s="18" t="s">
        <v>190</v>
      </c>
      <c r="E54" s="18" t="s">
        <v>191</v>
      </c>
      <c r="F54" s="96">
        <v>12</v>
      </c>
      <c r="G54" s="14" t="s">
        <v>39</v>
      </c>
      <c r="H54" s="26" t="s">
        <v>195</v>
      </c>
      <c r="I54" s="224" t="s">
        <v>239</v>
      </c>
      <c r="J54" s="203"/>
      <c r="K54" s="16" t="s">
        <v>240</v>
      </c>
      <c r="L54" s="47" t="s">
        <v>8</v>
      </c>
      <c r="M54" s="16" t="s">
        <v>241</v>
      </c>
      <c r="N54" s="18" t="s">
        <v>242</v>
      </c>
      <c r="O54" s="96" t="s">
        <v>7</v>
      </c>
      <c r="P54" s="96" t="s">
        <v>7</v>
      </c>
      <c r="Q54" s="18" t="s">
        <v>59</v>
      </c>
      <c r="R54" s="19"/>
      <c r="S54" s="20" t="s">
        <v>243</v>
      </c>
      <c r="T54" s="20" t="s">
        <v>65</v>
      </c>
      <c r="U54" s="20" t="s">
        <v>244</v>
      </c>
      <c r="V54" s="20" t="s">
        <v>245</v>
      </c>
      <c r="W54" s="20"/>
      <c r="X54" s="20"/>
    </row>
    <row r="55" spans="2:24" ht="96" hidden="1">
      <c r="B55" s="18" t="s">
        <v>188</v>
      </c>
      <c r="C55" s="18" t="s">
        <v>189</v>
      </c>
      <c r="D55" s="18" t="s">
        <v>190</v>
      </c>
      <c r="E55" s="18" t="s">
        <v>191</v>
      </c>
      <c r="F55" s="96">
        <v>13</v>
      </c>
      <c r="G55" s="14" t="s">
        <v>39</v>
      </c>
      <c r="H55" s="26" t="s">
        <v>195</v>
      </c>
      <c r="I55" s="224" t="s">
        <v>239</v>
      </c>
      <c r="J55" s="203"/>
      <c r="K55" s="16" t="s">
        <v>246</v>
      </c>
      <c r="L55" s="47" t="s">
        <v>8</v>
      </c>
      <c r="M55" s="16" t="s">
        <v>247</v>
      </c>
      <c r="N55" s="18" t="s">
        <v>248</v>
      </c>
      <c r="O55" s="96" t="s">
        <v>7</v>
      </c>
      <c r="P55" s="96" t="s">
        <v>7</v>
      </c>
      <c r="Q55" s="18" t="s">
        <v>59</v>
      </c>
      <c r="R55" s="19"/>
      <c r="S55" s="20">
        <v>46254</v>
      </c>
      <c r="T55" s="20" t="s">
        <v>45</v>
      </c>
      <c r="U55" s="20" t="s">
        <v>249</v>
      </c>
      <c r="V55" s="20" t="s">
        <v>250</v>
      </c>
      <c r="W55" s="20"/>
      <c r="X55" s="20"/>
    </row>
    <row r="56" spans="2:24" ht="96" hidden="1">
      <c r="B56" s="18" t="s">
        <v>188</v>
      </c>
      <c r="C56" s="18" t="s">
        <v>189</v>
      </c>
      <c r="D56" s="18" t="s">
        <v>190</v>
      </c>
      <c r="E56" s="18" t="s">
        <v>191</v>
      </c>
      <c r="F56" s="96">
        <v>14</v>
      </c>
      <c r="G56" s="14" t="s">
        <v>39</v>
      </c>
      <c r="H56" s="26" t="s">
        <v>195</v>
      </c>
      <c r="I56" s="224" t="s">
        <v>239</v>
      </c>
      <c r="J56" s="203"/>
      <c r="K56" s="16" t="s">
        <v>251</v>
      </c>
      <c r="L56" s="47" t="s">
        <v>8</v>
      </c>
      <c r="M56" s="16" t="s">
        <v>252</v>
      </c>
      <c r="N56" s="18" t="s">
        <v>248</v>
      </c>
      <c r="O56" s="96" t="s">
        <v>7</v>
      </c>
      <c r="P56" s="96" t="s">
        <v>7</v>
      </c>
      <c r="Q56" s="18" t="s">
        <v>59</v>
      </c>
      <c r="R56" s="19"/>
      <c r="S56" s="20">
        <v>46386</v>
      </c>
      <c r="T56" s="20" t="s">
        <v>65</v>
      </c>
      <c r="U56" s="20" t="s">
        <v>253</v>
      </c>
      <c r="V56" s="20"/>
      <c r="W56" s="20"/>
      <c r="X56" s="20"/>
    </row>
    <row r="57" spans="2:24" ht="32.1" hidden="1">
      <c r="B57" s="18" t="s">
        <v>188</v>
      </c>
      <c r="C57" s="18" t="s">
        <v>189</v>
      </c>
      <c r="D57" s="18" t="s">
        <v>190</v>
      </c>
      <c r="E57" s="18" t="s">
        <v>191</v>
      </c>
      <c r="F57" s="96">
        <v>15</v>
      </c>
      <c r="G57" s="14" t="s">
        <v>39</v>
      </c>
      <c r="H57" s="26" t="s">
        <v>195</v>
      </c>
      <c r="I57" s="224" t="s">
        <v>254</v>
      </c>
      <c r="J57" s="203"/>
      <c r="K57" s="16" t="s">
        <v>255</v>
      </c>
      <c r="L57" s="47" t="s">
        <v>8</v>
      </c>
      <c r="M57" s="16" t="s">
        <v>256</v>
      </c>
      <c r="N57" s="18" t="s">
        <v>257</v>
      </c>
      <c r="O57" s="96" t="s">
        <v>7</v>
      </c>
      <c r="P57" s="96" t="s">
        <v>7</v>
      </c>
      <c r="Q57" s="18" t="s">
        <v>59</v>
      </c>
      <c r="R57" s="19"/>
      <c r="S57" s="20">
        <v>46572</v>
      </c>
      <c r="T57" s="20" t="s">
        <v>65</v>
      </c>
      <c r="U57" s="20" t="s">
        <v>258</v>
      </c>
      <c r="V57" s="20"/>
      <c r="W57" s="20"/>
      <c r="X57" s="20"/>
    </row>
    <row r="58" spans="2:24" ht="32.1" hidden="1">
      <c r="B58" s="18" t="s">
        <v>188</v>
      </c>
      <c r="C58" s="18" t="s">
        <v>189</v>
      </c>
      <c r="D58" s="18" t="s">
        <v>190</v>
      </c>
      <c r="E58" s="18" t="s">
        <v>191</v>
      </c>
      <c r="F58" s="96">
        <v>16</v>
      </c>
      <c r="G58" s="14" t="s">
        <v>39</v>
      </c>
      <c r="H58" s="26" t="s">
        <v>195</v>
      </c>
      <c r="I58" s="224" t="s">
        <v>239</v>
      </c>
      <c r="J58" s="203"/>
      <c r="K58" s="16" t="s">
        <v>259</v>
      </c>
      <c r="L58" s="47" t="s">
        <v>8</v>
      </c>
      <c r="M58" s="16" t="s">
        <v>260</v>
      </c>
      <c r="N58" s="18" t="s">
        <v>261</v>
      </c>
      <c r="O58" s="96" t="s">
        <v>7</v>
      </c>
      <c r="P58" s="96" t="s">
        <v>7</v>
      </c>
      <c r="Q58" s="18" t="s">
        <v>59</v>
      </c>
      <c r="R58" s="19"/>
      <c r="S58" s="20">
        <v>46492</v>
      </c>
      <c r="T58" s="20" t="s">
        <v>45</v>
      </c>
      <c r="U58" s="20" t="s">
        <v>258</v>
      </c>
      <c r="V58" s="20" t="s">
        <v>262</v>
      </c>
      <c r="W58" s="20"/>
      <c r="X58" s="20"/>
    </row>
    <row r="59" spans="2:24" ht="43.5" hidden="1">
      <c r="B59" s="96" t="s">
        <v>263</v>
      </c>
      <c r="C59" s="96" t="s">
        <v>264</v>
      </c>
      <c r="D59" s="96" t="s">
        <v>265</v>
      </c>
      <c r="E59" s="96" t="s">
        <v>38</v>
      </c>
      <c r="F59" s="96">
        <v>2</v>
      </c>
      <c r="G59" s="96" t="s">
        <v>39</v>
      </c>
      <c r="H59" s="26" t="s">
        <v>0</v>
      </c>
      <c r="I59" s="26" t="s">
        <v>207</v>
      </c>
      <c r="J59" s="204">
        <v>45734</v>
      </c>
      <c r="K59" s="66" t="s">
        <v>266</v>
      </c>
      <c r="L59" s="18" t="s">
        <v>6</v>
      </c>
      <c r="M59" s="66" t="s">
        <v>267</v>
      </c>
      <c r="N59" s="18" t="s">
        <v>268</v>
      </c>
      <c r="O59" s="104" t="s">
        <v>3</v>
      </c>
      <c r="P59" s="104" t="s">
        <v>3</v>
      </c>
      <c r="Q59" s="18" t="s">
        <v>269</v>
      </c>
      <c r="R59" s="105"/>
      <c r="S59" s="104"/>
      <c r="T59" s="104" t="s">
        <v>45</v>
      </c>
      <c r="U59" s="107"/>
      <c r="V59" s="18"/>
      <c r="W59" s="107"/>
      <c r="X59" s="107"/>
    </row>
    <row r="60" spans="2:24" ht="32.1" hidden="1">
      <c r="B60" s="18" t="s">
        <v>263</v>
      </c>
      <c r="C60" s="18" t="s">
        <v>264</v>
      </c>
      <c r="D60" s="18" t="s">
        <v>265</v>
      </c>
      <c r="E60" s="18" t="s">
        <v>38</v>
      </c>
      <c r="F60" s="96">
        <v>6</v>
      </c>
      <c r="G60" s="96" t="s">
        <v>39</v>
      </c>
      <c r="H60" s="26" t="s">
        <v>0</v>
      </c>
      <c r="I60" s="26" t="s">
        <v>46</v>
      </c>
      <c r="J60" s="203"/>
      <c r="K60" s="66" t="s">
        <v>270</v>
      </c>
      <c r="L60" s="18" t="s">
        <v>6</v>
      </c>
      <c r="M60" s="66" t="s">
        <v>271</v>
      </c>
      <c r="N60" s="18" t="s">
        <v>272</v>
      </c>
      <c r="O60" s="96" t="s">
        <v>3</v>
      </c>
      <c r="P60" s="96" t="s">
        <v>3</v>
      </c>
      <c r="Q60" s="18" t="s">
        <v>273</v>
      </c>
      <c r="R60" s="19"/>
      <c r="S60" s="19"/>
      <c r="T60" s="96" t="s">
        <v>45</v>
      </c>
      <c r="U60" s="18"/>
      <c r="V60" s="18"/>
      <c r="W60" s="18"/>
      <c r="X60" s="18"/>
    </row>
    <row r="61" spans="2:24" ht="213.75" hidden="1" customHeight="1">
      <c r="B61" s="18" t="s">
        <v>263</v>
      </c>
      <c r="C61" s="18" t="s">
        <v>264</v>
      </c>
      <c r="D61" s="18" t="s">
        <v>265</v>
      </c>
      <c r="E61" s="18" t="s">
        <v>38</v>
      </c>
      <c r="F61" s="96">
        <v>7</v>
      </c>
      <c r="G61" s="96" t="s">
        <v>69</v>
      </c>
      <c r="H61" s="18" t="s">
        <v>274</v>
      </c>
      <c r="I61" s="26" t="s">
        <v>86</v>
      </c>
      <c r="J61" s="203"/>
      <c r="K61" s="66" t="s">
        <v>275</v>
      </c>
      <c r="L61" s="18" t="s">
        <v>6</v>
      </c>
      <c r="M61" s="66" t="s">
        <v>276</v>
      </c>
      <c r="N61" s="18" t="s">
        <v>277</v>
      </c>
      <c r="O61" s="96" t="s">
        <v>5</v>
      </c>
      <c r="P61" s="96" t="s">
        <v>3</v>
      </c>
      <c r="Q61" s="18" t="s">
        <v>269</v>
      </c>
      <c r="R61" s="19">
        <v>45810</v>
      </c>
      <c r="S61" s="19">
        <v>45830</v>
      </c>
      <c r="T61" s="96" t="s">
        <v>45</v>
      </c>
      <c r="U61" s="18"/>
      <c r="V61" s="18"/>
      <c r="W61" s="18"/>
      <c r="X61" s="18"/>
    </row>
    <row r="62" spans="2:24" ht="29.1" hidden="1">
      <c r="B62" s="18" t="s">
        <v>263</v>
      </c>
      <c r="C62" s="18" t="s">
        <v>264</v>
      </c>
      <c r="D62" s="18" t="s">
        <v>265</v>
      </c>
      <c r="E62" s="18" t="s">
        <v>38</v>
      </c>
      <c r="F62" s="96">
        <v>8</v>
      </c>
      <c r="G62" s="96" t="s">
        <v>69</v>
      </c>
      <c r="H62" s="18" t="s">
        <v>278</v>
      </c>
      <c r="I62" s="26" t="s">
        <v>40</v>
      </c>
      <c r="J62" s="203"/>
      <c r="K62" s="66" t="s">
        <v>279</v>
      </c>
      <c r="L62" s="18" t="s">
        <v>8</v>
      </c>
      <c r="M62" s="66" t="s">
        <v>280</v>
      </c>
      <c r="N62" s="18" t="s">
        <v>281</v>
      </c>
      <c r="O62" s="96" t="s">
        <v>5</v>
      </c>
      <c r="P62" s="96" t="s">
        <v>3</v>
      </c>
      <c r="Q62" s="18" t="s">
        <v>269</v>
      </c>
      <c r="R62" s="19">
        <v>45807</v>
      </c>
      <c r="S62" s="96"/>
      <c r="T62" s="96" t="s">
        <v>45</v>
      </c>
      <c r="U62" s="18"/>
      <c r="V62" s="18"/>
      <c r="W62" s="18"/>
      <c r="X62" s="18"/>
    </row>
    <row r="63" spans="2:24" ht="43.5" hidden="1">
      <c r="B63" s="18" t="s">
        <v>263</v>
      </c>
      <c r="C63" s="18" t="s">
        <v>264</v>
      </c>
      <c r="D63" s="18" t="s">
        <v>265</v>
      </c>
      <c r="E63" s="18" t="s">
        <v>38</v>
      </c>
      <c r="F63" s="96">
        <v>9</v>
      </c>
      <c r="G63" s="96" t="s">
        <v>39</v>
      </c>
      <c r="H63" s="18" t="s">
        <v>282</v>
      </c>
      <c r="I63" s="26" t="s">
        <v>282</v>
      </c>
      <c r="J63" s="203"/>
      <c r="K63" s="66" t="s">
        <v>283</v>
      </c>
      <c r="L63" s="18" t="s">
        <v>6</v>
      </c>
      <c r="M63" s="66" t="s">
        <v>284</v>
      </c>
      <c r="N63" s="18" t="s">
        <v>285</v>
      </c>
      <c r="O63" s="96" t="s">
        <v>5</v>
      </c>
      <c r="P63" s="96" t="s">
        <v>3</v>
      </c>
      <c r="Q63" s="18" t="s">
        <v>286</v>
      </c>
      <c r="R63" s="19"/>
      <c r="S63" s="96"/>
      <c r="T63" s="96" t="s">
        <v>45</v>
      </c>
      <c r="U63" s="18"/>
      <c r="V63" s="18" t="s">
        <v>287</v>
      </c>
      <c r="W63" s="18"/>
      <c r="X63" s="18"/>
    </row>
    <row r="64" spans="2:24" ht="32.1" hidden="1">
      <c r="B64" s="18" t="s">
        <v>263</v>
      </c>
      <c r="C64" s="16" t="s">
        <v>264</v>
      </c>
      <c r="D64" s="18" t="s">
        <v>265</v>
      </c>
      <c r="E64" s="18" t="s">
        <v>38</v>
      </c>
      <c r="F64" s="96">
        <v>10</v>
      </c>
      <c r="G64" s="96" t="s">
        <v>39</v>
      </c>
      <c r="H64" s="26" t="s">
        <v>0</v>
      </c>
      <c r="I64" s="26" t="s">
        <v>207</v>
      </c>
      <c r="J64" s="203"/>
      <c r="K64" s="66" t="s">
        <v>288</v>
      </c>
      <c r="L64" s="18" t="s">
        <v>8</v>
      </c>
      <c r="M64" s="66" t="s">
        <v>289</v>
      </c>
      <c r="N64" s="18" t="s">
        <v>290</v>
      </c>
      <c r="O64" s="96" t="s">
        <v>3</v>
      </c>
      <c r="P64" s="96" t="s">
        <v>3</v>
      </c>
      <c r="Q64" s="18" t="s">
        <v>269</v>
      </c>
      <c r="R64" s="19"/>
      <c r="S64" s="19">
        <v>45838</v>
      </c>
      <c r="T64" s="96" t="s">
        <v>65</v>
      </c>
      <c r="U64" s="18"/>
      <c r="V64" s="18"/>
      <c r="W64" s="18"/>
      <c r="X64" s="18"/>
    </row>
    <row r="65" spans="2:24" ht="43.5" hidden="1">
      <c r="B65" s="18" t="s">
        <v>263</v>
      </c>
      <c r="C65" s="18" t="s">
        <v>264</v>
      </c>
      <c r="D65" s="18" t="s">
        <v>265</v>
      </c>
      <c r="E65" s="18" t="s">
        <v>38</v>
      </c>
      <c r="F65" s="96">
        <v>11</v>
      </c>
      <c r="G65" s="96" t="s">
        <v>69</v>
      </c>
      <c r="H65" s="18" t="s">
        <v>291</v>
      </c>
      <c r="I65" s="26" t="s">
        <v>40</v>
      </c>
      <c r="J65" s="203"/>
      <c r="K65" s="66" t="s">
        <v>292</v>
      </c>
      <c r="L65" s="18" t="s">
        <v>6</v>
      </c>
      <c r="M65" s="66" t="s">
        <v>293</v>
      </c>
      <c r="N65" s="18" t="s">
        <v>294</v>
      </c>
      <c r="O65" s="96" t="s">
        <v>3</v>
      </c>
      <c r="P65" s="96" t="s">
        <v>3</v>
      </c>
      <c r="Q65" s="18" t="s">
        <v>269</v>
      </c>
      <c r="R65" s="19"/>
      <c r="S65" s="19"/>
      <c r="T65" s="96" t="s">
        <v>65</v>
      </c>
      <c r="U65" s="18"/>
      <c r="V65" s="18"/>
      <c r="W65" s="18"/>
      <c r="X65" s="18" t="s">
        <v>295</v>
      </c>
    </row>
    <row r="66" spans="2:24" ht="32.1" hidden="1">
      <c r="B66" s="18" t="s">
        <v>263</v>
      </c>
      <c r="C66" s="16" t="s">
        <v>264</v>
      </c>
      <c r="D66" s="18" t="s">
        <v>265</v>
      </c>
      <c r="E66" s="18" t="s">
        <v>38</v>
      </c>
      <c r="F66" s="96">
        <v>12</v>
      </c>
      <c r="G66" s="96" t="s">
        <v>39</v>
      </c>
      <c r="H66" s="26" t="s">
        <v>0</v>
      </c>
      <c r="I66" s="26" t="s">
        <v>40</v>
      </c>
      <c r="J66" s="203"/>
      <c r="K66" s="16" t="s">
        <v>296</v>
      </c>
      <c r="L66" s="18" t="s">
        <v>6</v>
      </c>
      <c r="M66" s="66" t="s">
        <v>297</v>
      </c>
      <c r="N66" s="18" t="s">
        <v>298</v>
      </c>
      <c r="O66" s="96" t="s">
        <v>3</v>
      </c>
      <c r="P66" s="96" t="s">
        <v>3</v>
      </c>
      <c r="Q66" s="18" t="s">
        <v>269</v>
      </c>
      <c r="R66" s="19"/>
      <c r="S66" s="19">
        <v>45833</v>
      </c>
      <c r="T66" s="96" t="s">
        <v>65</v>
      </c>
      <c r="U66" s="18"/>
      <c r="V66" s="18"/>
      <c r="W66" s="18"/>
      <c r="X66" s="18" t="s">
        <v>299</v>
      </c>
    </row>
    <row r="67" spans="2:24" ht="32.1" hidden="1">
      <c r="B67" s="18" t="s">
        <v>263</v>
      </c>
      <c r="C67" s="16" t="s">
        <v>264</v>
      </c>
      <c r="D67" s="18" t="s">
        <v>265</v>
      </c>
      <c r="E67" s="18" t="s">
        <v>38</v>
      </c>
      <c r="F67" s="96">
        <v>13</v>
      </c>
      <c r="G67" s="96" t="s">
        <v>39</v>
      </c>
      <c r="H67" s="26" t="s">
        <v>0</v>
      </c>
      <c r="I67" s="26" t="s">
        <v>207</v>
      </c>
      <c r="J67" s="203"/>
      <c r="K67" s="16" t="s">
        <v>300</v>
      </c>
      <c r="L67" s="18" t="s">
        <v>6</v>
      </c>
      <c r="M67" s="16" t="s">
        <v>301</v>
      </c>
      <c r="N67" s="18" t="s">
        <v>302</v>
      </c>
      <c r="O67" s="96" t="s">
        <v>3</v>
      </c>
      <c r="P67" s="96" t="s">
        <v>3</v>
      </c>
      <c r="Q67" s="18" t="s">
        <v>269</v>
      </c>
      <c r="R67" s="19"/>
      <c r="S67" s="19"/>
      <c r="T67" s="96" t="s">
        <v>65</v>
      </c>
      <c r="U67" s="18"/>
      <c r="V67" s="18"/>
      <c r="W67" s="18"/>
      <c r="X67" s="18"/>
    </row>
    <row r="68" spans="2:24" ht="43.5" hidden="1">
      <c r="B68" s="18" t="s">
        <v>263</v>
      </c>
      <c r="C68" s="16" t="s">
        <v>264</v>
      </c>
      <c r="D68" s="18" t="s">
        <v>265</v>
      </c>
      <c r="E68" s="18" t="s">
        <v>38</v>
      </c>
      <c r="F68" s="96">
        <v>14</v>
      </c>
      <c r="G68" s="96" t="s">
        <v>69</v>
      </c>
      <c r="H68" s="18" t="s">
        <v>114</v>
      </c>
      <c r="I68" s="26" t="s">
        <v>115</v>
      </c>
      <c r="J68" s="203"/>
      <c r="K68" s="16" t="s">
        <v>303</v>
      </c>
      <c r="L68" s="18" t="s">
        <v>6</v>
      </c>
      <c r="M68" s="16" t="s">
        <v>304</v>
      </c>
      <c r="N68" s="18" t="s">
        <v>305</v>
      </c>
      <c r="O68" s="96" t="s">
        <v>3</v>
      </c>
      <c r="P68" s="96" t="s">
        <v>3</v>
      </c>
      <c r="Q68" s="18" t="s">
        <v>79</v>
      </c>
      <c r="R68" s="19"/>
      <c r="S68" s="19"/>
      <c r="T68" s="96" t="s">
        <v>65</v>
      </c>
      <c r="U68" s="18"/>
      <c r="V68" s="18"/>
      <c r="W68" s="18"/>
      <c r="X68" s="18"/>
    </row>
    <row r="69" spans="2:24" ht="32.1" hidden="1">
      <c r="B69" s="18" t="s">
        <v>263</v>
      </c>
      <c r="C69" s="18" t="s">
        <v>306</v>
      </c>
      <c r="D69" s="18" t="s">
        <v>265</v>
      </c>
      <c r="E69" s="18" t="s">
        <v>38</v>
      </c>
      <c r="F69" s="96">
        <v>4</v>
      </c>
      <c r="G69" s="96" t="s">
        <v>69</v>
      </c>
      <c r="H69" s="18" t="s">
        <v>114</v>
      </c>
      <c r="I69" s="26" t="s">
        <v>115</v>
      </c>
      <c r="J69" s="202">
        <v>45738</v>
      </c>
      <c r="K69" s="66" t="s">
        <v>307</v>
      </c>
      <c r="L69" s="18" t="s">
        <v>6</v>
      </c>
      <c r="M69" s="66" t="s">
        <v>308</v>
      </c>
      <c r="N69" s="18" t="s">
        <v>309</v>
      </c>
      <c r="O69" s="18" t="s">
        <v>3</v>
      </c>
      <c r="P69" s="18" t="s">
        <v>3</v>
      </c>
      <c r="Q69" s="18" t="s">
        <v>59</v>
      </c>
      <c r="R69" s="19"/>
      <c r="S69" s="20"/>
      <c r="T69" s="20" t="s">
        <v>45</v>
      </c>
      <c r="U69" s="20"/>
      <c r="V69" s="108"/>
      <c r="W69" s="18"/>
      <c r="X69" s="18"/>
    </row>
    <row r="70" spans="2:24" ht="32.1" hidden="1">
      <c r="B70" s="18" t="s">
        <v>263</v>
      </c>
      <c r="C70" s="18" t="s">
        <v>310</v>
      </c>
      <c r="D70" s="18" t="s">
        <v>265</v>
      </c>
      <c r="E70" s="18" t="s">
        <v>38</v>
      </c>
      <c r="F70" s="96">
        <v>1</v>
      </c>
      <c r="G70" s="96" t="s">
        <v>39</v>
      </c>
      <c r="H70" s="26" t="s">
        <v>0</v>
      </c>
      <c r="I70" s="26" t="s">
        <v>40</v>
      </c>
      <c r="J70" s="203">
        <v>45712</v>
      </c>
      <c r="K70" s="66" t="s">
        <v>311</v>
      </c>
      <c r="L70" s="18" t="s">
        <v>8</v>
      </c>
      <c r="M70" s="66" t="s">
        <v>312</v>
      </c>
      <c r="N70" s="18" t="s">
        <v>313</v>
      </c>
      <c r="O70" s="96" t="s">
        <v>3</v>
      </c>
      <c r="P70" s="96" t="s">
        <v>3</v>
      </c>
      <c r="Q70" s="18" t="s">
        <v>59</v>
      </c>
      <c r="R70" s="19"/>
      <c r="S70" s="96"/>
      <c r="T70" s="106" t="s">
        <v>45</v>
      </c>
      <c r="U70" s="18"/>
      <c r="V70" s="18"/>
      <c r="W70" s="18"/>
      <c r="X70" s="18"/>
    </row>
    <row r="71" spans="2:24" ht="43.5" hidden="1">
      <c r="B71" s="18" t="s">
        <v>263</v>
      </c>
      <c r="C71" s="18" t="s">
        <v>310</v>
      </c>
      <c r="D71" s="18" t="s">
        <v>265</v>
      </c>
      <c r="E71" s="18" t="s">
        <v>38</v>
      </c>
      <c r="F71" s="96">
        <v>3</v>
      </c>
      <c r="G71" s="96" t="s">
        <v>69</v>
      </c>
      <c r="H71" s="18" t="s">
        <v>114</v>
      </c>
      <c r="I71" s="26" t="s">
        <v>115</v>
      </c>
      <c r="J71" s="203">
        <v>45756</v>
      </c>
      <c r="K71" s="66" t="s">
        <v>314</v>
      </c>
      <c r="L71" s="18" t="s">
        <v>4</v>
      </c>
      <c r="M71" s="66" t="s">
        <v>315</v>
      </c>
      <c r="N71" s="18" t="s">
        <v>316</v>
      </c>
      <c r="O71" s="96" t="s">
        <v>3</v>
      </c>
      <c r="P71" s="96" t="s">
        <v>3</v>
      </c>
      <c r="Q71" s="18" t="s">
        <v>59</v>
      </c>
      <c r="R71" s="19"/>
      <c r="S71" s="96"/>
      <c r="T71" s="96" t="s">
        <v>45</v>
      </c>
      <c r="U71" s="18"/>
      <c r="V71" s="18" t="s">
        <v>317</v>
      </c>
      <c r="W71" s="18"/>
      <c r="X71" s="18"/>
    </row>
    <row r="72" spans="2:24" ht="29.1" hidden="1">
      <c r="B72" s="18" t="s">
        <v>318</v>
      </c>
      <c r="C72" s="18" t="s">
        <v>319</v>
      </c>
      <c r="D72" s="72" t="s">
        <v>37</v>
      </c>
      <c r="E72" s="18" t="s">
        <v>38</v>
      </c>
      <c r="F72" s="14">
        <v>1</v>
      </c>
      <c r="G72" s="14" t="s">
        <v>69</v>
      </c>
      <c r="H72" s="26" t="s">
        <v>128</v>
      </c>
      <c r="I72" s="26" t="s">
        <v>40</v>
      </c>
      <c r="J72" s="202"/>
      <c r="K72" s="18" t="s">
        <v>320</v>
      </c>
      <c r="L72" s="47" t="s">
        <v>6</v>
      </c>
      <c r="M72" s="18" t="s">
        <v>321</v>
      </c>
      <c r="N72" s="125" t="s">
        <v>322</v>
      </c>
      <c r="O72" s="18" t="s">
        <v>7</v>
      </c>
      <c r="P72" s="18" t="s">
        <v>7</v>
      </c>
      <c r="Q72" s="18" t="s">
        <v>69</v>
      </c>
      <c r="R72" s="19">
        <v>45746</v>
      </c>
      <c r="S72" s="20"/>
      <c r="T72" s="20" t="s">
        <v>45</v>
      </c>
      <c r="U72" s="20" t="s">
        <v>132</v>
      </c>
      <c r="V72" s="20"/>
      <c r="W72" s="20"/>
      <c r="X72" s="20"/>
    </row>
    <row r="73" spans="2:24" ht="29.1" hidden="1">
      <c r="B73" s="18" t="s">
        <v>318</v>
      </c>
      <c r="C73" s="18" t="s">
        <v>319</v>
      </c>
      <c r="D73" s="72" t="s">
        <v>37</v>
      </c>
      <c r="E73" s="18" t="s">
        <v>38</v>
      </c>
      <c r="F73" s="14">
        <v>4</v>
      </c>
      <c r="G73" s="14" t="s">
        <v>69</v>
      </c>
      <c r="H73" s="26" t="s">
        <v>128</v>
      </c>
      <c r="I73" s="26" t="s">
        <v>40</v>
      </c>
      <c r="J73" s="202"/>
      <c r="K73" s="18" t="s">
        <v>323</v>
      </c>
      <c r="L73" s="47" t="s">
        <v>6</v>
      </c>
      <c r="M73" s="18" t="s">
        <v>324</v>
      </c>
      <c r="N73" s="18" t="s">
        <v>325</v>
      </c>
      <c r="O73" s="18" t="s">
        <v>7</v>
      </c>
      <c r="P73" s="18" t="s">
        <v>7</v>
      </c>
      <c r="Q73" s="18" t="s">
        <v>69</v>
      </c>
      <c r="R73" s="19"/>
      <c r="S73" s="20"/>
      <c r="T73" s="63" t="s">
        <v>45</v>
      </c>
      <c r="U73" s="20" t="s">
        <v>132</v>
      </c>
      <c r="V73" s="20"/>
      <c r="W73" s="20"/>
      <c r="X73" s="20"/>
    </row>
    <row r="74" spans="2:24" ht="48" hidden="1">
      <c r="B74" s="18" t="s">
        <v>318</v>
      </c>
      <c r="C74" s="18" t="s">
        <v>319</v>
      </c>
      <c r="D74" s="76" t="s">
        <v>37</v>
      </c>
      <c r="E74" s="18" t="s">
        <v>38</v>
      </c>
      <c r="F74" s="14">
        <v>7</v>
      </c>
      <c r="G74" s="14" t="s">
        <v>69</v>
      </c>
      <c r="H74" s="26" t="s">
        <v>95</v>
      </c>
      <c r="I74" s="26" t="s">
        <v>40</v>
      </c>
      <c r="J74" s="202"/>
      <c r="K74" s="18" t="s">
        <v>326</v>
      </c>
      <c r="L74" s="47" t="s">
        <v>4</v>
      </c>
      <c r="M74" s="18" t="s">
        <v>327</v>
      </c>
      <c r="N74" s="125" t="s">
        <v>328</v>
      </c>
      <c r="O74" s="18" t="s">
        <v>7</v>
      </c>
      <c r="P74" s="18" t="s">
        <v>7</v>
      </c>
      <c r="Q74" s="18" t="s">
        <v>329</v>
      </c>
      <c r="R74" s="19"/>
      <c r="S74" s="20">
        <v>46058</v>
      </c>
      <c r="T74" s="20" t="s">
        <v>45</v>
      </c>
      <c r="U74" s="20" t="s">
        <v>330</v>
      </c>
      <c r="V74" s="20"/>
      <c r="W74" s="20"/>
      <c r="X74" s="20" t="s">
        <v>331</v>
      </c>
    </row>
    <row r="75" spans="2:24" ht="57.95" hidden="1">
      <c r="B75" s="18" t="s">
        <v>318</v>
      </c>
      <c r="C75" s="18" t="s">
        <v>319</v>
      </c>
      <c r="D75" s="72" t="s">
        <v>37</v>
      </c>
      <c r="E75" s="18" t="s">
        <v>38</v>
      </c>
      <c r="F75" s="14"/>
      <c r="G75" s="14" t="s">
        <v>69</v>
      </c>
      <c r="H75" s="26" t="s">
        <v>332</v>
      </c>
      <c r="I75" s="26" t="s">
        <v>115</v>
      </c>
      <c r="J75" s="202"/>
      <c r="K75" s="18" t="s">
        <v>333</v>
      </c>
      <c r="L75" s="47" t="s">
        <v>6</v>
      </c>
      <c r="M75" s="18" t="s">
        <v>334</v>
      </c>
      <c r="N75" s="125" t="s">
        <v>335</v>
      </c>
      <c r="O75" s="18" t="s">
        <v>7</v>
      </c>
      <c r="P75" s="18" t="s">
        <v>7</v>
      </c>
      <c r="Q75" s="18" t="s">
        <v>69</v>
      </c>
      <c r="R75" s="19"/>
      <c r="S75" s="20">
        <v>45848</v>
      </c>
      <c r="T75" s="20" t="s">
        <v>45</v>
      </c>
      <c r="U75" s="20" t="s">
        <v>336</v>
      </c>
      <c r="V75" s="20"/>
      <c r="W75" s="20"/>
      <c r="X75" s="20" t="s">
        <v>337</v>
      </c>
    </row>
    <row r="76" spans="2:24" ht="43.5" hidden="1">
      <c r="B76" s="18" t="s">
        <v>318</v>
      </c>
      <c r="C76" s="66" t="s">
        <v>319</v>
      </c>
      <c r="D76" s="77" t="s">
        <v>37</v>
      </c>
      <c r="E76" s="66" t="s">
        <v>38</v>
      </c>
      <c r="F76" s="14">
        <v>8</v>
      </c>
      <c r="G76" s="118" t="s">
        <v>69</v>
      </c>
      <c r="H76" s="26" t="s">
        <v>70</v>
      </c>
      <c r="I76" s="26" t="s">
        <v>40</v>
      </c>
      <c r="J76" s="205"/>
      <c r="K76" s="66" t="s">
        <v>338</v>
      </c>
      <c r="L76" s="47" t="s">
        <v>9</v>
      </c>
      <c r="M76" s="18" t="s">
        <v>72</v>
      </c>
      <c r="N76" s="66" t="s">
        <v>339</v>
      </c>
      <c r="O76" s="18" t="s">
        <v>7</v>
      </c>
      <c r="P76" s="18" t="s">
        <v>7</v>
      </c>
      <c r="Q76" s="66" t="s">
        <v>69</v>
      </c>
      <c r="R76" s="74"/>
      <c r="S76" s="75">
        <v>45853</v>
      </c>
      <c r="T76" s="75" t="s">
        <v>45</v>
      </c>
      <c r="U76" s="75" t="s">
        <v>132</v>
      </c>
      <c r="V76" s="75"/>
      <c r="W76" s="75"/>
      <c r="X76" s="75" t="s">
        <v>340</v>
      </c>
    </row>
    <row r="77" spans="2:24" ht="57.95" hidden="1">
      <c r="B77" s="18" t="s">
        <v>318</v>
      </c>
      <c r="C77" s="18" t="s">
        <v>319</v>
      </c>
      <c r="D77" s="72" t="s">
        <v>37</v>
      </c>
      <c r="E77" s="18" t="s">
        <v>38</v>
      </c>
      <c r="F77" s="14">
        <v>9</v>
      </c>
      <c r="G77" s="14" t="s">
        <v>53</v>
      </c>
      <c r="H77" s="26" t="s">
        <v>341</v>
      </c>
      <c r="I77" s="26" t="s">
        <v>115</v>
      </c>
      <c r="J77" s="202"/>
      <c r="K77" s="18" t="s">
        <v>342</v>
      </c>
      <c r="L77" s="47" t="s">
        <v>9</v>
      </c>
      <c r="M77" s="18" t="s">
        <v>343</v>
      </c>
      <c r="N77" s="18" t="s">
        <v>344</v>
      </c>
      <c r="O77" s="18" t="s">
        <v>7</v>
      </c>
      <c r="P77" s="18" t="s">
        <v>7</v>
      </c>
      <c r="Q77" s="18" t="s">
        <v>54</v>
      </c>
      <c r="R77" s="19"/>
      <c r="S77" s="20">
        <v>45809</v>
      </c>
      <c r="T77" s="20" t="s">
        <v>45</v>
      </c>
      <c r="U77" s="20"/>
      <c r="V77" s="20"/>
      <c r="W77" s="20"/>
      <c r="X77" s="20"/>
    </row>
    <row r="78" spans="2:24" ht="101.45" hidden="1">
      <c r="B78" s="18" t="s">
        <v>345</v>
      </c>
      <c r="C78" s="18" t="s">
        <v>346</v>
      </c>
      <c r="D78" s="18" t="s">
        <v>347</v>
      </c>
      <c r="E78" s="18" t="s">
        <v>191</v>
      </c>
      <c r="F78" s="96">
        <v>1</v>
      </c>
      <c r="G78" s="96" t="s">
        <v>69</v>
      </c>
      <c r="H78" s="18" t="s">
        <v>348</v>
      </c>
      <c r="I78" s="26" t="s">
        <v>40</v>
      </c>
      <c r="J78" s="203">
        <v>45763</v>
      </c>
      <c r="K78" s="16" t="s">
        <v>349</v>
      </c>
      <c r="L78" s="18" t="s">
        <v>4</v>
      </c>
      <c r="M78" s="16" t="s">
        <v>350</v>
      </c>
      <c r="N78" s="16" t="s">
        <v>351</v>
      </c>
      <c r="O78" s="96" t="s">
        <v>3</v>
      </c>
      <c r="P78" s="96" t="s">
        <v>3</v>
      </c>
      <c r="Q78" s="18" t="s">
        <v>112</v>
      </c>
      <c r="R78" s="19"/>
      <c r="S78" s="96"/>
      <c r="T78" s="96" t="s">
        <v>352</v>
      </c>
      <c r="U78" s="18"/>
      <c r="V78" s="16" t="s">
        <v>353</v>
      </c>
      <c r="W78" s="18"/>
      <c r="X78" s="18"/>
    </row>
    <row r="79" spans="2:24" ht="110.25" hidden="1" customHeight="1">
      <c r="B79" s="18" t="s">
        <v>345</v>
      </c>
      <c r="C79" s="18" t="s">
        <v>346</v>
      </c>
      <c r="D79" s="18" t="s">
        <v>347</v>
      </c>
      <c r="E79" s="18" t="s">
        <v>191</v>
      </c>
      <c r="F79" s="96">
        <v>2</v>
      </c>
      <c r="G79" s="14" t="s">
        <v>39</v>
      </c>
      <c r="H79" s="26" t="s">
        <v>282</v>
      </c>
      <c r="I79" s="119" t="s">
        <v>282</v>
      </c>
      <c r="J79" s="202">
        <v>45753</v>
      </c>
      <c r="K79" s="16" t="s">
        <v>354</v>
      </c>
      <c r="L79" s="47" t="s">
        <v>6</v>
      </c>
      <c r="M79" s="16" t="s">
        <v>355</v>
      </c>
      <c r="N79" s="16" t="s">
        <v>356</v>
      </c>
      <c r="O79" s="18" t="s">
        <v>5</v>
      </c>
      <c r="P79" s="18" t="s">
        <v>3</v>
      </c>
      <c r="Q79" s="18" t="s">
        <v>357</v>
      </c>
      <c r="R79" s="19"/>
      <c r="S79" s="20"/>
      <c r="T79" s="20" t="s">
        <v>352</v>
      </c>
      <c r="U79" s="20"/>
      <c r="V79" s="108"/>
      <c r="W79" s="18"/>
      <c r="X79" s="18"/>
    </row>
    <row r="80" spans="2:24" ht="120" hidden="1" customHeight="1">
      <c r="B80" s="18" t="s">
        <v>345</v>
      </c>
      <c r="C80" s="18" t="s">
        <v>346</v>
      </c>
      <c r="D80" s="18" t="s">
        <v>347</v>
      </c>
      <c r="E80" s="18" t="s">
        <v>191</v>
      </c>
      <c r="F80" s="96">
        <v>3</v>
      </c>
      <c r="G80" s="14" t="s">
        <v>39</v>
      </c>
      <c r="H80" s="26" t="s">
        <v>0</v>
      </c>
      <c r="I80" s="119" t="s">
        <v>86</v>
      </c>
      <c r="J80" s="202"/>
      <c r="K80" s="16" t="s">
        <v>358</v>
      </c>
      <c r="L80" s="47" t="s">
        <v>6</v>
      </c>
      <c r="M80" s="16" t="s">
        <v>359</v>
      </c>
      <c r="N80" s="16" t="s">
        <v>360</v>
      </c>
      <c r="O80" s="18" t="s">
        <v>5</v>
      </c>
      <c r="P80" s="18" t="s">
        <v>3</v>
      </c>
      <c r="Q80" s="18" t="s">
        <v>269</v>
      </c>
      <c r="R80" s="19"/>
      <c r="S80" s="20"/>
      <c r="T80" s="20" t="s">
        <v>352</v>
      </c>
      <c r="U80" s="20"/>
      <c r="V80" s="108"/>
      <c r="W80" s="18"/>
      <c r="X80" s="18"/>
    </row>
    <row r="81" spans="2:24" ht="29.1" hidden="1">
      <c r="B81" s="18" t="s">
        <v>345</v>
      </c>
      <c r="C81" s="18" t="s">
        <v>346</v>
      </c>
      <c r="D81" s="18" t="s">
        <v>347</v>
      </c>
      <c r="E81" s="18" t="s">
        <v>191</v>
      </c>
      <c r="F81" s="96">
        <v>4</v>
      </c>
      <c r="G81" s="14" t="s">
        <v>53</v>
      </c>
      <c r="H81" s="26" t="s">
        <v>54</v>
      </c>
      <c r="I81" s="119" t="s">
        <v>55</v>
      </c>
      <c r="J81" s="202"/>
      <c r="K81" s="16" t="s">
        <v>361</v>
      </c>
      <c r="L81" s="47" t="s">
        <v>6</v>
      </c>
      <c r="M81" s="16" t="s">
        <v>362</v>
      </c>
      <c r="N81" s="16" t="s">
        <v>363</v>
      </c>
      <c r="O81" s="18" t="s">
        <v>3</v>
      </c>
      <c r="P81" s="18" t="s">
        <v>3</v>
      </c>
      <c r="Q81" s="18" t="s">
        <v>54</v>
      </c>
      <c r="R81" s="19"/>
      <c r="S81" s="20"/>
      <c r="T81" s="20" t="s">
        <v>352</v>
      </c>
      <c r="U81" s="20"/>
      <c r="V81" s="108"/>
      <c r="W81" s="18"/>
      <c r="X81" s="18"/>
    </row>
    <row r="82" spans="2:24" ht="32.1" hidden="1">
      <c r="B82" s="18" t="s">
        <v>345</v>
      </c>
      <c r="C82" s="18" t="s">
        <v>346</v>
      </c>
      <c r="D82" s="18" t="s">
        <v>347</v>
      </c>
      <c r="E82" s="18" t="s">
        <v>191</v>
      </c>
      <c r="F82" s="96">
        <v>5</v>
      </c>
      <c r="G82" s="14" t="s">
        <v>39</v>
      </c>
      <c r="H82" s="26" t="s">
        <v>0</v>
      </c>
      <c r="I82" s="119" t="s">
        <v>207</v>
      </c>
      <c r="J82" s="202"/>
      <c r="K82" s="16" t="s">
        <v>364</v>
      </c>
      <c r="L82" s="47" t="s">
        <v>6</v>
      </c>
      <c r="M82" s="16" t="s">
        <v>365</v>
      </c>
      <c r="N82" s="16" t="s">
        <v>366</v>
      </c>
      <c r="O82" s="18" t="s">
        <v>3</v>
      </c>
      <c r="P82" s="18" t="s">
        <v>3</v>
      </c>
      <c r="Q82" s="18" t="s">
        <v>269</v>
      </c>
      <c r="R82" s="19"/>
      <c r="S82" s="20"/>
      <c r="T82" s="20" t="s">
        <v>45</v>
      </c>
      <c r="U82" s="20"/>
      <c r="V82" s="16" t="s">
        <v>367</v>
      </c>
      <c r="W82" s="18"/>
      <c r="X82" s="18"/>
    </row>
    <row r="83" spans="2:24" ht="32.1" hidden="1">
      <c r="B83" s="18" t="s">
        <v>345</v>
      </c>
      <c r="C83" s="18" t="s">
        <v>346</v>
      </c>
      <c r="D83" s="18" t="s">
        <v>347</v>
      </c>
      <c r="E83" s="18" t="s">
        <v>191</v>
      </c>
      <c r="F83" s="96">
        <v>6</v>
      </c>
      <c r="G83" s="14" t="s">
        <v>39</v>
      </c>
      <c r="H83" s="26" t="s">
        <v>0</v>
      </c>
      <c r="I83" s="119" t="s">
        <v>207</v>
      </c>
      <c r="J83" s="202"/>
      <c r="K83" s="16" t="s">
        <v>368</v>
      </c>
      <c r="L83" s="47" t="s">
        <v>6</v>
      </c>
      <c r="M83" s="16" t="s">
        <v>369</v>
      </c>
      <c r="N83" s="16" t="s">
        <v>370</v>
      </c>
      <c r="O83" s="18" t="s">
        <v>3</v>
      </c>
      <c r="P83" s="18" t="s">
        <v>3</v>
      </c>
      <c r="Q83" s="18" t="s">
        <v>269</v>
      </c>
      <c r="R83" s="19"/>
      <c r="S83" s="20"/>
      <c r="T83" s="20" t="s">
        <v>45</v>
      </c>
      <c r="U83" s="20"/>
      <c r="V83" s="16" t="s">
        <v>371</v>
      </c>
      <c r="W83" s="18"/>
      <c r="X83" s="18"/>
    </row>
    <row r="84" spans="2:24" ht="32.1" hidden="1">
      <c r="B84" s="18" t="s">
        <v>345</v>
      </c>
      <c r="C84" s="18" t="s">
        <v>346</v>
      </c>
      <c r="D84" s="18" t="s">
        <v>347</v>
      </c>
      <c r="E84" s="18" t="s">
        <v>191</v>
      </c>
      <c r="F84" s="96">
        <v>7</v>
      </c>
      <c r="G84" s="14" t="s">
        <v>39</v>
      </c>
      <c r="H84" s="26" t="s">
        <v>0</v>
      </c>
      <c r="I84" s="119" t="s">
        <v>207</v>
      </c>
      <c r="J84" s="202"/>
      <c r="K84" s="16" t="s">
        <v>372</v>
      </c>
      <c r="L84" s="47" t="s">
        <v>6</v>
      </c>
      <c r="M84" s="16" t="s">
        <v>373</v>
      </c>
      <c r="N84" s="16" t="s">
        <v>374</v>
      </c>
      <c r="O84" s="18" t="s">
        <v>5</v>
      </c>
      <c r="P84" s="18" t="s">
        <v>3</v>
      </c>
      <c r="Q84" s="18" t="s">
        <v>269</v>
      </c>
      <c r="R84" s="19"/>
      <c r="S84" s="20"/>
      <c r="T84" s="20" t="s">
        <v>45</v>
      </c>
      <c r="U84" s="20"/>
      <c r="V84" s="108"/>
      <c r="W84" s="18"/>
      <c r="X84" s="18"/>
    </row>
    <row r="85" spans="2:24" ht="43.5" hidden="1">
      <c r="B85" s="18" t="s">
        <v>345</v>
      </c>
      <c r="C85" s="18" t="s">
        <v>346</v>
      </c>
      <c r="D85" s="18" t="s">
        <v>347</v>
      </c>
      <c r="E85" s="18" t="s">
        <v>191</v>
      </c>
      <c r="F85" s="96">
        <v>8</v>
      </c>
      <c r="G85" s="14" t="s">
        <v>53</v>
      </c>
      <c r="H85" s="26" t="s">
        <v>375</v>
      </c>
      <c r="I85" s="119" t="s">
        <v>55</v>
      </c>
      <c r="J85" s="202"/>
      <c r="K85" s="16" t="s">
        <v>376</v>
      </c>
      <c r="L85" s="47" t="s">
        <v>4</v>
      </c>
      <c r="M85" s="16" t="s">
        <v>377</v>
      </c>
      <c r="N85" s="16" t="s">
        <v>378</v>
      </c>
      <c r="O85" s="18" t="s">
        <v>3</v>
      </c>
      <c r="P85" s="18" t="s">
        <v>3</v>
      </c>
      <c r="Q85" s="18" t="s">
        <v>379</v>
      </c>
      <c r="R85" s="19"/>
      <c r="S85" s="20"/>
      <c r="T85" s="20" t="s">
        <v>65</v>
      </c>
      <c r="U85" s="20" t="s">
        <v>380</v>
      </c>
      <c r="V85" s="108"/>
      <c r="W85" s="18"/>
      <c r="X85" s="18"/>
    </row>
    <row r="86" spans="2:24" ht="43.5" hidden="1">
      <c r="B86" s="18" t="s">
        <v>345</v>
      </c>
      <c r="C86" s="18" t="s">
        <v>346</v>
      </c>
      <c r="D86" s="18" t="s">
        <v>347</v>
      </c>
      <c r="E86" s="18" t="s">
        <v>191</v>
      </c>
      <c r="F86" s="96">
        <v>9</v>
      </c>
      <c r="G86" s="14" t="s">
        <v>53</v>
      </c>
      <c r="H86" s="26" t="s">
        <v>381</v>
      </c>
      <c r="I86" s="119" t="s">
        <v>86</v>
      </c>
      <c r="J86" s="202"/>
      <c r="K86" s="16" t="s">
        <v>382</v>
      </c>
      <c r="L86" s="47" t="s">
        <v>4</v>
      </c>
      <c r="M86" s="16" t="s">
        <v>383</v>
      </c>
      <c r="N86" s="16" t="s">
        <v>384</v>
      </c>
      <c r="O86" s="18" t="s">
        <v>3</v>
      </c>
      <c r="P86" s="18" t="s">
        <v>3</v>
      </c>
      <c r="Q86" s="18" t="s">
        <v>385</v>
      </c>
      <c r="R86" s="19"/>
      <c r="S86" s="20"/>
      <c r="T86" s="20" t="s">
        <v>65</v>
      </c>
      <c r="U86" s="20" t="s">
        <v>386</v>
      </c>
      <c r="V86" s="16"/>
      <c r="W86" s="18"/>
      <c r="X86" s="18"/>
    </row>
    <row r="87" spans="2:24" ht="15.95" hidden="1">
      <c r="B87" s="18" t="s">
        <v>387</v>
      </c>
      <c r="C87" s="18" t="s">
        <v>388</v>
      </c>
      <c r="D87" s="18" t="s">
        <v>389</v>
      </c>
      <c r="E87" s="18" t="s">
        <v>191</v>
      </c>
      <c r="F87" s="14">
        <v>1</v>
      </c>
      <c r="G87" s="14" t="s">
        <v>53</v>
      </c>
      <c r="H87" s="26" t="s">
        <v>54</v>
      </c>
      <c r="I87" s="26" t="s">
        <v>390</v>
      </c>
      <c r="J87" s="202">
        <v>45713</v>
      </c>
      <c r="K87" s="16" t="s">
        <v>391</v>
      </c>
      <c r="L87" s="47" t="s">
        <v>8</v>
      </c>
      <c r="M87" s="16" t="s">
        <v>392</v>
      </c>
      <c r="N87" s="16" t="s">
        <v>393</v>
      </c>
      <c r="O87" s="18" t="s">
        <v>3</v>
      </c>
      <c r="P87" s="18" t="s">
        <v>3</v>
      </c>
      <c r="Q87" s="18" t="s">
        <v>59</v>
      </c>
      <c r="R87" s="19"/>
      <c r="S87" s="20"/>
      <c r="T87" s="20" t="s">
        <v>45</v>
      </c>
      <c r="U87" s="20"/>
      <c r="V87" s="20"/>
      <c r="W87" s="20"/>
      <c r="X87" s="18"/>
    </row>
    <row r="88" spans="2:24" ht="32.1" hidden="1">
      <c r="B88" s="18" t="s">
        <v>387</v>
      </c>
      <c r="C88" s="18" t="s">
        <v>388</v>
      </c>
      <c r="D88" s="18" t="s">
        <v>389</v>
      </c>
      <c r="E88" s="18" t="s">
        <v>191</v>
      </c>
      <c r="F88" s="14">
        <v>2</v>
      </c>
      <c r="G88" s="14" t="s">
        <v>39</v>
      </c>
      <c r="H88" s="26" t="s">
        <v>0</v>
      </c>
      <c r="I88" s="26" t="s">
        <v>40</v>
      </c>
      <c r="J88" s="202">
        <v>45736</v>
      </c>
      <c r="K88" s="16" t="s">
        <v>394</v>
      </c>
      <c r="L88" s="47" t="s">
        <v>8</v>
      </c>
      <c r="M88" s="16" t="s">
        <v>395</v>
      </c>
      <c r="N88" s="16" t="s">
        <v>396</v>
      </c>
      <c r="O88" s="18" t="s">
        <v>3</v>
      </c>
      <c r="P88" s="18" t="s">
        <v>3</v>
      </c>
      <c r="Q88" s="18" t="s">
        <v>269</v>
      </c>
      <c r="R88" s="19"/>
      <c r="S88" s="20"/>
      <c r="T88" s="52" t="s">
        <v>45</v>
      </c>
      <c r="U88" s="20"/>
      <c r="V88" s="20"/>
      <c r="W88" s="20"/>
      <c r="X88" s="20"/>
    </row>
    <row r="89" spans="2:24" ht="43.5" hidden="1">
      <c r="B89" s="18" t="s">
        <v>387</v>
      </c>
      <c r="C89" s="18" t="s">
        <v>388</v>
      </c>
      <c r="D89" s="18" t="s">
        <v>397</v>
      </c>
      <c r="E89" s="18" t="s">
        <v>191</v>
      </c>
      <c r="F89" s="14">
        <v>3</v>
      </c>
      <c r="G89" s="14" t="s">
        <v>69</v>
      </c>
      <c r="H89" s="26" t="s">
        <v>114</v>
      </c>
      <c r="I89" s="26" t="s">
        <v>115</v>
      </c>
      <c r="J89" s="202">
        <v>45736</v>
      </c>
      <c r="K89" s="16" t="s">
        <v>398</v>
      </c>
      <c r="L89" s="47" t="s">
        <v>6</v>
      </c>
      <c r="M89" s="16" t="s">
        <v>399</v>
      </c>
      <c r="N89" s="120" t="s">
        <v>400</v>
      </c>
      <c r="O89" s="18" t="s">
        <v>3</v>
      </c>
      <c r="P89" s="18" t="s">
        <v>3</v>
      </c>
      <c r="Q89" s="18" t="s">
        <v>59</v>
      </c>
      <c r="R89" s="19"/>
      <c r="S89" s="20"/>
      <c r="T89" s="20" t="s">
        <v>45</v>
      </c>
      <c r="U89" s="20"/>
      <c r="V89" s="109" t="s">
        <v>401</v>
      </c>
      <c r="W89" s="20"/>
      <c r="X89" s="20"/>
    </row>
    <row r="90" spans="2:24" ht="32.1" hidden="1">
      <c r="B90" s="18" t="s">
        <v>387</v>
      </c>
      <c r="C90" s="18" t="s">
        <v>388</v>
      </c>
      <c r="D90" s="18" t="s">
        <v>397</v>
      </c>
      <c r="E90" s="18" t="s">
        <v>191</v>
      </c>
      <c r="F90" s="96">
        <v>1</v>
      </c>
      <c r="G90" s="96" t="s">
        <v>53</v>
      </c>
      <c r="H90" s="18" t="s">
        <v>54</v>
      </c>
      <c r="I90" s="26" t="s">
        <v>115</v>
      </c>
      <c r="J90" s="202">
        <v>45719</v>
      </c>
      <c r="K90" s="16" t="s">
        <v>402</v>
      </c>
      <c r="L90" s="18" t="s">
        <v>6</v>
      </c>
      <c r="M90" s="175" t="s">
        <v>403</v>
      </c>
      <c r="N90" s="175" t="s">
        <v>404</v>
      </c>
      <c r="O90" s="96" t="s">
        <v>3</v>
      </c>
      <c r="P90" s="96" t="s">
        <v>3</v>
      </c>
      <c r="Q90" s="18" t="s">
        <v>59</v>
      </c>
      <c r="R90" s="19"/>
      <c r="S90" s="19">
        <v>46028</v>
      </c>
      <c r="T90" s="20" t="s">
        <v>45</v>
      </c>
      <c r="U90" s="18"/>
      <c r="V90" s="18"/>
      <c r="W90" s="18"/>
      <c r="X90" s="20"/>
    </row>
    <row r="91" spans="2:24" ht="29.1" hidden="1">
      <c r="B91" s="18" t="s">
        <v>387</v>
      </c>
      <c r="C91" s="18" t="s">
        <v>388</v>
      </c>
      <c r="D91" s="18" t="s">
        <v>389</v>
      </c>
      <c r="E91" s="18" t="s">
        <v>191</v>
      </c>
      <c r="F91" s="14">
        <v>5</v>
      </c>
      <c r="G91" s="14" t="s">
        <v>53</v>
      </c>
      <c r="H91" s="26" t="s">
        <v>54</v>
      </c>
      <c r="I91" s="26" t="s">
        <v>40</v>
      </c>
      <c r="J91" s="203">
        <v>45755</v>
      </c>
      <c r="K91" s="16" t="s">
        <v>405</v>
      </c>
      <c r="L91" s="47" t="s">
        <v>8</v>
      </c>
      <c r="M91" s="16" t="s">
        <v>406</v>
      </c>
      <c r="N91" s="16" t="s">
        <v>407</v>
      </c>
      <c r="O91" s="18" t="s">
        <v>3</v>
      </c>
      <c r="P91" s="18" t="s">
        <v>3</v>
      </c>
      <c r="Q91" s="18" t="s">
        <v>53</v>
      </c>
      <c r="R91" s="19"/>
      <c r="S91" s="20"/>
      <c r="T91" s="52" t="s">
        <v>45</v>
      </c>
      <c r="U91" s="20"/>
      <c r="V91" s="20"/>
      <c r="W91" s="20"/>
      <c r="X91" s="20"/>
    </row>
    <row r="92" spans="2:24" ht="32.1" hidden="1">
      <c r="B92" s="18" t="s">
        <v>387</v>
      </c>
      <c r="C92" s="18" t="s">
        <v>388</v>
      </c>
      <c r="D92" s="18" t="s">
        <v>397</v>
      </c>
      <c r="E92" s="18" t="s">
        <v>191</v>
      </c>
      <c r="F92" s="96">
        <v>6</v>
      </c>
      <c r="G92" s="14" t="s">
        <v>69</v>
      </c>
      <c r="H92" s="26" t="s">
        <v>114</v>
      </c>
      <c r="I92" s="26" t="s">
        <v>115</v>
      </c>
      <c r="J92" s="202">
        <v>45757</v>
      </c>
      <c r="K92" s="16" t="s">
        <v>408</v>
      </c>
      <c r="L92" s="47" t="s">
        <v>6</v>
      </c>
      <c r="M92" s="18" t="s">
        <v>409</v>
      </c>
      <c r="N92" s="18" t="s">
        <v>410</v>
      </c>
      <c r="O92" s="18" t="s">
        <v>3</v>
      </c>
      <c r="P92" s="18" t="s">
        <v>3</v>
      </c>
      <c r="Q92" s="18" t="s">
        <v>53</v>
      </c>
      <c r="R92" s="19"/>
      <c r="S92" s="20"/>
      <c r="T92" s="20" t="s">
        <v>45</v>
      </c>
      <c r="U92" s="20"/>
      <c r="V92" s="108"/>
      <c r="W92" s="18"/>
      <c r="X92" s="18"/>
    </row>
    <row r="93" spans="2:24" ht="32.1" hidden="1">
      <c r="B93" s="18" t="s">
        <v>387</v>
      </c>
      <c r="C93" s="18" t="s">
        <v>388</v>
      </c>
      <c r="D93" s="18" t="s">
        <v>397</v>
      </c>
      <c r="E93" s="18" t="s">
        <v>191</v>
      </c>
      <c r="F93" s="96">
        <v>7</v>
      </c>
      <c r="G93" s="96" t="s">
        <v>39</v>
      </c>
      <c r="H93" s="26" t="s">
        <v>0</v>
      </c>
      <c r="I93" s="26" t="s">
        <v>86</v>
      </c>
      <c r="J93" s="203">
        <v>45722</v>
      </c>
      <c r="K93" s="16" t="s">
        <v>411</v>
      </c>
      <c r="L93" s="18" t="s">
        <v>6</v>
      </c>
      <c r="M93" s="18" t="s">
        <v>412</v>
      </c>
      <c r="N93" s="18" t="s">
        <v>413</v>
      </c>
      <c r="O93" s="96" t="s">
        <v>3</v>
      </c>
      <c r="P93" s="96" t="s">
        <v>3</v>
      </c>
      <c r="Q93" s="18" t="s">
        <v>269</v>
      </c>
      <c r="R93" s="19"/>
      <c r="S93" s="96"/>
      <c r="T93" s="96" t="s">
        <v>45</v>
      </c>
      <c r="U93" s="18"/>
      <c r="V93" s="18" t="s">
        <v>414</v>
      </c>
      <c r="W93" s="18"/>
      <c r="X93" s="18"/>
    </row>
    <row r="94" spans="2:24" ht="29.1" hidden="1">
      <c r="B94" s="18" t="s">
        <v>387</v>
      </c>
      <c r="C94" s="18" t="s">
        <v>388</v>
      </c>
      <c r="D94" s="18" t="s">
        <v>397</v>
      </c>
      <c r="E94" s="18" t="s">
        <v>191</v>
      </c>
      <c r="F94" s="96">
        <v>8</v>
      </c>
      <c r="G94" s="14" t="s">
        <v>69</v>
      </c>
      <c r="H94" s="26" t="s">
        <v>415</v>
      </c>
      <c r="I94" s="26" t="s">
        <v>86</v>
      </c>
      <c r="J94" s="202">
        <v>45766</v>
      </c>
      <c r="K94" s="16" t="s">
        <v>416</v>
      </c>
      <c r="L94" s="47" t="s">
        <v>6</v>
      </c>
      <c r="M94" s="18" t="s">
        <v>417</v>
      </c>
      <c r="N94" s="18" t="s">
        <v>418</v>
      </c>
      <c r="O94" s="18" t="s">
        <v>3</v>
      </c>
      <c r="P94" s="18" t="s">
        <v>3</v>
      </c>
      <c r="Q94" s="18" t="s">
        <v>195</v>
      </c>
      <c r="R94" s="19"/>
      <c r="S94" s="20"/>
      <c r="T94" s="20" t="s">
        <v>45</v>
      </c>
      <c r="U94" s="20"/>
      <c r="V94" s="108"/>
      <c r="W94" s="18"/>
      <c r="X94" s="18"/>
    </row>
    <row r="95" spans="2:24" ht="43.5" hidden="1">
      <c r="B95" s="18" t="s">
        <v>387</v>
      </c>
      <c r="C95" s="18" t="s">
        <v>388</v>
      </c>
      <c r="D95" s="18" t="s">
        <v>397</v>
      </c>
      <c r="E95" s="18" t="s">
        <v>191</v>
      </c>
      <c r="F95" s="96">
        <v>2</v>
      </c>
      <c r="G95" s="96" t="s">
        <v>39</v>
      </c>
      <c r="H95" s="18" t="s">
        <v>86</v>
      </c>
      <c r="I95" s="26" t="s">
        <v>86</v>
      </c>
      <c r="J95" s="203">
        <v>45766</v>
      </c>
      <c r="K95" s="16" t="s">
        <v>419</v>
      </c>
      <c r="L95" s="18" t="s">
        <v>6</v>
      </c>
      <c r="M95" s="175" t="s">
        <v>420</v>
      </c>
      <c r="N95" s="175" t="s">
        <v>421</v>
      </c>
      <c r="O95" s="96" t="s">
        <v>3</v>
      </c>
      <c r="P95" s="96" t="s">
        <v>3</v>
      </c>
      <c r="Q95" s="18" t="s">
        <v>195</v>
      </c>
      <c r="R95" s="19"/>
      <c r="S95" s="96"/>
      <c r="T95" s="20" t="s">
        <v>45</v>
      </c>
      <c r="U95" s="18"/>
      <c r="V95" s="18"/>
      <c r="W95" s="18"/>
      <c r="X95" s="18"/>
    </row>
    <row r="96" spans="2:24" ht="29.1" hidden="1">
      <c r="B96" s="18" t="s">
        <v>387</v>
      </c>
      <c r="C96" s="18" t="s">
        <v>388</v>
      </c>
      <c r="D96" s="18" t="s">
        <v>397</v>
      </c>
      <c r="E96" s="18" t="s">
        <v>191</v>
      </c>
      <c r="F96" s="96">
        <v>3</v>
      </c>
      <c r="G96" s="96" t="s">
        <v>69</v>
      </c>
      <c r="H96" s="18" t="s">
        <v>422</v>
      </c>
      <c r="I96" s="26" t="s">
        <v>40</v>
      </c>
      <c r="J96" s="203"/>
      <c r="K96" s="16" t="s">
        <v>423</v>
      </c>
      <c r="L96" s="18" t="s">
        <v>6</v>
      </c>
      <c r="M96" s="175" t="s">
        <v>424</v>
      </c>
      <c r="N96" s="175" t="s">
        <v>425</v>
      </c>
      <c r="O96" s="96" t="s">
        <v>3</v>
      </c>
      <c r="P96" s="96" t="s">
        <v>3</v>
      </c>
      <c r="Q96" s="18" t="s">
        <v>426</v>
      </c>
      <c r="R96" s="19">
        <v>45930</v>
      </c>
      <c r="S96" s="19">
        <v>46044</v>
      </c>
      <c r="T96" s="20" t="s">
        <v>45</v>
      </c>
      <c r="U96" s="18" t="s">
        <v>427</v>
      </c>
      <c r="V96" s="18"/>
      <c r="W96" s="18"/>
      <c r="X96" s="18"/>
    </row>
    <row r="97" spans="2:24" ht="32.1" hidden="1">
      <c r="B97" s="18" t="s">
        <v>387</v>
      </c>
      <c r="C97" s="18" t="s">
        <v>388</v>
      </c>
      <c r="D97" s="18" t="s">
        <v>397</v>
      </c>
      <c r="E97" s="18" t="s">
        <v>191</v>
      </c>
      <c r="F97" s="96">
        <v>4</v>
      </c>
      <c r="G97" s="96" t="s">
        <v>39</v>
      </c>
      <c r="H97" s="26" t="s">
        <v>0</v>
      </c>
      <c r="I97" s="26" t="s">
        <v>207</v>
      </c>
      <c r="J97" s="203"/>
      <c r="K97" s="66" t="s">
        <v>428</v>
      </c>
      <c r="L97" s="18" t="s">
        <v>6</v>
      </c>
      <c r="M97" s="175" t="s">
        <v>301</v>
      </c>
      <c r="N97" s="175" t="s">
        <v>302</v>
      </c>
      <c r="O97" s="96" t="s">
        <v>3</v>
      </c>
      <c r="P97" s="96" t="s">
        <v>3</v>
      </c>
      <c r="Q97" s="18" t="s">
        <v>269</v>
      </c>
      <c r="R97" s="19"/>
      <c r="S97" s="19"/>
      <c r="T97" s="20" t="s">
        <v>45</v>
      </c>
      <c r="U97" s="18"/>
      <c r="V97" s="18"/>
      <c r="W97" s="18"/>
      <c r="X97" s="18"/>
    </row>
    <row r="98" spans="2:24" ht="32.1" hidden="1">
      <c r="B98" s="18" t="s">
        <v>387</v>
      </c>
      <c r="C98" s="18" t="s">
        <v>388</v>
      </c>
      <c r="D98" s="18" t="s">
        <v>397</v>
      </c>
      <c r="E98" s="18" t="s">
        <v>191</v>
      </c>
      <c r="F98" s="96">
        <v>5</v>
      </c>
      <c r="G98" s="96" t="s">
        <v>69</v>
      </c>
      <c r="H98" s="18" t="s">
        <v>114</v>
      </c>
      <c r="I98" s="26" t="s">
        <v>115</v>
      </c>
      <c r="J98" s="203"/>
      <c r="K98" s="16" t="s">
        <v>429</v>
      </c>
      <c r="L98" s="18" t="s">
        <v>6</v>
      </c>
      <c r="M98" s="175" t="s">
        <v>301</v>
      </c>
      <c r="N98" s="175" t="s">
        <v>430</v>
      </c>
      <c r="O98" s="96" t="s">
        <v>3</v>
      </c>
      <c r="P98" s="96" t="s">
        <v>3</v>
      </c>
      <c r="Q98" s="18" t="s">
        <v>79</v>
      </c>
      <c r="R98" s="19"/>
      <c r="S98" s="19"/>
      <c r="T98" s="20" t="s">
        <v>45</v>
      </c>
      <c r="U98" s="18"/>
      <c r="V98" s="18"/>
      <c r="W98" s="18"/>
      <c r="X98" s="18"/>
    </row>
    <row r="99" spans="2:24" ht="32.1" hidden="1">
      <c r="B99" s="18" t="s">
        <v>387</v>
      </c>
      <c r="C99" s="18" t="s">
        <v>388</v>
      </c>
      <c r="D99" s="18" t="s">
        <v>397</v>
      </c>
      <c r="E99" s="18" t="s">
        <v>191</v>
      </c>
      <c r="F99" s="96">
        <v>6</v>
      </c>
      <c r="G99" s="96" t="s">
        <v>39</v>
      </c>
      <c r="H99" s="26" t="s">
        <v>0</v>
      </c>
      <c r="I99" s="26" t="s">
        <v>207</v>
      </c>
      <c r="J99" s="203"/>
      <c r="K99" s="66" t="s">
        <v>431</v>
      </c>
      <c r="L99" s="18" t="s">
        <v>6</v>
      </c>
      <c r="M99" s="179" t="s">
        <v>301</v>
      </c>
      <c r="N99" s="176" t="s">
        <v>432</v>
      </c>
      <c r="O99" s="96" t="s">
        <v>5</v>
      </c>
      <c r="P99" s="96" t="s">
        <v>3</v>
      </c>
      <c r="Q99" s="18" t="s">
        <v>269</v>
      </c>
      <c r="R99" s="19"/>
      <c r="S99" s="19"/>
      <c r="T99" s="20" t="s">
        <v>45</v>
      </c>
      <c r="U99" s="18"/>
      <c r="V99" s="18"/>
      <c r="W99" s="18"/>
      <c r="X99" s="18"/>
    </row>
    <row r="100" spans="2:24" ht="43.5" hidden="1">
      <c r="B100" s="18" t="s">
        <v>387</v>
      </c>
      <c r="C100" s="18" t="s">
        <v>388</v>
      </c>
      <c r="D100" s="18" t="s">
        <v>397</v>
      </c>
      <c r="E100" s="18" t="s">
        <v>191</v>
      </c>
      <c r="F100" s="96">
        <v>7</v>
      </c>
      <c r="G100" s="96" t="s">
        <v>39</v>
      </c>
      <c r="H100" s="26" t="s">
        <v>0</v>
      </c>
      <c r="I100" s="26" t="s">
        <v>207</v>
      </c>
      <c r="J100" s="203"/>
      <c r="K100" s="66" t="s">
        <v>433</v>
      </c>
      <c r="L100" s="18" t="s">
        <v>6</v>
      </c>
      <c r="M100" s="179" t="s">
        <v>301</v>
      </c>
      <c r="N100" s="176" t="s">
        <v>434</v>
      </c>
      <c r="O100" s="96" t="s">
        <v>3</v>
      </c>
      <c r="P100" s="96" t="s">
        <v>3</v>
      </c>
      <c r="Q100" s="18" t="s">
        <v>269</v>
      </c>
      <c r="R100" s="19"/>
      <c r="S100" s="19"/>
      <c r="T100" s="20" t="s">
        <v>45</v>
      </c>
      <c r="U100" s="18"/>
      <c r="V100" s="18"/>
      <c r="W100" s="18"/>
      <c r="X100" s="18"/>
    </row>
    <row r="101" spans="2:24" ht="29.1" hidden="1">
      <c r="B101" s="18" t="s">
        <v>387</v>
      </c>
      <c r="C101" s="18" t="s">
        <v>388</v>
      </c>
      <c r="D101" s="18" t="s">
        <v>397</v>
      </c>
      <c r="E101" s="18" t="s">
        <v>191</v>
      </c>
      <c r="F101" s="96">
        <v>8</v>
      </c>
      <c r="G101" s="96" t="s">
        <v>53</v>
      </c>
      <c r="H101" s="26" t="s">
        <v>54</v>
      </c>
      <c r="I101" s="26" t="s">
        <v>40</v>
      </c>
      <c r="J101" s="203"/>
      <c r="K101" s="16" t="s">
        <v>435</v>
      </c>
      <c r="L101" s="18" t="s">
        <v>4</v>
      </c>
      <c r="M101" s="176" t="s">
        <v>436</v>
      </c>
      <c r="N101" s="176" t="s">
        <v>437</v>
      </c>
      <c r="O101" s="96" t="s">
        <v>3</v>
      </c>
      <c r="P101" s="96" t="s">
        <v>3</v>
      </c>
      <c r="Q101" s="18" t="s">
        <v>54</v>
      </c>
      <c r="R101" s="19"/>
      <c r="S101" s="19">
        <v>46249</v>
      </c>
      <c r="T101" s="20" t="s">
        <v>65</v>
      </c>
      <c r="U101" s="18" t="s">
        <v>438</v>
      </c>
      <c r="V101" s="18" t="s">
        <v>439</v>
      </c>
      <c r="W101" s="18"/>
      <c r="X101" s="18" t="s">
        <v>440</v>
      </c>
    </row>
    <row r="102" spans="2:24" ht="29.1" hidden="1">
      <c r="B102" s="18" t="s">
        <v>387</v>
      </c>
      <c r="C102" s="18" t="s">
        <v>388</v>
      </c>
      <c r="D102" s="18" t="s">
        <v>397</v>
      </c>
      <c r="E102" s="18" t="s">
        <v>191</v>
      </c>
      <c r="F102" s="96">
        <v>9</v>
      </c>
      <c r="G102" s="96" t="s">
        <v>53</v>
      </c>
      <c r="H102" s="26" t="s">
        <v>54</v>
      </c>
      <c r="I102" s="26" t="s">
        <v>40</v>
      </c>
      <c r="J102" s="203"/>
      <c r="K102" s="16" t="s">
        <v>441</v>
      </c>
      <c r="L102" s="18" t="s">
        <v>4</v>
      </c>
      <c r="M102" s="176" t="s">
        <v>442</v>
      </c>
      <c r="N102" s="176" t="s">
        <v>443</v>
      </c>
      <c r="O102" s="96" t="s">
        <v>3</v>
      </c>
      <c r="P102" s="96" t="s">
        <v>3</v>
      </c>
      <c r="Q102" s="18" t="s">
        <v>54</v>
      </c>
      <c r="R102" s="19"/>
      <c r="S102" s="19"/>
      <c r="T102" s="20" t="s">
        <v>45</v>
      </c>
      <c r="U102" s="18" t="s">
        <v>444</v>
      </c>
      <c r="V102" s="18"/>
      <c r="W102" s="18"/>
      <c r="X102" s="18"/>
    </row>
    <row r="103" spans="2:24" ht="29.1" hidden="1">
      <c r="B103" s="18" t="s">
        <v>387</v>
      </c>
      <c r="C103" s="18" t="s">
        <v>388</v>
      </c>
      <c r="D103" s="18" t="s">
        <v>397</v>
      </c>
      <c r="E103" s="18" t="s">
        <v>191</v>
      </c>
      <c r="F103" s="96">
        <v>10</v>
      </c>
      <c r="G103" s="96" t="s">
        <v>445</v>
      </c>
      <c r="H103" s="26" t="s">
        <v>54</v>
      </c>
      <c r="I103" s="26" t="s">
        <v>46</v>
      </c>
      <c r="J103" s="203"/>
      <c r="K103" s="16" t="s">
        <v>446</v>
      </c>
      <c r="L103" s="18" t="s">
        <v>4</v>
      </c>
      <c r="M103" s="176" t="s">
        <v>447</v>
      </c>
      <c r="N103" s="176" t="s">
        <v>448</v>
      </c>
      <c r="O103" s="96" t="s">
        <v>3</v>
      </c>
      <c r="P103" s="96" t="s">
        <v>3</v>
      </c>
      <c r="Q103" s="18" t="s">
        <v>449</v>
      </c>
      <c r="R103" s="19"/>
      <c r="S103" s="19">
        <v>46072</v>
      </c>
      <c r="T103" s="20" t="s">
        <v>450</v>
      </c>
      <c r="U103" s="18"/>
      <c r="V103" s="18"/>
      <c r="W103" s="18"/>
      <c r="X103" s="18"/>
    </row>
    <row r="104" spans="2:24" ht="57.95" hidden="1">
      <c r="B104" s="18" t="s">
        <v>387</v>
      </c>
      <c r="C104" s="18" t="s">
        <v>388</v>
      </c>
      <c r="D104" s="18" t="s">
        <v>397</v>
      </c>
      <c r="E104" s="18" t="s">
        <v>191</v>
      </c>
      <c r="F104" s="96">
        <v>11</v>
      </c>
      <c r="G104" s="96" t="s">
        <v>39</v>
      </c>
      <c r="H104" s="199" t="s">
        <v>0</v>
      </c>
      <c r="I104" s="26" t="s">
        <v>207</v>
      </c>
      <c r="J104" s="203"/>
      <c r="K104" s="16" t="s">
        <v>451</v>
      </c>
      <c r="L104" s="18" t="s">
        <v>4</v>
      </c>
      <c r="M104" s="192" t="s">
        <v>452</v>
      </c>
      <c r="N104" s="192" t="s">
        <v>453</v>
      </c>
      <c r="O104" s="96" t="s">
        <v>3</v>
      </c>
      <c r="P104" s="96" t="s">
        <v>3</v>
      </c>
      <c r="Q104" s="18" t="s">
        <v>269</v>
      </c>
      <c r="R104" s="19"/>
      <c r="S104" s="19">
        <v>46160</v>
      </c>
      <c r="T104" s="20" t="s">
        <v>450</v>
      </c>
      <c r="U104" s="18" t="s">
        <v>454</v>
      </c>
      <c r="V104" s="18"/>
      <c r="W104" s="18"/>
      <c r="X104" s="18" t="s">
        <v>455</v>
      </c>
    </row>
    <row r="105" spans="2:24" ht="57.95" hidden="1">
      <c r="B105" s="18" t="s">
        <v>387</v>
      </c>
      <c r="C105" s="18" t="s">
        <v>388</v>
      </c>
      <c r="D105" s="18" t="s">
        <v>397</v>
      </c>
      <c r="E105" s="18" t="s">
        <v>191</v>
      </c>
      <c r="F105" s="96">
        <v>12</v>
      </c>
      <c r="G105" s="96" t="s">
        <v>39</v>
      </c>
      <c r="H105" s="199" t="s">
        <v>0</v>
      </c>
      <c r="I105" s="26" t="s">
        <v>207</v>
      </c>
      <c r="J105" s="203"/>
      <c r="K105" s="16" t="s">
        <v>456</v>
      </c>
      <c r="L105" s="18" t="s">
        <v>4</v>
      </c>
      <c r="M105" s="192" t="s">
        <v>452</v>
      </c>
      <c r="N105" s="192" t="s">
        <v>457</v>
      </c>
      <c r="O105" s="96" t="s">
        <v>3</v>
      </c>
      <c r="P105" s="96" t="s">
        <v>3</v>
      </c>
      <c r="Q105" s="18" t="s">
        <v>269</v>
      </c>
      <c r="R105" s="19"/>
      <c r="S105" s="19">
        <v>46160</v>
      </c>
      <c r="T105" s="20" t="s">
        <v>450</v>
      </c>
      <c r="U105" s="18" t="s">
        <v>454</v>
      </c>
      <c r="V105" s="18"/>
      <c r="W105" s="18"/>
      <c r="X105" s="18" t="s">
        <v>458</v>
      </c>
    </row>
    <row r="106" spans="2:24" ht="29.1" hidden="1">
      <c r="B106" s="18" t="s">
        <v>387</v>
      </c>
      <c r="C106" s="18" t="s">
        <v>388</v>
      </c>
      <c r="D106" s="18" t="s">
        <v>397</v>
      </c>
      <c r="E106" s="18" t="s">
        <v>191</v>
      </c>
      <c r="F106" s="96">
        <v>13</v>
      </c>
      <c r="G106" s="96" t="s">
        <v>39</v>
      </c>
      <c r="H106" s="199" t="s">
        <v>0</v>
      </c>
      <c r="I106" s="26" t="s">
        <v>207</v>
      </c>
      <c r="J106" s="203"/>
      <c r="K106" s="16" t="s">
        <v>459</v>
      </c>
      <c r="L106" s="18" t="s">
        <v>6</v>
      </c>
      <c r="M106" s="192" t="s">
        <v>460</v>
      </c>
      <c r="N106" s="192" t="s">
        <v>461</v>
      </c>
      <c r="O106" s="96" t="s">
        <v>3</v>
      </c>
      <c r="P106" s="96" t="s">
        <v>3</v>
      </c>
      <c r="Q106" s="18" t="s">
        <v>269</v>
      </c>
      <c r="R106" s="19"/>
      <c r="S106" s="19">
        <v>46161</v>
      </c>
      <c r="T106" s="20" t="s">
        <v>450</v>
      </c>
      <c r="U106" s="18"/>
      <c r="V106" s="18" t="s">
        <v>462</v>
      </c>
      <c r="W106" s="18"/>
      <c r="X106" s="18" t="s">
        <v>463</v>
      </c>
    </row>
    <row r="107" spans="2:24" ht="29.1" hidden="1">
      <c r="B107" s="18" t="s">
        <v>387</v>
      </c>
      <c r="C107" s="18" t="s">
        <v>388</v>
      </c>
      <c r="D107" s="18" t="s">
        <v>397</v>
      </c>
      <c r="E107" s="18" t="s">
        <v>191</v>
      </c>
      <c r="F107" s="96">
        <v>14</v>
      </c>
      <c r="G107" s="96" t="s">
        <v>53</v>
      </c>
      <c r="H107" s="113" t="s">
        <v>464</v>
      </c>
      <c r="I107" s="26" t="s">
        <v>55</v>
      </c>
      <c r="J107" s="203"/>
      <c r="K107" s="16" t="s">
        <v>465</v>
      </c>
      <c r="L107" s="18" t="s">
        <v>4</v>
      </c>
      <c r="M107" s="192" t="s">
        <v>466</v>
      </c>
      <c r="N107" s="192" t="s">
        <v>467</v>
      </c>
      <c r="O107" s="96" t="s">
        <v>3</v>
      </c>
      <c r="P107" s="96" t="s">
        <v>3</v>
      </c>
      <c r="Q107" s="18" t="s">
        <v>468</v>
      </c>
      <c r="R107" s="19"/>
      <c r="S107" s="19">
        <v>46233</v>
      </c>
      <c r="T107" s="20" t="s">
        <v>65</v>
      </c>
      <c r="U107" s="18" t="s">
        <v>469</v>
      </c>
      <c r="V107" s="18"/>
      <c r="W107" s="18"/>
      <c r="X107" s="18" t="s">
        <v>470</v>
      </c>
    </row>
    <row r="108" spans="2:24" ht="29.1" hidden="1">
      <c r="B108" s="18" t="s">
        <v>387</v>
      </c>
      <c r="C108" s="18" t="s">
        <v>471</v>
      </c>
      <c r="D108" s="18" t="s">
        <v>397</v>
      </c>
      <c r="E108" s="18" t="s">
        <v>191</v>
      </c>
      <c r="F108" s="96">
        <v>15</v>
      </c>
      <c r="G108" s="96" t="s">
        <v>39</v>
      </c>
      <c r="H108" s="113" t="s">
        <v>472</v>
      </c>
      <c r="I108" s="26" t="s">
        <v>81</v>
      </c>
      <c r="J108" s="203"/>
      <c r="K108" s="16" t="s">
        <v>473</v>
      </c>
      <c r="L108" s="18" t="s">
        <v>4</v>
      </c>
      <c r="M108" s="192" t="s">
        <v>474</v>
      </c>
      <c r="N108" s="192" t="s">
        <v>475</v>
      </c>
      <c r="O108" s="96" t="s">
        <v>3</v>
      </c>
      <c r="P108" s="96" t="s">
        <v>3</v>
      </c>
      <c r="Q108" s="18" t="s">
        <v>59</v>
      </c>
      <c r="R108" s="19"/>
      <c r="S108" s="19"/>
      <c r="T108" s="20" t="s">
        <v>65</v>
      </c>
      <c r="U108" s="18"/>
      <c r="V108" s="18" t="s">
        <v>476</v>
      </c>
      <c r="W108" s="18"/>
      <c r="X108" s="18"/>
    </row>
    <row r="109" spans="2:24" ht="32.1" hidden="1">
      <c r="B109" s="10" t="s">
        <v>477</v>
      </c>
      <c r="C109" s="10" t="s">
        <v>478</v>
      </c>
      <c r="D109" s="76" t="s">
        <v>479</v>
      </c>
      <c r="E109" s="10" t="s">
        <v>38</v>
      </c>
      <c r="F109" s="121">
        <v>1</v>
      </c>
      <c r="G109" s="121" t="s">
        <v>53</v>
      </c>
      <c r="H109" s="26" t="s">
        <v>54</v>
      </c>
      <c r="I109" s="26" t="s">
        <v>153</v>
      </c>
      <c r="J109" s="206"/>
      <c r="K109" s="18" t="s">
        <v>480</v>
      </c>
      <c r="L109" s="47" t="s">
        <v>4</v>
      </c>
      <c r="M109" s="18" t="s">
        <v>481</v>
      </c>
      <c r="N109" s="18" t="s">
        <v>482</v>
      </c>
      <c r="O109" s="18" t="s">
        <v>3</v>
      </c>
      <c r="P109" s="18" t="s">
        <v>3</v>
      </c>
      <c r="Q109" s="18" t="s">
        <v>112</v>
      </c>
      <c r="R109" s="94">
        <v>45823</v>
      </c>
      <c r="S109" s="20">
        <v>45828</v>
      </c>
      <c r="T109" s="20" t="s">
        <v>45</v>
      </c>
      <c r="U109" s="12"/>
      <c r="V109" s="12"/>
      <c r="W109" s="12"/>
      <c r="X109" s="12"/>
    </row>
    <row r="110" spans="2:24" ht="57.95" hidden="1">
      <c r="B110" s="18" t="s">
        <v>477</v>
      </c>
      <c r="C110" s="18" t="s">
        <v>478</v>
      </c>
      <c r="D110" s="76" t="s">
        <v>479</v>
      </c>
      <c r="E110" s="18" t="s">
        <v>38</v>
      </c>
      <c r="F110" s="14">
        <v>2</v>
      </c>
      <c r="G110" s="14" t="s">
        <v>53</v>
      </c>
      <c r="H110" s="26" t="s">
        <v>54</v>
      </c>
      <c r="I110" s="26" t="s">
        <v>153</v>
      </c>
      <c r="J110" s="202"/>
      <c r="K110" s="18" t="s">
        <v>483</v>
      </c>
      <c r="L110" s="47" t="s">
        <v>4</v>
      </c>
      <c r="M110" s="18" t="s">
        <v>484</v>
      </c>
      <c r="N110" s="18" t="s">
        <v>485</v>
      </c>
      <c r="O110" s="18" t="s">
        <v>3</v>
      </c>
      <c r="P110" s="18" t="s">
        <v>3</v>
      </c>
      <c r="Q110" s="18" t="s">
        <v>112</v>
      </c>
      <c r="R110" s="94"/>
      <c r="S110" s="20">
        <v>45868</v>
      </c>
      <c r="T110" s="20" t="s">
        <v>65</v>
      </c>
      <c r="U110" s="20"/>
      <c r="V110" s="20"/>
      <c r="W110" s="20"/>
      <c r="X110" s="20"/>
    </row>
    <row r="111" spans="2:24" ht="29.1" hidden="1">
      <c r="B111" s="10" t="s">
        <v>477</v>
      </c>
      <c r="C111" s="10" t="s">
        <v>478</v>
      </c>
      <c r="D111" s="76" t="s">
        <v>479</v>
      </c>
      <c r="E111" s="10" t="s">
        <v>38</v>
      </c>
      <c r="F111" s="121">
        <v>3</v>
      </c>
      <c r="G111" s="121" t="s">
        <v>69</v>
      </c>
      <c r="H111" s="98" t="s">
        <v>486</v>
      </c>
      <c r="I111" s="98" t="s">
        <v>40</v>
      </c>
      <c r="J111" s="206"/>
      <c r="K111" s="10" t="s">
        <v>487</v>
      </c>
      <c r="L111" s="47" t="s">
        <v>6</v>
      </c>
      <c r="M111" s="122" t="s">
        <v>488</v>
      </c>
      <c r="N111" s="10" t="s">
        <v>489</v>
      </c>
      <c r="O111" s="10" t="s">
        <v>3</v>
      </c>
      <c r="P111" s="10" t="s">
        <v>3</v>
      </c>
      <c r="Q111" s="10" t="s">
        <v>99</v>
      </c>
      <c r="R111" s="11"/>
      <c r="S111" s="12">
        <v>45899</v>
      </c>
      <c r="T111" s="20" t="s">
        <v>65</v>
      </c>
      <c r="U111" s="12"/>
      <c r="V111" s="12"/>
      <c r="W111" s="12"/>
      <c r="X111" s="12"/>
    </row>
    <row r="112" spans="2:24" ht="29.1" hidden="1">
      <c r="B112" s="18" t="s">
        <v>477</v>
      </c>
      <c r="C112" s="18" t="s">
        <v>478</v>
      </c>
      <c r="D112" s="76" t="s">
        <v>479</v>
      </c>
      <c r="E112" s="18" t="s">
        <v>38</v>
      </c>
      <c r="F112" s="14">
        <v>4</v>
      </c>
      <c r="G112" s="14" t="s">
        <v>53</v>
      </c>
      <c r="H112" s="26" t="s">
        <v>54</v>
      </c>
      <c r="I112" s="26" t="s">
        <v>75</v>
      </c>
      <c r="J112" s="202"/>
      <c r="K112" s="18" t="s">
        <v>490</v>
      </c>
      <c r="L112" s="47" t="s">
        <v>4</v>
      </c>
      <c r="M112" s="18" t="s">
        <v>491</v>
      </c>
      <c r="N112" s="18" t="s">
        <v>492</v>
      </c>
      <c r="O112" s="18" t="s">
        <v>3</v>
      </c>
      <c r="P112" s="18" t="s">
        <v>3</v>
      </c>
      <c r="Q112" s="18" t="s">
        <v>112</v>
      </c>
      <c r="R112" s="94"/>
      <c r="S112" s="20">
        <v>45868</v>
      </c>
      <c r="T112" s="20" t="s">
        <v>65</v>
      </c>
      <c r="U112" s="20"/>
      <c r="V112" s="20"/>
      <c r="W112" s="20"/>
      <c r="X112" s="20"/>
    </row>
    <row r="113" spans="2:24" ht="43.5" hidden="1">
      <c r="B113" s="18" t="s">
        <v>477</v>
      </c>
      <c r="C113" s="18" t="s">
        <v>478</v>
      </c>
      <c r="D113" s="76" t="s">
        <v>479</v>
      </c>
      <c r="E113" s="18" t="s">
        <v>38</v>
      </c>
      <c r="F113" s="14">
        <v>5</v>
      </c>
      <c r="G113" s="14" t="s">
        <v>53</v>
      </c>
      <c r="H113" s="26" t="s">
        <v>54</v>
      </c>
      <c r="I113" s="26" t="s">
        <v>493</v>
      </c>
      <c r="J113" s="202"/>
      <c r="K113" s="18" t="s">
        <v>494</v>
      </c>
      <c r="L113" s="47" t="s">
        <v>8</v>
      </c>
      <c r="M113" s="18" t="s">
        <v>495</v>
      </c>
      <c r="N113" s="18" t="s">
        <v>496</v>
      </c>
      <c r="O113" s="18" t="s">
        <v>7</v>
      </c>
      <c r="P113" s="18" t="s">
        <v>3</v>
      </c>
      <c r="Q113" s="18" t="s">
        <v>112</v>
      </c>
      <c r="R113" s="94"/>
      <c r="S113" s="20"/>
      <c r="T113" s="20" t="s">
        <v>45</v>
      </c>
      <c r="U113" s="20"/>
      <c r="V113" s="20"/>
      <c r="W113" s="20"/>
      <c r="X113" s="20"/>
    </row>
    <row r="114" spans="2:24" ht="32.1" hidden="1">
      <c r="B114" s="18" t="s">
        <v>497</v>
      </c>
      <c r="C114" s="18" t="s">
        <v>498</v>
      </c>
      <c r="D114" s="18" t="s">
        <v>499</v>
      </c>
      <c r="E114" s="18" t="s">
        <v>38</v>
      </c>
      <c r="F114" s="96">
        <v>1</v>
      </c>
      <c r="G114" s="14" t="s">
        <v>53</v>
      </c>
      <c r="H114" s="18" t="s">
        <v>500</v>
      </c>
      <c r="I114" s="26" t="s">
        <v>153</v>
      </c>
      <c r="J114" s="202"/>
      <c r="K114" s="18" t="s">
        <v>501</v>
      </c>
      <c r="L114" s="47" t="s">
        <v>4</v>
      </c>
      <c r="M114" s="18" t="s">
        <v>502</v>
      </c>
      <c r="N114" s="18" t="s">
        <v>503</v>
      </c>
      <c r="O114" s="18"/>
      <c r="P114" s="18"/>
      <c r="Q114" s="18" t="s">
        <v>500</v>
      </c>
      <c r="R114" s="19"/>
      <c r="S114" s="20"/>
      <c r="T114" s="96" t="s">
        <v>45</v>
      </c>
      <c r="U114" s="20" t="s">
        <v>504</v>
      </c>
      <c r="V114" s="108"/>
      <c r="W114" s="18"/>
      <c r="X114" s="18"/>
    </row>
    <row r="115" spans="2:24" ht="29.1" hidden="1">
      <c r="B115" s="18" t="s">
        <v>497</v>
      </c>
      <c r="C115" s="18" t="s">
        <v>498</v>
      </c>
      <c r="D115" s="18" t="s">
        <v>499</v>
      </c>
      <c r="E115" s="18" t="s">
        <v>38</v>
      </c>
      <c r="F115" s="96">
        <v>2</v>
      </c>
      <c r="G115" s="14" t="s">
        <v>53</v>
      </c>
      <c r="H115" s="18" t="s">
        <v>500</v>
      </c>
      <c r="I115" s="26" t="s">
        <v>55</v>
      </c>
      <c r="J115" s="202"/>
      <c r="K115" s="18" t="s">
        <v>505</v>
      </c>
      <c r="L115" s="47" t="s">
        <v>4</v>
      </c>
      <c r="M115" s="18" t="s">
        <v>506</v>
      </c>
      <c r="N115" s="18" t="s">
        <v>507</v>
      </c>
      <c r="O115" s="18" t="s">
        <v>3</v>
      </c>
      <c r="P115" s="18" t="s">
        <v>3</v>
      </c>
      <c r="Q115" s="18" t="s">
        <v>500</v>
      </c>
      <c r="R115" s="19"/>
      <c r="S115" s="20">
        <v>46249</v>
      </c>
      <c r="T115" s="96" t="s">
        <v>65</v>
      </c>
      <c r="U115" s="20"/>
      <c r="V115" s="108"/>
      <c r="W115" s="18"/>
      <c r="X115" s="18"/>
    </row>
    <row r="116" spans="2:24" ht="29.1" hidden="1">
      <c r="B116" s="18" t="s">
        <v>508</v>
      </c>
      <c r="C116" s="18" t="s">
        <v>509</v>
      </c>
      <c r="D116" s="18" t="s">
        <v>510</v>
      </c>
      <c r="E116" s="18" t="s">
        <v>191</v>
      </c>
      <c r="F116" s="96">
        <v>1</v>
      </c>
      <c r="G116" s="14" t="s">
        <v>53</v>
      </c>
      <c r="H116" s="26" t="s">
        <v>54</v>
      </c>
      <c r="I116" s="26" t="s">
        <v>511</v>
      </c>
      <c r="J116" s="202"/>
      <c r="K116" s="18" t="s">
        <v>512</v>
      </c>
      <c r="L116" s="47" t="s">
        <v>4</v>
      </c>
      <c r="M116" s="18" t="s">
        <v>513</v>
      </c>
      <c r="N116" s="18" t="s">
        <v>514</v>
      </c>
      <c r="O116" s="18" t="s">
        <v>3</v>
      </c>
      <c r="P116" s="18" t="s">
        <v>3</v>
      </c>
      <c r="Q116" s="18" t="s">
        <v>53</v>
      </c>
      <c r="R116" s="19">
        <v>45956</v>
      </c>
      <c r="S116" s="20">
        <v>45956</v>
      </c>
      <c r="T116" s="20" t="s">
        <v>45</v>
      </c>
      <c r="U116" s="20"/>
      <c r="V116" s="108"/>
      <c r="W116" s="18"/>
      <c r="X116" s="18"/>
    </row>
    <row r="117" spans="2:24" ht="29.1" hidden="1">
      <c r="B117" s="18" t="s">
        <v>515</v>
      </c>
      <c r="C117" s="18" t="s">
        <v>516</v>
      </c>
      <c r="D117" s="18" t="s">
        <v>510</v>
      </c>
      <c r="E117" s="18" t="s">
        <v>191</v>
      </c>
      <c r="F117" s="14">
        <v>1</v>
      </c>
      <c r="G117" s="14" t="s">
        <v>53</v>
      </c>
      <c r="H117" s="26" t="s">
        <v>54</v>
      </c>
      <c r="I117" s="26" t="s">
        <v>55</v>
      </c>
      <c r="J117" s="207"/>
      <c r="K117" s="47" t="s">
        <v>517</v>
      </c>
      <c r="L117" s="18" t="s">
        <v>4</v>
      </c>
      <c r="M117" s="16" t="s">
        <v>518</v>
      </c>
      <c r="N117" s="18" t="s">
        <v>519</v>
      </c>
      <c r="O117" s="18" t="s">
        <v>3</v>
      </c>
      <c r="P117" s="18" t="s">
        <v>3</v>
      </c>
      <c r="Q117" s="19" t="s">
        <v>53</v>
      </c>
      <c r="R117" s="20">
        <v>45920</v>
      </c>
      <c r="S117" s="20">
        <v>45920</v>
      </c>
      <c r="T117" s="20" t="s">
        <v>45</v>
      </c>
      <c r="U117" s="20"/>
      <c r="V117" s="20"/>
      <c r="W117" s="20"/>
      <c r="X117" s="18"/>
    </row>
    <row r="118" spans="2:24" ht="32.1" hidden="1">
      <c r="B118" s="18" t="s">
        <v>515</v>
      </c>
      <c r="C118" s="18" t="s">
        <v>516</v>
      </c>
      <c r="D118" s="18" t="s">
        <v>510</v>
      </c>
      <c r="E118" s="18" t="s">
        <v>191</v>
      </c>
      <c r="F118" s="14">
        <v>2</v>
      </c>
      <c r="G118" s="14" t="s">
        <v>39</v>
      </c>
      <c r="H118" s="26" t="s">
        <v>1</v>
      </c>
      <c r="I118" s="26" t="s">
        <v>167</v>
      </c>
      <c r="J118" s="208"/>
      <c r="K118" s="47" t="s">
        <v>520</v>
      </c>
      <c r="L118" s="18" t="s">
        <v>8</v>
      </c>
      <c r="M118" s="18"/>
      <c r="N118" s="18" t="s">
        <v>521</v>
      </c>
      <c r="O118" s="18" t="s">
        <v>3</v>
      </c>
      <c r="P118" s="18" t="s">
        <v>3</v>
      </c>
      <c r="Q118" s="19" t="s">
        <v>59</v>
      </c>
      <c r="R118" s="94">
        <v>46070</v>
      </c>
      <c r="S118" s="20">
        <v>46135</v>
      </c>
      <c r="T118" s="20" t="s">
        <v>45</v>
      </c>
      <c r="U118" s="20"/>
      <c r="V118" s="20"/>
      <c r="W118" s="20"/>
      <c r="X118" s="18"/>
    </row>
    <row r="119" spans="2:24" ht="15.95" hidden="1">
      <c r="B119" s="18" t="s">
        <v>515</v>
      </c>
      <c r="C119" s="18" t="s">
        <v>516</v>
      </c>
      <c r="D119" s="18" t="s">
        <v>510</v>
      </c>
      <c r="E119" s="18" t="s">
        <v>191</v>
      </c>
      <c r="F119" s="14">
        <v>3</v>
      </c>
      <c r="G119" s="14" t="s">
        <v>53</v>
      </c>
      <c r="H119" s="26" t="s">
        <v>54</v>
      </c>
      <c r="I119" s="26" t="s">
        <v>55</v>
      </c>
      <c r="J119" s="207"/>
      <c r="K119" s="47" t="s">
        <v>522</v>
      </c>
      <c r="L119" s="18" t="s">
        <v>6</v>
      </c>
      <c r="M119" s="16" t="s">
        <v>523</v>
      </c>
      <c r="N119" s="18" t="s">
        <v>524</v>
      </c>
      <c r="O119" s="18" t="s">
        <v>3</v>
      </c>
      <c r="P119" s="18" t="s">
        <v>3</v>
      </c>
      <c r="Q119" s="19" t="s">
        <v>53</v>
      </c>
      <c r="R119" s="19">
        <v>45920</v>
      </c>
      <c r="S119" s="19">
        <v>45920</v>
      </c>
      <c r="T119" s="20" t="s">
        <v>45</v>
      </c>
      <c r="U119" s="20"/>
      <c r="V119" s="20"/>
      <c r="W119" s="20"/>
      <c r="X119" s="18"/>
    </row>
    <row r="120" spans="2:24" ht="15.95" hidden="1">
      <c r="B120" s="18" t="s">
        <v>515</v>
      </c>
      <c r="C120" s="18" t="s">
        <v>516</v>
      </c>
      <c r="D120" s="18" t="s">
        <v>510</v>
      </c>
      <c r="E120" s="18" t="s">
        <v>191</v>
      </c>
      <c r="F120" s="14">
        <v>4</v>
      </c>
      <c r="G120" s="14" t="s">
        <v>53</v>
      </c>
      <c r="H120" s="26" t="s">
        <v>54</v>
      </c>
      <c r="I120" s="26" t="s">
        <v>55</v>
      </c>
      <c r="J120" s="207"/>
      <c r="K120" s="47" t="s">
        <v>525</v>
      </c>
      <c r="L120" s="18" t="s">
        <v>6</v>
      </c>
      <c r="M120" s="16"/>
      <c r="N120" s="18" t="s">
        <v>526</v>
      </c>
      <c r="O120" s="18" t="s">
        <v>3</v>
      </c>
      <c r="P120" s="18" t="s">
        <v>3</v>
      </c>
      <c r="Q120" s="19" t="s">
        <v>527</v>
      </c>
      <c r="R120" s="19">
        <v>46023</v>
      </c>
      <c r="S120" s="19">
        <v>46081</v>
      </c>
      <c r="T120" s="20" t="s">
        <v>45</v>
      </c>
      <c r="U120" s="20"/>
      <c r="V120" s="20"/>
      <c r="W120" s="20"/>
      <c r="X120" s="18" t="s">
        <v>160</v>
      </c>
    </row>
    <row r="121" spans="2:24" ht="15" hidden="1" customHeight="1">
      <c r="B121" s="18" t="s">
        <v>515</v>
      </c>
      <c r="C121" s="18" t="s">
        <v>516</v>
      </c>
      <c r="D121" s="18" t="s">
        <v>510</v>
      </c>
      <c r="E121" s="18" t="s">
        <v>191</v>
      </c>
      <c r="F121" s="14">
        <v>5</v>
      </c>
      <c r="G121" s="96" t="s">
        <v>528</v>
      </c>
      <c r="H121" s="26"/>
      <c r="I121" s="18" t="s">
        <v>86</v>
      </c>
      <c r="J121" s="208"/>
      <c r="K121" s="47" t="s">
        <v>529</v>
      </c>
      <c r="L121" s="47" t="s">
        <v>4</v>
      </c>
      <c r="M121" s="18" t="s">
        <v>530</v>
      </c>
      <c r="N121" s="18" t="s">
        <v>531</v>
      </c>
      <c r="O121" s="18" t="s">
        <v>3</v>
      </c>
      <c r="P121" s="18" t="s">
        <v>3</v>
      </c>
      <c r="Q121" s="19" t="s">
        <v>59</v>
      </c>
      <c r="R121" s="94">
        <v>46127</v>
      </c>
      <c r="S121" s="20">
        <v>46188</v>
      </c>
      <c r="T121" s="20" t="s">
        <v>65</v>
      </c>
      <c r="U121" s="20"/>
      <c r="V121" s="20"/>
      <c r="W121" s="20"/>
      <c r="X121" s="18"/>
    </row>
    <row r="122" spans="2:24" ht="15" hidden="1" customHeight="1">
      <c r="B122" s="18" t="s">
        <v>515</v>
      </c>
      <c r="C122" s="18" t="s">
        <v>516</v>
      </c>
      <c r="D122" s="18" t="s">
        <v>510</v>
      </c>
      <c r="E122" s="18" t="s">
        <v>191</v>
      </c>
      <c r="F122" s="14">
        <v>6</v>
      </c>
      <c r="G122" s="96" t="s">
        <v>53</v>
      </c>
      <c r="H122" s="26" t="s">
        <v>54</v>
      </c>
      <c r="I122" s="18" t="s">
        <v>86</v>
      </c>
      <c r="J122" s="208"/>
      <c r="K122" s="18" t="s">
        <v>532</v>
      </c>
      <c r="L122" s="47" t="s">
        <v>4</v>
      </c>
      <c r="M122" s="18" t="s">
        <v>533</v>
      </c>
      <c r="N122" s="18" t="s">
        <v>534</v>
      </c>
      <c r="O122" s="18" t="s">
        <v>3</v>
      </c>
      <c r="P122" s="18" t="s">
        <v>3</v>
      </c>
      <c r="Q122" s="19" t="s">
        <v>59</v>
      </c>
      <c r="R122" s="94">
        <v>46120</v>
      </c>
      <c r="S122" s="20">
        <v>46182</v>
      </c>
      <c r="T122" s="20" t="s">
        <v>45</v>
      </c>
      <c r="U122" s="20"/>
      <c r="V122" s="20"/>
      <c r="W122" s="20"/>
      <c r="X122" s="18"/>
    </row>
    <row r="123" spans="2:24" ht="32.1" hidden="1">
      <c r="B123" s="18" t="s">
        <v>535</v>
      </c>
      <c r="C123" s="18" t="s">
        <v>536</v>
      </c>
      <c r="D123" s="76" t="s">
        <v>479</v>
      </c>
      <c r="E123" s="18" t="s">
        <v>38</v>
      </c>
      <c r="F123" s="14">
        <v>4</v>
      </c>
      <c r="G123" s="14" t="s">
        <v>69</v>
      </c>
      <c r="H123" s="26" t="s">
        <v>95</v>
      </c>
      <c r="I123" s="26" t="s">
        <v>40</v>
      </c>
      <c r="J123" s="202"/>
      <c r="K123" s="18" t="s">
        <v>537</v>
      </c>
      <c r="L123" s="47" t="s">
        <v>4</v>
      </c>
      <c r="M123" s="18" t="s">
        <v>538</v>
      </c>
      <c r="N123" s="18" t="s">
        <v>539</v>
      </c>
      <c r="O123" s="18" t="s">
        <v>3</v>
      </c>
      <c r="P123" s="18" t="s">
        <v>3</v>
      </c>
      <c r="Q123" s="18" t="s">
        <v>99</v>
      </c>
      <c r="R123" s="19">
        <v>45762</v>
      </c>
      <c r="S123" s="19">
        <v>45863</v>
      </c>
      <c r="T123" s="20" t="s">
        <v>45</v>
      </c>
      <c r="U123" s="20"/>
      <c r="V123" s="20"/>
      <c r="W123" s="20"/>
      <c r="X123" s="20" t="s">
        <v>540</v>
      </c>
    </row>
    <row r="124" spans="2:24" ht="29.1" hidden="1">
      <c r="B124" s="18" t="s">
        <v>535</v>
      </c>
      <c r="C124" s="18" t="s">
        <v>536</v>
      </c>
      <c r="D124" s="72" t="s">
        <v>479</v>
      </c>
      <c r="E124" s="18" t="s">
        <v>38</v>
      </c>
      <c r="F124" s="14">
        <v>1</v>
      </c>
      <c r="G124" s="14" t="s">
        <v>69</v>
      </c>
      <c r="H124" s="26" t="s">
        <v>541</v>
      </c>
      <c r="I124" s="26" t="s">
        <v>40</v>
      </c>
      <c r="J124" s="202"/>
      <c r="K124" s="18" t="s">
        <v>542</v>
      </c>
      <c r="L124" s="47" t="s">
        <v>4</v>
      </c>
      <c r="M124" s="18" t="s">
        <v>543</v>
      </c>
      <c r="N124" s="18" t="s">
        <v>539</v>
      </c>
      <c r="O124" s="18" t="s">
        <v>3</v>
      </c>
      <c r="P124" s="18" t="s">
        <v>3</v>
      </c>
      <c r="Q124" s="18" t="s">
        <v>99</v>
      </c>
      <c r="R124" s="19">
        <v>45823</v>
      </c>
      <c r="S124" s="20">
        <v>45894</v>
      </c>
      <c r="T124" s="20" t="s">
        <v>65</v>
      </c>
      <c r="U124" s="20"/>
      <c r="V124" s="20"/>
      <c r="W124" s="20"/>
      <c r="X124" s="20"/>
    </row>
    <row r="125" spans="2:24" ht="29.1" hidden="1">
      <c r="B125" s="18" t="s">
        <v>535</v>
      </c>
      <c r="C125" s="18" t="s">
        <v>536</v>
      </c>
      <c r="D125" s="72" t="s">
        <v>479</v>
      </c>
      <c r="E125" s="18" t="s">
        <v>38</v>
      </c>
      <c r="F125" s="14">
        <v>2</v>
      </c>
      <c r="G125" s="14" t="s">
        <v>69</v>
      </c>
      <c r="H125" s="26" t="s">
        <v>128</v>
      </c>
      <c r="I125" s="26" t="s">
        <v>40</v>
      </c>
      <c r="J125" s="202"/>
      <c r="K125" s="18" t="s">
        <v>544</v>
      </c>
      <c r="L125" s="47" t="s">
        <v>6</v>
      </c>
      <c r="M125" s="18" t="s">
        <v>545</v>
      </c>
      <c r="N125" s="18" t="s">
        <v>546</v>
      </c>
      <c r="O125" s="18" t="s">
        <v>3</v>
      </c>
      <c r="P125" s="18" t="s">
        <v>3</v>
      </c>
      <c r="Q125" s="18" t="s">
        <v>99</v>
      </c>
      <c r="R125" s="19"/>
      <c r="S125" s="20"/>
      <c r="T125" s="20" t="s">
        <v>65</v>
      </c>
      <c r="U125" s="20"/>
      <c r="V125" s="108" t="s">
        <v>547</v>
      </c>
      <c r="W125" s="20"/>
      <c r="X125" s="20"/>
    </row>
    <row r="126" spans="2:24" ht="29.1" hidden="1">
      <c r="B126" s="18" t="s">
        <v>535</v>
      </c>
      <c r="C126" s="18" t="s">
        <v>536</v>
      </c>
      <c r="D126" s="72" t="s">
        <v>479</v>
      </c>
      <c r="E126" s="18" t="s">
        <v>38</v>
      </c>
      <c r="F126" s="14">
        <v>3</v>
      </c>
      <c r="G126" s="14" t="s">
        <v>69</v>
      </c>
      <c r="H126" s="26" t="s">
        <v>548</v>
      </c>
      <c r="I126" s="26" t="s">
        <v>40</v>
      </c>
      <c r="J126" s="202"/>
      <c r="K126" s="18" t="s">
        <v>549</v>
      </c>
      <c r="L126" s="47" t="s">
        <v>6</v>
      </c>
      <c r="M126" s="18" t="s">
        <v>550</v>
      </c>
      <c r="N126" s="18" t="s">
        <v>551</v>
      </c>
      <c r="O126" s="18" t="s">
        <v>3</v>
      </c>
      <c r="P126" s="18" t="s">
        <v>3</v>
      </c>
      <c r="Q126" s="18" t="s">
        <v>552</v>
      </c>
      <c r="R126" s="19">
        <v>45747</v>
      </c>
      <c r="S126" s="20">
        <v>45868</v>
      </c>
      <c r="T126" s="20" t="s">
        <v>65</v>
      </c>
      <c r="U126" s="20"/>
      <c r="V126" s="20"/>
      <c r="W126" s="20"/>
      <c r="X126" s="20"/>
    </row>
    <row r="127" spans="2:24" ht="32.1" hidden="1">
      <c r="B127" s="18" t="s">
        <v>535</v>
      </c>
      <c r="C127" s="18" t="s">
        <v>536</v>
      </c>
      <c r="D127" s="123" t="s">
        <v>479</v>
      </c>
      <c r="E127" s="18" t="s">
        <v>38</v>
      </c>
      <c r="F127" s="14">
        <v>4</v>
      </c>
      <c r="G127" s="14" t="s">
        <v>69</v>
      </c>
      <c r="H127" s="26" t="s">
        <v>114</v>
      </c>
      <c r="I127" s="26" t="s">
        <v>115</v>
      </c>
      <c r="J127" s="202"/>
      <c r="K127" s="18" t="s">
        <v>116</v>
      </c>
      <c r="L127" s="47" t="s">
        <v>6</v>
      </c>
      <c r="M127" s="18" t="s">
        <v>117</v>
      </c>
      <c r="N127" s="18" t="s">
        <v>118</v>
      </c>
      <c r="O127" s="18" t="s">
        <v>3</v>
      </c>
      <c r="P127" s="18" t="s">
        <v>3</v>
      </c>
      <c r="Q127" s="18" t="s">
        <v>553</v>
      </c>
      <c r="R127" s="19"/>
      <c r="S127" s="20"/>
      <c r="T127" s="20" t="s">
        <v>45</v>
      </c>
      <c r="U127" s="20"/>
      <c r="V127" s="124" t="s">
        <v>554</v>
      </c>
      <c r="W127" s="20"/>
      <c r="X127" s="20"/>
    </row>
    <row r="128" spans="2:24" ht="32.1" hidden="1">
      <c r="B128" s="18" t="s">
        <v>535</v>
      </c>
      <c r="C128" s="18" t="s">
        <v>536</v>
      </c>
      <c r="D128" s="77" t="s">
        <v>479</v>
      </c>
      <c r="E128" s="18" t="s">
        <v>38</v>
      </c>
      <c r="F128" s="14">
        <v>13</v>
      </c>
      <c r="G128" s="14" t="s">
        <v>69</v>
      </c>
      <c r="H128" s="26" t="s">
        <v>70</v>
      </c>
      <c r="I128" s="26" t="s">
        <v>40</v>
      </c>
      <c r="J128" s="202"/>
      <c r="K128" s="18" t="s">
        <v>555</v>
      </c>
      <c r="L128" s="47" t="s">
        <v>6</v>
      </c>
      <c r="M128" s="18" t="s">
        <v>556</v>
      </c>
      <c r="N128" s="18" t="s">
        <v>557</v>
      </c>
      <c r="O128" s="18" t="s">
        <v>3</v>
      </c>
      <c r="P128" s="18" t="s">
        <v>3</v>
      </c>
      <c r="Q128" s="18" t="s">
        <v>99</v>
      </c>
      <c r="R128" s="19">
        <v>45747</v>
      </c>
      <c r="S128" s="20">
        <v>45829</v>
      </c>
      <c r="T128" s="20" t="s">
        <v>45</v>
      </c>
      <c r="U128" s="20"/>
      <c r="V128" s="20"/>
      <c r="W128" s="20"/>
      <c r="X128" s="20" t="s">
        <v>558</v>
      </c>
    </row>
    <row r="129" spans="2:24" ht="32.1" hidden="1">
      <c r="B129" s="18" t="s">
        <v>535</v>
      </c>
      <c r="C129" s="18" t="s">
        <v>536</v>
      </c>
      <c r="D129" s="77" t="s">
        <v>479</v>
      </c>
      <c r="E129" s="18" t="s">
        <v>38</v>
      </c>
      <c r="F129" s="14">
        <v>13</v>
      </c>
      <c r="G129" s="14" t="s">
        <v>39</v>
      </c>
      <c r="H129" s="26" t="s">
        <v>0</v>
      </c>
      <c r="I129" s="26" t="s">
        <v>75</v>
      </c>
      <c r="J129" s="202"/>
      <c r="K129" s="18" t="s">
        <v>559</v>
      </c>
      <c r="L129" s="47" t="s">
        <v>4</v>
      </c>
      <c r="M129" s="18" t="s">
        <v>560</v>
      </c>
      <c r="N129" s="125" t="s">
        <v>561</v>
      </c>
      <c r="O129" s="18" t="s">
        <v>3</v>
      </c>
      <c r="P129" s="18" t="s">
        <v>3</v>
      </c>
      <c r="Q129" s="18"/>
      <c r="R129" s="19"/>
      <c r="S129" s="20">
        <v>45868</v>
      </c>
      <c r="T129" s="20" t="s">
        <v>352</v>
      </c>
      <c r="U129" s="20"/>
      <c r="V129" s="20"/>
      <c r="W129" s="20"/>
      <c r="X129" s="20"/>
    </row>
    <row r="130" spans="2:24" ht="32.1" hidden="1">
      <c r="B130" s="18" t="s">
        <v>535</v>
      </c>
      <c r="C130" s="18" t="s">
        <v>536</v>
      </c>
      <c r="D130" s="77" t="s">
        <v>479</v>
      </c>
      <c r="E130" s="18" t="s">
        <v>38</v>
      </c>
      <c r="F130" s="14">
        <v>13</v>
      </c>
      <c r="G130" s="14" t="s">
        <v>39</v>
      </c>
      <c r="H130" s="26" t="s">
        <v>0</v>
      </c>
      <c r="I130" s="26" t="s">
        <v>75</v>
      </c>
      <c r="J130" s="202"/>
      <c r="K130" s="18" t="s">
        <v>562</v>
      </c>
      <c r="L130" s="47" t="s">
        <v>8</v>
      </c>
      <c r="M130" s="18" t="s">
        <v>563</v>
      </c>
      <c r="N130" s="18" t="s">
        <v>539</v>
      </c>
      <c r="O130" s="18" t="s">
        <v>3</v>
      </c>
      <c r="P130" s="18" t="s">
        <v>3</v>
      </c>
      <c r="Q130" s="18" t="s">
        <v>564</v>
      </c>
      <c r="R130" s="19"/>
      <c r="S130" s="20">
        <v>45838</v>
      </c>
      <c r="T130" s="20" t="s">
        <v>352</v>
      </c>
      <c r="U130" s="20"/>
      <c r="V130" s="20"/>
      <c r="W130" s="20"/>
      <c r="X130" s="20"/>
    </row>
    <row r="131" spans="2:24" ht="29.1" hidden="1">
      <c r="B131" s="18" t="s">
        <v>535</v>
      </c>
      <c r="C131" s="18" t="s">
        <v>536</v>
      </c>
      <c r="D131" s="72" t="s">
        <v>479</v>
      </c>
      <c r="E131" s="18" t="s">
        <v>38</v>
      </c>
      <c r="F131" s="14">
        <v>13</v>
      </c>
      <c r="G131" s="14" t="s">
        <v>69</v>
      </c>
      <c r="H131" s="26" t="s">
        <v>565</v>
      </c>
      <c r="I131" s="26" t="s">
        <v>40</v>
      </c>
      <c r="J131" s="202"/>
      <c r="K131" s="18" t="s">
        <v>566</v>
      </c>
      <c r="L131" s="47" t="s">
        <v>6</v>
      </c>
      <c r="M131" s="18" t="s">
        <v>567</v>
      </c>
      <c r="N131" s="18" t="s">
        <v>568</v>
      </c>
      <c r="O131" s="18" t="s">
        <v>3</v>
      </c>
      <c r="P131" s="18" t="s">
        <v>3</v>
      </c>
      <c r="Q131" s="18" t="s">
        <v>99</v>
      </c>
      <c r="R131" s="19">
        <v>45777</v>
      </c>
      <c r="S131" s="20">
        <v>45777</v>
      </c>
      <c r="T131" s="20" t="s">
        <v>45</v>
      </c>
      <c r="U131" s="20"/>
      <c r="V131" s="108" t="s">
        <v>569</v>
      </c>
      <c r="W131" s="20"/>
      <c r="X131" s="20"/>
    </row>
    <row r="132" spans="2:24" ht="32.1" hidden="1">
      <c r="B132" s="18" t="s">
        <v>535</v>
      </c>
      <c r="C132" s="18" t="s">
        <v>536</v>
      </c>
      <c r="D132" s="72" t="s">
        <v>479</v>
      </c>
      <c r="E132" s="18" t="s">
        <v>38</v>
      </c>
      <c r="F132" s="14">
        <v>14</v>
      </c>
      <c r="G132" s="14" t="s">
        <v>39</v>
      </c>
      <c r="H132" s="26" t="s">
        <v>0</v>
      </c>
      <c r="I132" s="26" t="s">
        <v>207</v>
      </c>
      <c r="J132" s="202"/>
      <c r="K132" s="18" t="s">
        <v>570</v>
      </c>
      <c r="L132" s="47" t="s">
        <v>6</v>
      </c>
      <c r="M132" s="18" t="s">
        <v>571</v>
      </c>
      <c r="N132" s="18" t="s">
        <v>557</v>
      </c>
      <c r="O132" s="18" t="s">
        <v>3</v>
      </c>
      <c r="P132" s="18" t="s">
        <v>3</v>
      </c>
      <c r="Q132" s="18" t="s">
        <v>564</v>
      </c>
      <c r="R132" s="19">
        <v>45777</v>
      </c>
      <c r="S132" s="20">
        <v>45785</v>
      </c>
      <c r="T132" s="20" t="s">
        <v>45</v>
      </c>
      <c r="U132" s="20"/>
      <c r="V132" s="20"/>
      <c r="W132" s="20"/>
      <c r="X132" s="20"/>
    </row>
    <row r="133" spans="2:24" ht="32.1" hidden="1">
      <c r="B133" s="18" t="s">
        <v>535</v>
      </c>
      <c r="C133" s="18" t="s">
        <v>536</v>
      </c>
      <c r="D133" s="72" t="s">
        <v>479</v>
      </c>
      <c r="E133" s="18" t="s">
        <v>38</v>
      </c>
      <c r="F133" s="14">
        <v>15</v>
      </c>
      <c r="G133" s="14" t="s">
        <v>53</v>
      </c>
      <c r="H133" s="26" t="s">
        <v>54</v>
      </c>
      <c r="I133" s="26" t="s">
        <v>153</v>
      </c>
      <c r="J133" s="202"/>
      <c r="K133" s="18" t="s">
        <v>572</v>
      </c>
      <c r="L133" s="47" t="s">
        <v>6</v>
      </c>
      <c r="M133" s="18" t="s">
        <v>573</v>
      </c>
      <c r="N133" s="18" t="s">
        <v>557</v>
      </c>
      <c r="O133" s="18" t="s">
        <v>3</v>
      </c>
      <c r="P133" s="18" t="s">
        <v>3</v>
      </c>
      <c r="Q133" s="18" t="s">
        <v>112</v>
      </c>
      <c r="R133" s="19"/>
      <c r="S133" s="20">
        <v>45783</v>
      </c>
      <c r="T133" s="20" t="s">
        <v>45</v>
      </c>
      <c r="U133" s="20"/>
      <c r="V133" s="20"/>
      <c r="W133" s="20"/>
      <c r="X133" s="20"/>
    </row>
    <row r="134" spans="2:24" ht="32.1" hidden="1">
      <c r="B134" s="18" t="s">
        <v>535</v>
      </c>
      <c r="C134" s="18" t="s">
        <v>536</v>
      </c>
      <c r="D134" s="72" t="s">
        <v>479</v>
      </c>
      <c r="E134" s="18" t="s">
        <v>38</v>
      </c>
      <c r="F134" s="14">
        <v>16</v>
      </c>
      <c r="G134" s="14" t="s">
        <v>53</v>
      </c>
      <c r="H134" s="26" t="s">
        <v>54</v>
      </c>
      <c r="I134" s="26" t="s">
        <v>153</v>
      </c>
      <c r="J134" s="202"/>
      <c r="K134" s="18" t="s">
        <v>574</v>
      </c>
      <c r="L134" s="47" t="s">
        <v>6</v>
      </c>
      <c r="M134" s="18" t="s">
        <v>575</v>
      </c>
      <c r="N134" s="18" t="s">
        <v>576</v>
      </c>
      <c r="O134" s="18" t="s">
        <v>3</v>
      </c>
      <c r="P134" s="18" t="s">
        <v>3</v>
      </c>
      <c r="Q134" s="18" t="s">
        <v>112</v>
      </c>
      <c r="R134" s="19"/>
      <c r="S134" s="20">
        <v>45960</v>
      </c>
      <c r="T134" s="20" t="s">
        <v>65</v>
      </c>
      <c r="U134" s="20"/>
      <c r="V134" s="20"/>
      <c r="W134" s="20"/>
      <c r="X134" s="20"/>
    </row>
    <row r="135" spans="2:24" ht="32.1" hidden="1">
      <c r="B135" s="18" t="s">
        <v>535</v>
      </c>
      <c r="C135" s="18" t="s">
        <v>536</v>
      </c>
      <c r="D135" s="76" t="s">
        <v>479</v>
      </c>
      <c r="E135" s="18" t="s">
        <v>38</v>
      </c>
      <c r="F135" s="14">
        <v>17</v>
      </c>
      <c r="G135" s="14" t="s">
        <v>53</v>
      </c>
      <c r="H135" s="26" t="s">
        <v>577</v>
      </c>
      <c r="I135" s="26" t="s">
        <v>153</v>
      </c>
      <c r="J135" s="202"/>
      <c r="K135" s="18" t="s">
        <v>578</v>
      </c>
      <c r="L135" s="47" t="s">
        <v>8</v>
      </c>
      <c r="M135" s="18" t="s">
        <v>579</v>
      </c>
      <c r="N135" s="18" t="s">
        <v>580</v>
      </c>
      <c r="O135" s="18" t="s">
        <v>3</v>
      </c>
      <c r="P135" s="18" t="s">
        <v>3</v>
      </c>
      <c r="Q135" s="18" t="s">
        <v>112</v>
      </c>
      <c r="R135" s="19"/>
      <c r="S135" s="20"/>
      <c r="T135" s="20" t="s">
        <v>65</v>
      </c>
      <c r="U135" s="20"/>
      <c r="V135" s="20"/>
      <c r="W135" s="20"/>
      <c r="X135" s="20"/>
    </row>
    <row r="136" spans="2:24" ht="43.5" hidden="1">
      <c r="B136" s="18" t="s">
        <v>535</v>
      </c>
      <c r="C136" s="18" t="s">
        <v>536</v>
      </c>
      <c r="D136" s="72" t="s">
        <v>479</v>
      </c>
      <c r="E136" s="18" t="s">
        <v>38</v>
      </c>
      <c r="F136" s="14">
        <v>16</v>
      </c>
      <c r="G136" s="14" t="s">
        <v>39</v>
      </c>
      <c r="H136" s="26" t="s">
        <v>0</v>
      </c>
      <c r="I136" s="26" t="s">
        <v>207</v>
      </c>
      <c r="J136" s="202"/>
      <c r="K136" s="18" t="s">
        <v>581</v>
      </c>
      <c r="L136" s="47" t="s">
        <v>6</v>
      </c>
      <c r="M136" s="125" t="s">
        <v>582</v>
      </c>
      <c r="N136" s="18" t="s">
        <v>583</v>
      </c>
      <c r="O136" s="18" t="s">
        <v>3</v>
      </c>
      <c r="P136" s="18" t="s">
        <v>3</v>
      </c>
      <c r="Q136" s="18" t="s">
        <v>584</v>
      </c>
      <c r="R136" s="19"/>
      <c r="S136" s="20">
        <v>45899</v>
      </c>
      <c r="T136" s="20" t="s">
        <v>352</v>
      </c>
      <c r="U136" s="20"/>
      <c r="V136" s="20"/>
      <c r="W136" s="20"/>
      <c r="X136" s="20"/>
    </row>
    <row r="137" spans="2:24" ht="29.1" hidden="1">
      <c r="B137" s="18" t="s">
        <v>535</v>
      </c>
      <c r="C137" s="18" t="s">
        <v>536</v>
      </c>
      <c r="D137" s="72" t="s">
        <v>479</v>
      </c>
      <c r="E137" s="18" t="s">
        <v>38</v>
      </c>
      <c r="F137" s="14">
        <v>17</v>
      </c>
      <c r="G137" s="14" t="s">
        <v>53</v>
      </c>
      <c r="H137" s="26" t="s">
        <v>54</v>
      </c>
      <c r="I137" s="26" t="s">
        <v>40</v>
      </c>
      <c r="J137" s="202"/>
      <c r="K137" s="18" t="s">
        <v>585</v>
      </c>
      <c r="L137" s="47" t="s">
        <v>8</v>
      </c>
      <c r="M137" s="18" t="s">
        <v>586</v>
      </c>
      <c r="N137" s="18" t="s">
        <v>539</v>
      </c>
      <c r="O137" s="18" t="s">
        <v>3</v>
      </c>
      <c r="P137" s="18" t="s">
        <v>3</v>
      </c>
      <c r="Q137" s="18" t="s">
        <v>112</v>
      </c>
      <c r="R137" s="19"/>
      <c r="S137" s="20">
        <v>45899</v>
      </c>
      <c r="T137" s="20" t="s">
        <v>65</v>
      </c>
      <c r="U137" s="20"/>
      <c r="V137" s="20"/>
      <c r="W137" s="20"/>
      <c r="X137" s="20"/>
    </row>
    <row r="138" spans="2:24" ht="32.1" hidden="1">
      <c r="B138" s="18" t="s">
        <v>535</v>
      </c>
      <c r="C138" s="18" t="s">
        <v>536</v>
      </c>
      <c r="D138" s="72" t="s">
        <v>479</v>
      </c>
      <c r="E138" s="18" t="s">
        <v>38</v>
      </c>
      <c r="F138" s="14">
        <v>18</v>
      </c>
      <c r="G138" s="14" t="s">
        <v>39</v>
      </c>
      <c r="H138" s="26" t="s">
        <v>0</v>
      </c>
      <c r="I138" s="26" t="s">
        <v>40</v>
      </c>
      <c r="J138" s="202"/>
      <c r="K138" s="18" t="s">
        <v>587</v>
      </c>
      <c r="L138" s="47" t="s">
        <v>4</v>
      </c>
      <c r="M138" s="18" t="s">
        <v>588</v>
      </c>
      <c r="N138" s="18" t="s">
        <v>589</v>
      </c>
      <c r="O138" s="18" t="s">
        <v>3</v>
      </c>
      <c r="P138" s="18" t="s">
        <v>3</v>
      </c>
      <c r="Q138" s="18" t="s">
        <v>564</v>
      </c>
      <c r="R138" s="19"/>
      <c r="S138" s="20">
        <v>45868</v>
      </c>
      <c r="T138" s="20" t="s">
        <v>352</v>
      </c>
      <c r="U138" s="20"/>
      <c r="V138" s="20"/>
      <c r="W138" s="20"/>
      <c r="X138" s="20"/>
    </row>
    <row r="139" spans="2:24" ht="32.1" hidden="1">
      <c r="B139" s="18" t="s">
        <v>535</v>
      </c>
      <c r="C139" s="18" t="s">
        <v>536</v>
      </c>
      <c r="D139" s="72" t="s">
        <v>479</v>
      </c>
      <c r="E139" s="18" t="s">
        <v>38</v>
      </c>
      <c r="F139" s="14">
        <v>18</v>
      </c>
      <c r="G139" s="14" t="s">
        <v>39</v>
      </c>
      <c r="H139" s="26" t="s">
        <v>0</v>
      </c>
      <c r="I139" s="26" t="s">
        <v>207</v>
      </c>
      <c r="J139" s="202"/>
      <c r="K139" s="18" t="s">
        <v>590</v>
      </c>
      <c r="L139" s="47" t="s">
        <v>6</v>
      </c>
      <c r="M139" s="125" t="s">
        <v>591</v>
      </c>
      <c r="N139" s="18" t="s">
        <v>592</v>
      </c>
      <c r="O139" s="18" t="s">
        <v>3</v>
      </c>
      <c r="P139" s="18" t="s">
        <v>3</v>
      </c>
      <c r="Q139" s="18" t="s">
        <v>112</v>
      </c>
      <c r="R139" s="19"/>
      <c r="S139" s="20">
        <v>45945</v>
      </c>
      <c r="T139" s="20" t="s">
        <v>352</v>
      </c>
      <c r="U139" s="20"/>
      <c r="V139" s="20"/>
      <c r="W139" s="20"/>
      <c r="X139" s="20"/>
    </row>
    <row r="140" spans="2:24" ht="32.1" hidden="1">
      <c r="B140" s="18" t="s">
        <v>593</v>
      </c>
      <c r="C140" s="126" t="s">
        <v>594</v>
      </c>
      <c r="D140" s="123" t="s">
        <v>595</v>
      </c>
      <c r="E140" s="18" t="s">
        <v>38</v>
      </c>
      <c r="F140" s="14">
        <v>1</v>
      </c>
      <c r="G140" s="14" t="s">
        <v>69</v>
      </c>
      <c r="H140" s="26" t="s">
        <v>70</v>
      </c>
      <c r="I140" s="26" t="s">
        <v>81</v>
      </c>
      <c r="J140" s="202"/>
      <c r="K140" s="18" t="s">
        <v>596</v>
      </c>
      <c r="L140" s="47" t="s">
        <v>6</v>
      </c>
      <c r="M140" s="18" t="s">
        <v>597</v>
      </c>
      <c r="N140" s="18" t="s">
        <v>598</v>
      </c>
      <c r="O140" s="18" t="s">
        <v>7</v>
      </c>
      <c r="P140" s="18" t="s">
        <v>7</v>
      </c>
      <c r="Q140" s="18" t="s">
        <v>164</v>
      </c>
      <c r="R140" s="19">
        <v>45762</v>
      </c>
      <c r="S140" s="20">
        <v>45762</v>
      </c>
      <c r="T140" s="20" t="s">
        <v>65</v>
      </c>
      <c r="U140" s="20" t="s">
        <v>132</v>
      </c>
      <c r="V140" s="20"/>
      <c r="W140" s="20"/>
      <c r="X140" s="20" t="s">
        <v>599</v>
      </c>
    </row>
    <row r="141" spans="2:24" ht="63.95" hidden="1">
      <c r="B141" s="18" t="s">
        <v>593</v>
      </c>
      <c r="C141" s="127" t="s">
        <v>594</v>
      </c>
      <c r="D141" s="76" t="s">
        <v>595</v>
      </c>
      <c r="E141" s="18" t="s">
        <v>38</v>
      </c>
      <c r="F141" s="14">
        <v>2</v>
      </c>
      <c r="G141" s="14" t="s">
        <v>69</v>
      </c>
      <c r="H141" s="26" t="s">
        <v>95</v>
      </c>
      <c r="I141" s="26" t="s">
        <v>40</v>
      </c>
      <c r="J141" s="202"/>
      <c r="K141" s="18" t="s">
        <v>600</v>
      </c>
      <c r="L141" s="47" t="s">
        <v>4</v>
      </c>
      <c r="M141" s="18" t="s">
        <v>601</v>
      </c>
      <c r="N141" s="18" t="s">
        <v>602</v>
      </c>
      <c r="O141" s="18" t="s">
        <v>3</v>
      </c>
      <c r="P141" s="18" t="s">
        <v>3</v>
      </c>
      <c r="Q141" s="18" t="s">
        <v>164</v>
      </c>
      <c r="R141" s="19">
        <v>45777</v>
      </c>
      <c r="S141" s="20">
        <v>45838</v>
      </c>
      <c r="T141" s="20" t="s">
        <v>65</v>
      </c>
      <c r="U141" s="20" t="s">
        <v>603</v>
      </c>
      <c r="V141" s="18"/>
      <c r="W141" s="20"/>
      <c r="X141" s="111" t="s">
        <v>604</v>
      </c>
    </row>
    <row r="142" spans="2:24" ht="32.1" hidden="1">
      <c r="B142" s="18" t="s">
        <v>593</v>
      </c>
      <c r="C142" s="127" t="s">
        <v>594</v>
      </c>
      <c r="D142" s="76" t="s">
        <v>595</v>
      </c>
      <c r="E142" s="18" t="s">
        <v>38</v>
      </c>
      <c r="F142" s="14">
        <v>3</v>
      </c>
      <c r="G142" s="14" t="s">
        <v>69</v>
      </c>
      <c r="H142" s="26" t="s">
        <v>605</v>
      </c>
      <c r="I142" s="26" t="s">
        <v>40</v>
      </c>
      <c r="J142" s="202"/>
      <c r="K142" s="18" t="s">
        <v>606</v>
      </c>
      <c r="L142" s="47" t="s">
        <v>4</v>
      </c>
      <c r="M142" s="18" t="s">
        <v>607</v>
      </c>
      <c r="N142" s="18" t="s">
        <v>608</v>
      </c>
      <c r="O142" s="18" t="s">
        <v>3</v>
      </c>
      <c r="P142" s="18" t="s">
        <v>3</v>
      </c>
      <c r="Q142" s="18" t="s">
        <v>164</v>
      </c>
      <c r="R142" s="19">
        <v>45960</v>
      </c>
      <c r="S142" s="20"/>
      <c r="T142" s="20" t="s">
        <v>65</v>
      </c>
      <c r="U142" s="20" t="s">
        <v>609</v>
      </c>
      <c r="V142" s="18"/>
      <c r="W142" s="20"/>
      <c r="X142" s="110"/>
    </row>
    <row r="143" spans="2:24" ht="32.1" hidden="1">
      <c r="B143" s="18" t="s">
        <v>593</v>
      </c>
      <c r="C143" s="126" t="s">
        <v>594</v>
      </c>
      <c r="D143" s="72" t="s">
        <v>595</v>
      </c>
      <c r="E143" s="18" t="s">
        <v>38</v>
      </c>
      <c r="F143" s="14">
        <v>4</v>
      </c>
      <c r="G143" s="14" t="s">
        <v>69</v>
      </c>
      <c r="H143" s="26" t="s">
        <v>128</v>
      </c>
      <c r="I143" s="26" t="s">
        <v>115</v>
      </c>
      <c r="J143" s="202"/>
      <c r="K143" s="18" t="s">
        <v>610</v>
      </c>
      <c r="L143" s="47" t="s">
        <v>6</v>
      </c>
      <c r="M143" s="18" t="s">
        <v>611</v>
      </c>
      <c r="N143" s="18" t="s">
        <v>612</v>
      </c>
      <c r="O143" s="18" t="s">
        <v>5</v>
      </c>
      <c r="P143" s="18" t="s">
        <v>5</v>
      </c>
      <c r="Q143" s="18" t="s">
        <v>164</v>
      </c>
      <c r="R143" s="19">
        <v>45818</v>
      </c>
      <c r="S143" s="20"/>
      <c r="T143" s="20" t="s">
        <v>65</v>
      </c>
      <c r="U143" s="20" t="s">
        <v>613</v>
      </c>
      <c r="V143" s="18"/>
      <c r="W143" s="20"/>
      <c r="X143" s="20" t="s">
        <v>599</v>
      </c>
    </row>
    <row r="144" spans="2:24" ht="32.1" hidden="1">
      <c r="B144" s="18" t="s">
        <v>593</v>
      </c>
      <c r="C144" s="126" t="s">
        <v>594</v>
      </c>
      <c r="D144" s="72" t="s">
        <v>595</v>
      </c>
      <c r="E144" s="18" t="s">
        <v>38</v>
      </c>
      <c r="F144" s="14">
        <v>5</v>
      </c>
      <c r="G144" s="14" t="s">
        <v>69</v>
      </c>
      <c r="H144" s="26" t="s">
        <v>128</v>
      </c>
      <c r="I144" s="26" t="s">
        <v>40</v>
      </c>
      <c r="J144" s="208"/>
      <c r="K144" s="18" t="s">
        <v>614</v>
      </c>
      <c r="L144" s="47" t="s">
        <v>6</v>
      </c>
      <c r="M144" s="18" t="s">
        <v>615</v>
      </c>
      <c r="N144" s="18" t="s">
        <v>616</v>
      </c>
      <c r="O144" s="18" t="s">
        <v>7</v>
      </c>
      <c r="P144" s="18" t="s">
        <v>7</v>
      </c>
      <c r="Q144" s="18" t="s">
        <v>164</v>
      </c>
      <c r="R144" s="20"/>
      <c r="S144" s="20"/>
      <c r="T144" s="20" t="s">
        <v>65</v>
      </c>
      <c r="U144" s="18"/>
      <c r="V144" s="20"/>
      <c r="W144" s="110"/>
      <c r="X144" s="20" t="s">
        <v>599</v>
      </c>
    </row>
    <row r="145" spans="2:24" ht="32.1" hidden="1">
      <c r="B145" s="18" t="s">
        <v>593</v>
      </c>
      <c r="C145" s="126" t="s">
        <v>594</v>
      </c>
      <c r="D145" s="72" t="s">
        <v>595</v>
      </c>
      <c r="E145" s="18" t="s">
        <v>38</v>
      </c>
      <c r="F145" s="14">
        <v>6</v>
      </c>
      <c r="G145" s="14" t="s">
        <v>69</v>
      </c>
      <c r="H145" s="26" t="s">
        <v>128</v>
      </c>
      <c r="I145" s="26" t="s">
        <v>115</v>
      </c>
      <c r="J145" s="202"/>
      <c r="K145" s="18" t="s">
        <v>617</v>
      </c>
      <c r="L145" s="47" t="s">
        <v>8</v>
      </c>
      <c r="M145" s="18" t="s">
        <v>618</v>
      </c>
      <c r="N145" s="18" t="s">
        <v>619</v>
      </c>
      <c r="O145" s="18" t="s">
        <v>7</v>
      </c>
      <c r="P145" s="18" t="s">
        <v>7</v>
      </c>
      <c r="Q145" s="18" t="s">
        <v>164</v>
      </c>
      <c r="R145" s="19">
        <v>45746</v>
      </c>
      <c r="S145" s="20">
        <v>45807</v>
      </c>
      <c r="T145" s="20" t="s">
        <v>65</v>
      </c>
      <c r="U145" s="20" t="s">
        <v>613</v>
      </c>
      <c r="V145" s="20"/>
      <c r="W145" s="20"/>
      <c r="X145" s="20" t="s">
        <v>599</v>
      </c>
    </row>
    <row r="146" spans="2:24" ht="30.75">
      <c r="B146" s="18" t="s">
        <v>620</v>
      </c>
      <c r="C146" s="127" t="s">
        <v>621</v>
      </c>
      <c r="D146" s="76" t="s">
        <v>622</v>
      </c>
      <c r="E146" s="18" t="s">
        <v>191</v>
      </c>
      <c r="F146" s="14">
        <v>1</v>
      </c>
      <c r="G146" s="14" t="s">
        <v>53</v>
      </c>
      <c r="H146" s="26" t="s">
        <v>54</v>
      </c>
      <c r="I146" s="26" t="s">
        <v>511</v>
      </c>
      <c r="J146" s="202">
        <v>46113</v>
      </c>
      <c r="K146" s="18" t="s">
        <v>623</v>
      </c>
      <c r="L146" s="47" t="s">
        <v>4</v>
      </c>
      <c r="M146" s="16" t="s">
        <v>624</v>
      </c>
      <c r="N146" s="18" t="s">
        <v>625</v>
      </c>
      <c r="O146" s="18" t="s">
        <v>3</v>
      </c>
      <c r="P146" s="18" t="s">
        <v>3</v>
      </c>
      <c r="Q146" s="18" t="s">
        <v>626</v>
      </c>
      <c r="R146" s="19">
        <v>46081</v>
      </c>
      <c r="S146" s="20">
        <v>46265</v>
      </c>
      <c r="T146" s="20" t="s">
        <v>65</v>
      </c>
      <c r="U146" s="20" t="s">
        <v>627</v>
      </c>
      <c r="V146" s="20"/>
      <c r="W146" s="20"/>
      <c r="X146" s="20"/>
    </row>
    <row r="147" spans="2:24" ht="72.599999999999994" hidden="1">
      <c r="B147" s="18" t="s">
        <v>620</v>
      </c>
      <c r="C147" s="127" t="s">
        <v>621</v>
      </c>
      <c r="D147" s="76" t="s">
        <v>622</v>
      </c>
      <c r="E147" s="18" t="s">
        <v>191</v>
      </c>
      <c r="F147" s="14">
        <v>2</v>
      </c>
      <c r="G147" s="14" t="s">
        <v>69</v>
      </c>
      <c r="H147" s="26" t="s">
        <v>95</v>
      </c>
      <c r="I147" s="26" t="s">
        <v>40</v>
      </c>
      <c r="J147" s="202">
        <v>45580</v>
      </c>
      <c r="K147" s="18" t="s">
        <v>628</v>
      </c>
      <c r="L147" s="47" t="s">
        <v>4</v>
      </c>
      <c r="M147" s="18" t="s">
        <v>629</v>
      </c>
      <c r="N147" s="18" t="s">
        <v>630</v>
      </c>
      <c r="O147" s="18" t="s">
        <v>3</v>
      </c>
      <c r="P147" s="18" t="s">
        <v>3</v>
      </c>
      <c r="Q147" s="18" t="s">
        <v>626</v>
      </c>
      <c r="R147" s="20">
        <v>46096</v>
      </c>
      <c r="S147" s="20">
        <v>46111</v>
      </c>
      <c r="T147" s="20" t="s">
        <v>45</v>
      </c>
      <c r="U147" s="18" t="s">
        <v>631</v>
      </c>
      <c r="V147" s="20"/>
      <c r="W147" s="110"/>
      <c r="X147" s="20"/>
    </row>
    <row r="148" spans="2:24" ht="43.5" hidden="1">
      <c r="B148" s="18" t="s">
        <v>620</v>
      </c>
      <c r="C148" s="18" t="s">
        <v>621</v>
      </c>
      <c r="D148" s="18" t="s">
        <v>622</v>
      </c>
      <c r="E148" s="18" t="s">
        <v>191</v>
      </c>
      <c r="F148" s="14">
        <v>3</v>
      </c>
      <c r="G148" s="14" t="s">
        <v>69</v>
      </c>
      <c r="H148" s="26" t="s">
        <v>632</v>
      </c>
      <c r="I148" s="26" t="s">
        <v>40</v>
      </c>
      <c r="J148" s="202"/>
      <c r="K148" s="16" t="s">
        <v>633</v>
      </c>
      <c r="L148" s="47" t="s">
        <v>4</v>
      </c>
      <c r="M148" s="16" t="s">
        <v>634</v>
      </c>
      <c r="N148" s="16" t="s">
        <v>635</v>
      </c>
      <c r="O148" s="18" t="s">
        <v>3</v>
      </c>
      <c r="P148" s="18" t="s">
        <v>3</v>
      </c>
      <c r="Q148" s="18" t="s">
        <v>626</v>
      </c>
      <c r="R148" s="19">
        <v>45731</v>
      </c>
      <c r="S148" s="20">
        <v>45959</v>
      </c>
      <c r="T148" s="20" t="s">
        <v>45</v>
      </c>
      <c r="U148" s="20" t="s">
        <v>636</v>
      </c>
      <c r="V148" s="20"/>
      <c r="W148" s="20"/>
      <c r="X148" s="20"/>
    </row>
    <row r="149" spans="2:24" ht="29.1" hidden="1">
      <c r="B149" s="18" t="s">
        <v>620</v>
      </c>
      <c r="C149" s="18" t="s">
        <v>621</v>
      </c>
      <c r="D149" s="18" t="s">
        <v>622</v>
      </c>
      <c r="E149" s="18" t="s">
        <v>191</v>
      </c>
      <c r="F149" s="14">
        <v>4</v>
      </c>
      <c r="G149" s="14" t="s">
        <v>69</v>
      </c>
      <c r="H149" s="26" t="s">
        <v>637</v>
      </c>
      <c r="I149" s="26" t="s">
        <v>40</v>
      </c>
      <c r="J149" s="202">
        <v>45580</v>
      </c>
      <c r="K149" s="16" t="s">
        <v>638</v>
      </c>
      <c r="L149" s="47" t="s">
        <v>4</v>
      </c>
      <c r="M149" s="16" t="s">
        <v>639</v>
      </c>
      <c r="N149" s="16" t="s">
        <v>640</v>
      </c>
      <c r="O149" s="18" t="s">
        <v>5</v>
      </c>
      <c r="P149" s="18" t="s">
        <v>3</v>
      </c>
      <c r="Q149" s="18" t="s">
        <v>626</v>
      </c>
      <c r="R149" s="19">
        <v>45754</v>
      </c>
      <c r="S149" s="20">
        <v>45848</v>
      </c>
      <c r="T149" s="20" t="s">
        <v>45</v>
      </c>
      <c r="U149" s="20" t="s">
        <v>641</v>
      </c>
      <c r="V149" s="20"/>
      <c r="W149" s="20"/>
      <c r="X149" s="20"/>
    </row>
    <row r="150" spans="2:24" ht="78" hidden="1" customHeight="1">
      <c r="B150" s="18" t="s">
        <v>620</v>
      </c>
      <c r="C150" s="18" t="s">
        <v>621</v>
      </c>
      <c r="D150" s="18" t="s">
        <v>622</v>
      </c>
      <c r="E150" s="18" t="s">
        <v>191</v>
      </c>
      <c r="F150" s="14">
        <v>5</v>
      </c>
      <c r="G150" s="14" t="s">
        <v>69</v>
      </c>
      <c r="H150" s="26" t="s">
        <v>70</v>
      </c>
      <c r="I150" s="26" t="s">
        <v>40</v>
      </c>
      <c r="J150" s="202">
        <v>45580</v>
      </c>
      <c r="K150" s="16" t="s">
        <v>642</v>
      </c>
      <c r="L150" s="47" t="s">
        <v>6</v>
      </c>
      <c r="M150" s="16" t="s">
        <v>643</v>
      </c>
      <c r="N150" s="16" t="s">
        <v>644</v>
      </c>
      <c r="O150" s="18" t="s">
        <v>5</v>
      </c>
      <c r="P150" s="18" t="s">
        <v>5</v>
      </c>
      <c r="Q150" s="18" t="s">
        <v>626</v>
      </c>
      <c r="R150" s="19">
        <v>45720</v>
      </c>
      <c r="S150" s="20">
        <v>45801</v>
      </c>
      <c r="T150" s="20" t="s">
        <v>45</v>
      </c>
      <c r="U150" s="20" t="s">
        <v>645</v>
      </c>
      <c r="V150" s="20"/>
      <c r="W150" s="20"/>
      <c r="X150" s="20"/>
    </row>
    <row r="151" spans="2:24" ht="29.1" hidden="1">
      <c r="B151" s="18" t="s">
        <v>620</v>
      </c>
      <c r="C151" s="18" t="s">
        <v>621</v>
      </c>
      <c r="D151" s="18" t="s">
        <v>622</v>
      </c>
      <c r="E151" s="18" t="s">
        <v>191</v>
      </c>
      <c r="F151" s="14">
        <v>6</v>
      </c>
      <c r="G151" s="14" t="s">
        <v>69</v>
      </c>
      <c r="H151" s="26" t="s">
        <v>646</v>
      </c>
      <c r="I151" s="26" t="s">
        <v>40</v>
      </c>
      <c r="J151" s="202">
        <v>45597</v>
      </c>
      <c r="K151" s="16" t="s">
        <v>647</v>
      </c>
      <c r="L151" s="47" t="s">
        <v>8</v>
      </c>
      <c r="M151" s="16" t="s">
        <v>648</v>
      </c>
      <c r="N151" s="16" t="s">
        <v>649</v>
      </c>
      <c r="O151" s="18" t="s">
        <v>5</v>
      </c>
      <c r="P151" s="18" t="s">
        <v>7</v>
      </c>
      <c r="Q151" s="18" t="s">
        <v>650</v>
      </c>
      <c r="R151" s="19">
        <v>45689</v>
      </c>
      <c r="S151" s="20">
        <v>45823</v>
      </c>
      <c r="T151" s="20" t="s">
        <v>45</v>
      </c>
      <c r="U151" s="20" t="s">
        <v>641</v>
      </c>
      <c r="V151" s="20"/>
      <c r="W151" s="20"/>
      <c r="X151" s="20"/>
    </row>
    <row r="152" spans="2:24" ht="32.1" hidden="1">
      <c r="B152" s="18" t="s">
        <v>620</v>
      </c>
      <c r="C152" s="18" t="s">
        <v>621</v>
      </c>
      <c r="D152" s="18" t="s">
        <v>622</v>
      </c>
      <c r="E152" s="18" t="s">
        <v>191</v>
      </c>
      <c r="F152" s="14">
        <v>7</v>
      </c>
      <c r="G152" s="14" t="s">
        <v>69</v>
      </c>
      <c r="H152" s="26" t="s">
        <v>114</v>
      </c>
      <c r="I152" s="26" t="s">
        <v>115</v>
      </c>
      <c r="J152" s="202">
        <v>45444</v>
      </c>
      <c r="K152" s="16" t="s">
        <v>651</v>
      </c>
      <c r="L152" s="47" t="s">
        <v>6</v>
      </c>
      <c r="M152" s="16" t="s">
        <v>652</v>
      </c>
      <c r="N152" s="16" t="s">
        <v>653</v>
      </c>
      <c r="O152" s="18" t="s">
        <v>5</v>
      </c>
      <c r="P152" s="18" t="s">
        <v>5</v>
      </c>
      <c r="Q152" s="18" t="s">
        <v>59</v>
      </c>
      <c r="R152" s="19">
        <v>45531</v>
      </c>
      <c r="S152" s="20">
        <v>45592</v>
      </c>
      <c r="T152" s="20" t="s">
        <v>45</v>
      </c>
      <c r="U152" s="20" t="s">
        <v>654</v>
      </c>
      <c r="V152" s="20" t="s">
        <v>655</v>
      </c>
      <c r="W152" s="20"/>
      <c r="X152" s="20"/>
    </row>
    <row r="153" spans="2:24" ht="87" hidden="1">
      <c r="B153" s="18" t="s">
        <v>656</v>
      </c>
      <c r="C153" s="18" t="s">
        <v>657</v>
      </c>
      <c r="D153" s="18" t="s">
        <v>658</v>
      </c>
      <c r="E153" s="18" t="s">
        <v>191</v>
      </c>
      <c r="F153" s="14">
        <v>1</v>
      </c>
      <c r="G153" s="14" t="s">
        <v>69</v>
      </c>
      <c r="H153" s="26" t="s">
        <v>95</v>
      </c>
      <c r="I153" s="26" t="s">
        <v>40</v>
      </c>
      <c r="J153" s="202">
        <v>45543</v>
      </c>
      <c r="K153" s="16" t="s">
        <v>659</v>
      </c>
      <c r="L153" s="47" t="s">
        <v>6</v>
      </c>
      <c r="M153" s="16" t="s">
        <v>660</v>
      </c>
      <c r="N153" s="16" t="s">
        <v>661</v>
      </c>
      <c r="O153" s="18" t="s">
        <v>3</v>
      </c>
      <c r="P153" s="18" t="s">
        <v>3</v>
      </c>
      <c r="Q153" s="18" t="s">
        <v>286</v>
      </c>
      <c r="R153" s="19">
        <v>45736</v>
      </c>
      <c r="S153" s="20">
        <v>45972</v>
      </c>
      <c r="T153" s="20" t="s">
        <v>45</v>
      </c>
      <c r="U153" s="20" t="s">
        <v>662</v>
      </c>
      <c r="V153" s="20" t="s">
        <v>663</v>
      </c>
      <c r="W153" s="20">
        <v>14550000</v>
      </c>
      <c r="X153" s="20"/>
    </row>
    <row r="154" spans="2:24" ht="29.1" hidden="1">
      <c r="B154" s="18" t="s">
        <v>656</v>
      </c>
      <c r="C154" s="18" t="s">
        <v>657</v>
      </c>
      <c r="D154" s="18" t="s">
        <v>658</v>
      </c>
      <c r="E154" s="18" t="s">
        <v>191</v>
      </c>
      <c r="F154" s="14">
        <v>2</v>
      </c>
      <c r="G154" s="14" t="s">
        <v>69</v>
      </c>
      <c r="H154" s="26" t="s">
        <v>70</v>
      </c>
      <c r="I154" s="26" t="s">
        <v>40</v>
      </c>
      <c r="J154" s="202">
        <v>45653</v>
      </c>
      <c r="K154" s="16" t="s">
        <v>642</v>
      </c>
      <c r="L154" s="47" t="s">
        <v>6</v>
      </c>
      <c r="M154" s="16" t="s">
        <v>664</v>
      </c>
      <c r="N154" s="16" t="s">
        <v>644</v>
      </c>
      <c r="O154" s="18" t="s">
        <v>5</v>
      </c>
      <c r="P154" s="18" t="s">
        <v>5</v>
      </c>
      <c r="Q154" s="18" t="s">
        <v>286</v>
      </c>
      <c r="R154" s="19">
        <v>45725</v>
      </c>
      <c r="S154" s="20">
        <v>45822</v>
      </c>
      <c r="T154" s="20" t="s">
        <v>45</v>
      </c>
      <c r="U154" s="20" t="s">
        <v>665</v>
      </c>
      <c r="V154" s="20"/>
      <c r="W154" s="20">
        <v>27347998</v>
      </c>
      <c r="X154" s="20"/>
    </row>
    <row r="155" spans="2:24" ht="29.1" hidden="1">
      <c r="B155" s="18" t="s">
        <v>656</v>
      </c>
      <c r="C155" s="18" t="s">
        <v>657</v>
      </c>
      <c r="D155" s="18" t="s">
        <v>658</v>
      </c>
      <c r="E155" s="18" t="s">
        <v>191</v>
      </c>
      <c r="F155" s="14">
        <v>3</v>
      </c>
      <c r="G155" s="14" t="s">
        <v>69</v>
      </c>
      <c r="H155" s="26" t="s">
        <v>632</v>
      </c>
      <c r="I155" s="26" t="s">
        <v>40</v>
      </c>
      <c r="J155" s="202">
        <v>45641</v>
      </c>
      <c r="K155" s="16" t="s">
        <v>666</v>
      </c>
      <c r="L155" s="47" t="s">
        <v>4</v>
      </c>
      <c r="M155" s="16" t="s">
        <v>667</v>
      </c>
      <c r="N155" s="116" t="s">
        <v>668</v>
      </c>
      <c r="O155" s="18" t="s">
        <v>3</v>
      </c>
      <c r="P155" s="18" t="s">
        <v>3</v>
      </c>
      <c r="Q155" s="18" t="s">
        <v>286</v>
      </c>
      <c r="R155" s="19">
        <v>45731</v>
      </c>
      <c r="S155" s="20">
        <v>45981</v>
      </c>
      <c r="T155" s="20" t="s">
        <v>45</v>
      </c>
      <c r="U155" s="20" t="s">
        <v>669</v>
      </c>
      <c r="V155" s="20" t="s">
        <v>663</v>
      </c>
      <c r="W155" s="20">
        <f>414400*4.1</f>
        <v>1699039.9999999998</v>
      </c>
      <c r="X155" s="20"/>
    </row>
    <row r="156" spans="2:24" ht="29.1" hidden="1">
      <c r="B156" s="18" t="s">
        <v>656</v>
      </c>
      <c r="C156" s="18" t="s">
        <v>657</v>
      </c>
      <c r="D156" s="18" t="s">
        <v>658</v>
      </c>
      <c r="E156" s="18" t="s">
        <v>191</v>
      </c>
      <c r="F156" s="14">
        <v>4</v>
      </c>
      <c r="G156" s="14" t="s">
        <v>69</v>
      </c>
      <c r="H156" s="26" t="s">
        <v>637</v>
      </c>
      <c r="I156" s="26" t="s">
        <v>40</v>
      </c>
      <c r="J156" s="202">
        <v>45571</v>
      </c>
      <c r="K156" s="16" t="s">
        <v>670</v>
      </c>
      <c r="L156" s="47" t="s">
        <v>8</v>
      </c>
      <c r="M156" s="16" t="s">
        <v>671</v>
      </c>
      <c r="N156" s="16" t="s">
        <v>672</v>
      </c>
      <c r="O156" s="18" t="s">
        <v>5</v>
      </c>
      <c r="P156" s="18" t="s">
        <v>5</v>
      </c>
      <c r="Q156" s="18" t="s">
        <v>286</v>
      </c>
      <c r="R156" s="19">
        <v>45735</v>
      </c>
      <c r="S156" s="20">
        <v>45853</v>
      </c>
      <c r="T156" s="148" t="s">
        <v>45</v>
      </c>
      <c r="U156" s="20" t="s">
        <v>673</v>
      </c>
      <c r="V156" s="20"/>
      <c r="W156" s="20">
        <v>7900000</v>
      </c>
      <c r="X156" s="20"/>
    </row>
    <row r="157" spans="2:24" ht="32.1" hidden="1">
      <c r="B157" s="18" t="s">
        <v>656</v>
      </c>
      <c r="C157" s="18" t="s">
        <v>657</v>
      </c>
      <c r="D157" s="18" t="s">
        <v>658</v>
      </c>
      <c r="E157" s="18" t="s">
        <v>191</v>
      </c>
      <c r="F157" s="14">
        <v>4</v>
      </c>
      <c r="G157" s="14" t="s">
        <v>69</v>
      </c>
      <c r="H157" s="26" t="s">
        <v>128</v>
      </c>
      <c r="I157" s="26" t="s">
        <v>115</v>
      </c>
      <c r="J157" s="202">
        <v>45741</v>
      </c>
      <c r="K157" s="16" t="s">
        <v>674</v>
      </c>
      <c r="L157" s="47" t="s">
        <v>4</v>
      </c>
      <c r="M157" s="16" t="s">
        <v>675</v>
      </c>
      <c r="N157" s="16" t="s">
        <v>676</v>
      </c>
      <c r="O157" s="18" t="s">
        <v>3</v>
      </c>
      <c r="P157" s="18" t="s">
        <v>3</v>
      </c>
      <c r="Q157" s="18" t="s">
        <v>286</v>
      </c>
      <c r="R157" s="19">
        <v>45738</v>
      </c>
      <c r="S157" s="20">
        <v>45887</v>
      </c>
      <c r="T157" s="20" t="s">
        <v>45</v>
      </c>
      <c r="U157" s="20" t="s">
        <v>677</v>
      </c>
      <c r="V157" s="20"/>
      <c r="W157" s="20"/>
      <c r="X157" s="20"/>
    </row>
    <row r="158" spans="2:24" ht="43.5" hidden="1">
      <c r="B158" s="18" t="s">
        <v>678</v>
      </c>
      <c r="C158" s="18" t="s">
        <v>679</v>
      </c>
      <c r="D158" s="18" t="s">
        <v>680</v>
      </c>
      <c r="E158" s="18" t="s">
        <v>681</v>
      </c>
      <c r="F158" s="96"/>
      <c r="G158" s="14" t="s">
        <v>69</v>
      </c>
      <c r="H158" s="26" t="s">
        <v>70</v>
      </c>
      <c r="I158" s="26" t="s">
        <v>75</v>
      </c>
      <c r="J158" s="202"/>
      <c r="K158" s="18" t="s">
        <v>682</v>
      </c>
      <c r="L158" s="47" t="s">
        <v>4</v>
      </c>
      <c r="M158" s="18" t="s">
        <v>683</v>
      </c>
      <c r="N158" s="18" t="s">
        <v>684</v>
      </c>
      <c r="O158" s="96"/>
      <c r="P158" s="96"/>
      <c r="Q158" s="18" t="s">
        <v>685</v>
      </c>
      <c r="R158" s="19">
        <v>45703</v>
      </c>
      <c r="S158" s="84">
        <v>45784</v>
      </c>
      <c r="T158" s="18" t="s">
        <v>65</v>
      </c>
      <c r="U158" s="20"/>
      <c r="V158" s="108"/>
      <c r="W158" s="18"/>
      <c r="X158" s="18"/>
    </row>
    <row r="159" spans="2:24" ht="32.1" hidden="1">
      <c r="B159" s="18" t="s">
        <v>686</v>
      </c>
      <c r="C159" s="18" t="s">
        <v>687</v>
      </c>
      <c r="D159" s="18" t="s">
        <v>688</v>
      </c>
      <c r="E159" s="18" t="s">
        <v>681</v>
      </c>
      <c r="F159" s="96"/>
      <c r="G159" s="14" t="s">
        <v>69</v>
      </c>
      <c r="H159" s="26" t="s">
        <v>70</v>
      </c>
      <c r="I159" s="26" t="s">
        <v>40</v>
      </c>
      <c r="J159" s="202"/>
      <c r="K159" s="18" t="s">
        <v>689</v>
      </c>
      <c r="L159" s="47" t="s">
        <v>8</v>
      </c>
      <c r="M159" s="18" t="s">
        <v>690</v>
      </c>
      <c r="N159" s="18" t="s">
        <v>691</v>
      </c>
      <c r="O159" s="96"/>
      <c r="P159" s="96"/>
      <c r="Q159" s="18" t="s">
        <v>69</v>
      </c>
      <c r="R159" s="19">
        <v>45672</v>
      </c>
      <c r="S159" s="84">
        <v>45687</v>
      </c>
      <c r="T159" s="18" t="s">
        <v>45</v>
      </c>
      <c r="U159" s="20" t="s">
        <v>692</v>
      </c>
      <c r="V159" s="108"/>
      <c r="W159" s="18"/>
      <c r="X159" s="18"/>
    </row>
    <row r="160" spans="2:24" ht="29.1" hidden="1">
      <c r="B160" s="18" t="s">
        <v>693</v>
      </c>
      <c r="C160" s="18" t="s">
        <v>694</v>
      </c>
      <c r="D160" s="18" t="s">
        <v>695</v>
      </c>
      <c r="E160" s="18" t="s">
        <v>38</v>
      </c>
      <c r="F160" s="96">
        <v>1</v>
      </c>
      <c r="G160" s="96" t="s">
        <v>53</v>
      </c>
      <c r="H160" s="18" t="s">
        <v>54</v>
      </c>
      <c r="I160" s="26" t="s">
        <v>511</v>
      </c>
      <c r="J160" s="203"/>
      <c r="K160" s="66" t="s">
        <v>696</v>
      </c>
      <c r="L160" s="18" t="s">
        <v>6</v>
      </c>
      <c r="M160" s="66" t="s">
        <v>697</v>
      </c>
      <c r="N160" s="18" t="s">
        <v>698</v>
      </c>
      <c r="O160" s="96" t="s">
        <v>3</v>
      </c>
      <c r="P160" s="96" t="s">
        <v>3</v>
      </c>
      <c r="Q160" s="18" t="s">
        <v>699</v>
      </c>
      <c r="R160" s="19">
        <v>45851</v>
      </c>
      <c r="S160" s="19">
        <v>45858</v>
      </c>
      <c r="T160" s="96" t="s">
        <v>65</v>
      </c>
      <c r="U160" s="18" t="s">
        <v>700</v>
      </c>
      <c r="V160" s="18"/>
      <c r="W160" s="18"/>
      <c r="X160" s="18"/>
    </row>
    <row r="161" spans="2:24" ht="43.5" hidden="1">
      <c r="B161" s="18" t="s">
        <v>701</v>
      </c>
      <c r="C161" s="18" t="s">
        <v>702</v>
      </c>
      <c r="D161" s="18" t="s">
        <v>703</v>
      </c>
      <c r="E161" s="18" t="s">
        <v>681</v>
      </c>
      <c r="F161" s="96">
        <v>2</v>
      </c>
      <c r="G161" s="96" t="s">
        <v>53</v>
      </c>
      <c r="H161" s="128" t="s">
        <v>54</v>
      </c>
      <c r="I161" s="26" t="s">
        <v>55</v>
      </c>
      <c r="J161" s="203"/>
      <c r="K161" s="16" t="s">
        <v>704</v>
      </c>
      <c r="L161" s="18" t="s">
        <v>6</v>
      </c>
      <c r="M161" s="18" t="s">
        <v>705</v>
      </c>
      <c r="N161" s="16" t="s">
        <v>706</v>
      </c>
      <c r="O161" s="96" t="s">
        <v>5</v>
      </c>
      <c r="P161" s="96" t="s">
        <v>3</v>
      </c>
      <c r="Q161" s="18" t="s">
        <v>54</v>
      </c>
      <c r="R161" s="19">
        <v>45868</v>
      </c>
      <c r="S161" s="19"/>
      <c r="T161" s="96" t="s">
        <v>65</v>
      </c>
      <c r="U161" s="18"/>
      <c r="V161" s="129" t="s">
        <v>707</v>
      </c>
      <c r="W161" s="18"/>
      <c r="X161" s="18"/>
    </row>
    <row r="162" spans="2:24" ht="43.5" hidden="1">
      <c r="B162" s="18" t="s">
        <v>701</v>
      </c>
      <c r="C162" s="18" t="s">
        <v>702</v>
      </c>
      <c r="D162" s="18" t="s">
        <v>703</v>
      </c>
      <c r="E162" s="18" t="s">
        <v>681</v>
      </c>
      <c r="F162" s="96">
        <v>3</v>
      </c>
      <c r="G162" s="96" t="s">
        <v>69</v>
      </c>
      <c r="H162" s="128" t="s">
        <v>708</v>
      </c>
      <c r="I162" s="26" t="s">
        <v>40</v>
      </c>
      <c r="J162" s="203"/>
      <c r="K162" s="16" t="s">
        <v>709</v>
      </c>
      <c r="L162" s="18" t="s">
        <v>4</v>
      </c>
      <c r="M162" s="18" t="s">
        <v>710</v>
      </c>
      <c r="N162" s="16" t="s">
        <v>711</v>
      </c>
      <c r="O162" s="96" t="s">
        <v>3</v>
      </c>
      <c r="P162" s="96" t="s">
        <v>3</v>
      </c>
      <c r="Q162" s="18" t="s">
        <v>712</v>
      </c>
      <c r="R162" s="19">
        <v>45873</v>
      </c>
      <c r="S162" s="19"/>
      <c r="T162" s="96" t="s">
        <v>65</v>
      </c>
      <c r="U162" s="18"/>
      <c r="V162" s="129" t="s">
        <v>713</v>
      </c>
      <c r="W162" s="18"/>
      <c r="X162" s="18"/>
    </row>
    <row r="163" spans="2:24" ht="43.5" hidden="1">
      <c r="B163" s="18" t="s">
        <v>701</v>
      </c>
      <c r="C163" s="18" t="s">
        <v>702</v>
      </c>
      <c r="D163" s="18" t="s">
        <v>703</v>
      </c>
      <c r="E163" s="18" t="s">
        <v>681</v>
      </c>
      <c r="F163" s="96">
        <v>4</v>
      </c>
      <c r="G163" s="96" t="s">
        <v>69</v>
      </c>
      <c r="H163" s="128" t="s">
        <v>714</v>
      </c>
      <c r="I163" s="26" t="s">
        <v>40</v>
      </c>
      <c r="J163" s="203"/>
      <c r="K163" s="16" t="s">
        <v>715</v>
      </c>
      <c r="L163" s="18" t="s">
        <v>4</v>
      </c>
      <c r="M163" s="112" t="s">
        <v>716</v>
      </c>
      <c r="N163" s="16" t="s">
        <v>717</v>
      </c>
      <c r="O163" s="96" t="s">
        <v>3</v>
      </c>
      <c r="P163" s="96" t="s">
        <v>3</v>
      </c>
      <c r="Q163" s="18" t="s">
        <v>718</v>
      </c>
      <c r="R163" s="19">
        <v>45875</v>
      </c>
      <c r="S163" s="19"/>
      <c r="T163" s="96" t="s">
        <v>65</v>
      </c>
      <c r="U163" s="18"/>
      <c r="V163" s="129" t="s">
        <v>719</v>
      </c>
      <c r="W163" s="18"/>
      <c r="X163" s="18"/>
    </row>
    <row r="164" spans="2:24" ht="111.75" hidden="1" customHeight="1">
      <c r="B164" s="18" t="s">
        <v>701</v>
      </c>
      <c r="C164" s="18" t="s">
        <v>702</v>
      </c>
      <c r="D164" s="18" t="s">
        <v>703</v>
      </c>
      <c r="E164" s="18" t="s">
        <v>681</v>
      </c>
      <c r="F164" s="96">
        <v>5</v>
      </c>
      <c r="G164" s="96" t="s">
        <v>69</v>
      </c>
      <c r="H164" s="128" t="s">
        <v>128</v>
      </c>
      <c r="I164" s="26" t="s">
        <v>115</v>
      </c>
      <c r="J164" s="203"/>
      <c r="K164" s="120" t="s">
        <v>720</v>
      </c>
      <c r="L164" s="18" t="s">
        <v>4</v>
      </c>
      <c r="M164" s="18" t="s">
        <v>721</v>
      </c>
      <c r="N164" s="16" t="s">
        <v>722</v>
      </c>
      <c r="O164" s="96" t="s">
        <v>3</v>
      </c>
      <c r="P164" s="96" t="s">
        <v>3</v>
      </c>
      <c r="Q164" s="18" t="s">
        <v>723</v>
      </c>
      <c r="R164" s="19">
        <v>45869</v>
      </c>
      <c r="S164" s="19"/>
      <c r="T164" s="96" t="s">
        <v>65</v>
      </c>
      <c r="U164" s="18"/>
      <c r="V164" s="129" t="s">
        <v>724</v>
      </c>
      <c r="W164" s="18"/>
      <c r="X164" s="18"/>
    </row>
    <row r="165" spans="2:24" ht="43.5" hidden="1">
      <c r="B165" s="18" t="s">
        <v>701</v>
      </c>
      <c r="C165" s="18" t="s">
        <v>702</v>
      </c>
      <c r="D165" s="18" t="s">
        <v>703</v>
      </c>
      <c r="E165" s="18" t="s">
        <v>681</v>
      </c>
      <c r="F165" s="96">
        <v>6</v>
      </c>
      <c r="G165" s="96" t="s">
        <v>69</v>
      </c>
      <c r="H165" s="128" t="s">
        <v>70</v>
      </c>
      <c r="I165" s="26" t="s">
        <v>40</v>
      </c>
      <c r="J165" s="203"/>
      <c r="K165" s="129" t="s">
        <v>725</v>
      </c>
      <c r="L165" s="18" t="s">
        <v>4</v>
      </c>
      <c r="M165" s="112" t="s">
        <v>716</v>
      </c>
      <c r="N165" s="16" t="s">
        <v>726</v>
      </c>
      <c r="O165" s="96" t="s">
        <v>3</v>
      </c>
      <c r="P165" s="96" t="s">
        <v>3</v>
      </c>
      <c r="Q165" s="18" t="s">
        <v>727</v>
      </c>
      <c r="R165" s="19">
        <v>45869</v>
      </c>
      <c r="S165" s="19"/>
      <c r="T165" s="96" t="s">
        <v>65</v>
      </c>
      <c r="U165" s="18"/>
      <c r="V165" s="129" t="s">
        <v>719</v>
      </c>
      <c r="W165" s="18"/>
      <c r="X165" s="18"/>
    </row>
    <row r="166" spans="2:24" ht="43.5" hidden="1">
      <c r="B166" s="18" t="s">
        <v>701</v>
      </c>
      <c r="C166" s="18" t="s">
        <v>702</v>
      </c>
      <c r="D166" s="18" t="s">
        <v>703</v>
      </c>
      <c r="E166" s="18" t="s">
        <v>681</v>
      </c>
      <c r="F166" s="96">
        <v>7</v>
      </c>
      <c r="G166" s="96" t="s">
        <v>69</v>
      </c>
      <c r="H166" s="125" t="s">
        <v>728</v>
      </c>
      <c r="I166" s="26" t="s">
        <v>115</v>
      </c>
      <c r="J166" s="203"/>
      <c r="K166" s="129" t="s">
        <v>729</v>
      </c>
      <c r="L166" s="18" t="s">
        <v>4</v>
      </c>
      <c r="M166" s="18" t="s">
        <v>730</v>
      </c>
      <c r="N166" s="16" t="s">
        <v>731</v>
      </c>
      <c r="O166" s="96" t="s">
        <v>3</v>
      </c>
      <c r="P166" s="96" t="s">
        <v>3</v>
      </c>
      <c r="Q166" s="18" t="s">
        <v>732</v>
      </c>
      <c r="R166" s="19">
        <v>45869</v>
      </c>
      <c r="S166" s="19"/>
      <c r="T166" s="96" t="s">
        <v>65</v>
      </c>
      <c r="U166" s="18"/>
      <c r="V166" s="129" t="s">
        <v>733</v>
      </c>
      <c r="W166" s="18"/>
      <c r="X166" s="18"/>
    </row>
    <row r="167" spans="2:24" ht="43.5" hidden="1">
      <c r="B167" s="18" t="s">
        <v>701</v>
      </c>
      <c r="C167" s="18" t="s">
        <v>702</v>
      </c>
      <c r="D167" s="18" t="s">
        <v>703</v>
      </c>
      <c r="E167" s="18" t="s">
        <v>681</v>
      </c>
      <c r="F167" s="96">
        <v>8</v>
      </c>
      <c r="G167" s="96" t="s">
        <v>69</v>
      </c>
      <c r="H167" s="128" t="s">
        <v>734</v>
      </c>
      <c r="I167" s="26" t="s">
        <v>40</v>
      </c>
      <c r="J167" s="203"/>
      <c r="K167" s="129" t="s">
        <v>735</v>
      </c>
      <c r="L167" s="18" t="s">
        <v>6</v>
      </c>
      <c r="M167" s="112" t="s">
        <v>716</v>
      </c>
      <c r="N167" s="16" t="s">
        <v>736</v>
      </c>
      <c r="O167" s="96" t="s">
        <v>5</v>
      </c>
      <c r="P167" s="96" t="s">
        <v>3</v>
      </c>
      <c r="Q167" s="18" t="s">
        <v>727</v>
      </c>
      <c r="R167" s="19">
        <v>45869</v>
      </c>
      <c r="S167" s="84"/>
      <c r="T167" s="96" t="s">
        <v>65</v>
      </c>
      <c r="U167" s="18"/>
      <c r="V167" s="130" t="s">
        <v>737</v>
      </c>
      <c r="W167" s="18"/>
      <c r="X167" s="18"/>
    </row>
    <row r="168" spans="2:24" ht="43.5" hidden="1">
      <c r="B168" s="18" t="s">
        <v>738</v>
      </c>
      <c r="C168" s="18" t="s">
        <v>739</v>
      </c>
      <c r="D168" s="18" t="s">
        <v>740</v>
      </c>
      <c r="E168" s="18" t="s">
        <v>681</v>
      </c>
      <c r="F168" s="96">
        <v>1</v>
      </c>
      <c r="G168" s="96" t="s">
        <v>69</v>
      </c>
      <c r="H168" s="125" t="s">
        <v>70</v>
      </c>
      <c r="I168" s="26" t="s">
        <v>40</v>
      </c>
      <c r="J168" s="203"/>
      <c r="K168" s="131" t="s">
        <v>725</v>
      </c>
      <c r="L168" s="18" t="s">
        <v>4</v>
      </c>
      <c r="M168" s="112" t="s">
        <v>716</v>
      </c>
      <c r="N168" s="129" t="s">
        <v>726</v>
      </c>
      <c r="O168" s="96" t="s">
        <v>3</v>
      </c>
      <c r="P168" s="96" t="s">
        <v>3</v>
      </c>
      <c r="Q168" s="128" t="s">
        <v>39</v>
      </c>
      <c r="R168" s="132">
        <v>45862</v>
      </c>
      <c r="S168" s="84"/>
      <c r="T168" s="96" t="s">
        <v>65</v>
      </c>
      <c r="U168" s="18"/>
      <c r="V168" s="129" t="s">
        <v>719</v>
      </c>
      <c r="W168" s="18"/>
      <c r="X168" s="18"/>
    </row>
    <row r="169" spans="2:24" ht="43.5" hidden="1">
      <c r="B169" s="18" t="s">
        <v>738</v>
      </c>
      <c r="C169" s="18" t="s">
        <v>739</v>
      </c>
      <c r="D169" s="18" t="s">
        <v>740</v>
      </c>
      <c r="E169" s="18" t="s">
        <v>681</v>
      </c>
      <c r="F169" s="96">
        <v>2</v>
      </c>
      <c r="G169" s="96" t="s">
        <v>69</v>
      </c>
      <c r="H169" s="128" t="s">
        <v>708</v>
      </c>
      <c r="I169" s="26" t="s">
        <v>40</v>
      </c>
      <c r="J169" s="203"/>
      <c r="K169" s="131" t="s">
        <v>741</v>
      </c>
      <c r="L169" s="18" t="s">
        <v>4</v>
      </c>
      <c r="M169" s="18" t="s">
        <v>710</v>
      </c>
      <c r="N169" s="16" t="s">
        <v>711</v>
      </c>
      <c r="O169" s="96" t="s">
        <v>3</v>
      </c>
      <c r="P169" s="96" t="s">
        <v>3</v>
      </c>
      <c r="Q169" s="128" t="s">
        <v>39</v>
      </c>
      <c r="R169" s="132">
        <v>45868</v>
      </c>
      <c r="S169" s="84"/>
      <c r="T169" s="96" t="s">
        <v>65</v>
      </c>
      <c r="U169" s="18"/>
      <c r="V169" s="129" t="s">
        <v>742</v>
      </c>
      <c r="W169" s="18"/>
      <c r="X169" s="18"/>
    </row>
    <row r="170" spans="2:24" ht="43.5" hidden="1">
      <c r="B170" s="18" t="s">
        <v>738</v>
      </c>
      <c r="C170" s="18" t="s">
        <v>739</v>
      </c>
      <c r="D170" s="18" t="s">
        <v>740</v>
      </c>
      <c r="E170" s="18" t="s">
        <v>681</v>
      </c>
      <c r="F170" s="96">
        <v>3</v>
      </c>
      <c r="G170" s="96" t="s">
        <v>69</v>
      </c>
      <c r="H170" s="128" t="s">
        <v>128</v>
      </c>
      <c r="I170" s="26" t="s">
        <v>115</v>
      </c>
      <c r="J170" s="203"/>
      <c r="K170" s="133" t="s">
        <v>720</v>
      </c>
      <c r="L170" s="18" t="s">
        <v>4</v>
      </c>
      <c r="M170" s="112" t="s">
        <v>743</v>
      </c>
      <c r="N170" s="129" t="s">
        <v>722</v>
      </c>
      <c r="O170" s="96" t="s">
        <v>3</v>
      </c>
      <c r="P170" s="96" t="s">
        <v>3</v>
      </c>
      <c r="Q170" s="128" t="s">
        <v>39</v>
      </c>
      <c r="R170" s="132">
        <v>45858</v>
      </c>
      <c r="S170" s="84"/>
      <c r="T170" s="96" t="s">
        <v>65</v>
      </c>
      <c r="U170" s="18"/>
      <c r="V170" s="129" t="s">
        <v>724</v>
      </c>
      <c r="W170" s="18"/>
      <c r="X170" s="18"/>
    </row>
    <row r="171" spans="2:24" ht="43.5" hidden="1">
      <c r="B171" s="18" t="s">
        <v>738</v>
      </c>
      <c r="C171" s="18" t="s">
        <v>739</v>
      </c>
      <c r="D171" s="18" t="s">
        <v>740</v>
      </c>
      <c r="E171" s="18" t="s">
        <v>681</v>
      </c>
      <c r="F171" s="96">
        <v>4</v>
      </c>
      <c r="G171" s="96" t="s">
        <v>69</v>
      </c>
      <c r="H171" s="128" t="s">
        <v>714</v>
      </c>
      <c r="I171" s="26" t="s">
        <v>40</v>
      </c>
      <c r="J171" s="203"/>
      <c r="K171" s="131" t="s">
        <v>715</v>
      </c>
      <c r="L171" s="18" t="s">
        <v>4</v>
      </c>
      <c r="M171" s="112" t="s">
        <v>716</v>
      </c>
      <c r="N171" s="129" t="s">
        <v>744</v>
      </c>
      <c r="O171" s="96" t="s">
        <v>3</v>
      </c>
      <c r="P171" s="96" t="s">
        <v>3</v>
      </c>
      <c r="Q171" s="128" t="s">
        <v>718</v>
      </c>
      <c r="R171" s="132">
        <v>45843</v>
      </c>
      <c r="S171" s="84"/>
      <c r="T171" s="96" t="s">
        <v>65</v>
      </c>
      <c r="U171" s="18"/>
      <c r="V171" s="129" t="s">
        <v>719</v>
      </c>
      <c r="W171" s="18"/>
      <c r="X171" s="18"/>
    </row>
    <row r="172" spans="2:24" ht="43.5" hidden="1">
      <c r="B172" s="18" t="s">
        <v>738</v>
      </c>
      <c r="C172" s="18" t="s">
        <v>739</v>
      </c>
      <c r="D172" s="18" t="s">
        <v>740</v>
      </c>
      <c r="E172" s="18" t="s">
        <v>681</v>
      </c>
      <c r="F172" s="96">
        <v>5</v>
      </c>
      <c r="G172" s="96" t="s">
        <v>69</v>
      </c>
      <c r="H172" s="128" t="s">
        <v>734</v>
      </c>
      <c r="I172" s="26" t="s">
        <v>40</v>
      </c>
      <c r="J172" s="203"/>
      <c r="K172" s="131" t="s">
        <v>735</v>
      </c>
      <c r="L172" s="18" t="s">
        <v>6</v>
      </c>
      <c r="M172" s="112" t="s">
        <v>716</v>
      </c>
      <c r="N172" s="129" t="s">
        <v>736</v>
      </c>
      <c r="O172" s="96" t="s">
        <v>5</v>
      </c>
      <c r="P172" s="96" t="s">
        <v>3</v>
      </c>
      <c r="Q172" s="134" t="s">
        <v>745</v>
      </c>
      <c r="R172" s="135">
        <v>45868</v>
      </c>
      <c r="S172" s="84"/>
      <c r="T172" s="96" t="s">
        <v>65</v>
      </c>
      <c r="U172" s="18"/>
      <c r="V172" s="129" t="s">
        <v>737</v>
      </c>
      <c r="W172" s="18"/>
      <c r="X172" s="18"/>
    </row>
    <row r="173" spans="2:24" ht="43.5" hidden="1">
      <c r="B173" s="18" t="s">
        <v>738</v>
      </c>
      <c r="C173" s="18" t="s">
        <v>739</v>
      </c>
      <c r="D173" s="18" t="s">
        <v>740</v>
      </c>
      <c r="E173" s="18" t="s">
        <v>681</v>
      </c>
      <c r="F173" s="96">
        <v>7</v>
      </c>
      <c r="G173" s="96" t="s">
        <v>69</v>
      </c>
      <c r="H173" s="125" t="s">
        <v>728</v>
      </c>
      <c r="I173" s="26" t="s">
        <v>115</v>
      </c>
      <c r="J173" s="203"/>
      <c r="K173" s="129" t="s">
        <v>729</v>
      </c>
      <c r="L173" s="18" t="s">
        <v>4</v>
      </c>
      <c r="M173" s="18" t="s">
        <v>730</v>
      </c>
      <c r="N173" s="16" t="s">
        <v>731</v>
      </c>
      <c r="O173" s="96" t="s">
        <v>3</v>
      </c>
      <c r="P173" s="96" t="s">
        <v>3</v>
      </c>
      <c r="Q173" s="128" t="s">
        <v>54</v>
      </c>
      <c r="R173" s="132">
        <v>45868</v>
      </c>
      <c r="S173" s="84"/>
      <c r="T173" s="96" t="s">
        <v>65</v>
      </c>
      <c r="U173" s="18"/>
      <c r="V173" s="129" t="s">
        <v>746</v>
      </c>
      <c r="W173" s="18"/>
      <c r="X173" s="18"/>
    </row>
    <row r="174" spans="2:24" ht="43.5" hidden="1">
      <c r="B174" s="18" t="s">
        <v>738</v>
      </c>
      <c r="C174" s="18" t="s">
        <v>739</v>
      </c>
      <c r="D174" s="18" t="s">
        <v>740</v>
      </c>
      <c r="E174" s="18" t="s">
        <v>681</v>
      </c>
      <c r="F174" s="96">
        <v>8</v>
      </c>
      <c r="G174" s="96" t="s">
        <v>53</v>
      </c>
      <c r="H174" s="128" t="s">
        <v>54</v>
      </c>
      <c r="I174" s="26" t="s">
        <v>55</v>
      </c>
      <c r="J174" s="203"/>
      <c r="K174" s="131" t="s">
        <v>747</v>
      </c>
      <c r="L174" s="18" t="s">
        <v>4</v>
      </c>
      <c r="M174" s="112" t="s">
        <v>716</v>
      </c>
      <c r="N174" s="120" t="s">
        <v>748</v>
      </c>
      <c r="O174" s="96" t="s">
        <v>3</v>
      </c>
      <c r="P174" s="96" t="s">
        <v>3</v>
      </c>
      <c r="Q174" s="128" t="s">
        <v>54</v>
      </c>
      <c r="R174" s="132">
        <v>45868</v>
      </c>
      <c r="S174" s="84"/>
      <c r="T174" s="96" t="s">
        <v>65</v>
      </c>
      <c r="U174" s="18"/>
      <c r="V174" s="129" t="s">
        <v>749</v>
      </c>
      <c r="W174" s="18"/>
      <c r="X174" s="18"/>
    </row>
    <row r="175" spans="2:24" ht="43.5" hidden="1">
      <c r="B175" s="18" t="s">
        <v>738</v>
      </c>
      <c r="C175" s="18" t="s">
        <v>739</v>
      </c>
      <c r="D175" s="18" t="s">
        <v>740</v>
      </c>
      <c r="E175" s="18" t="s">
        <v>681</v>
      </c>
      <c r="F175" s="96">
        <v>9</v>
      </c>
      <c r="G175" s="14" t="s">
        <v>69</v>
      </c>
      <c r="H175" s="128" t="s">
        <v>750</v>
      </c>
      <c r="I175" s="26" t="s">
        <v>40</v>
      </c>
      <c r="J175" s="202"/>
      <c r="K175" s="131" t="s">
        <v>751</v>
      </c>
      <c r="L175" s="18" t="s">
        <v>4</v>
      </c>
      <c r="M175" s="112" t="s">
        <v>716</v>
      </c>
      <c r="N175" s="129" t="s">
        <v>752</v>
      </c>
      <c r="O175" s="96" t="s">
        <v>3</v>
      </c>
      <c r="P175" s="96" t="s">
        <v>3</v>
      </c>
      <c r="Q175" s="134" t="s">
        <v>39</v>
      </c>
      <c r="R175" s="135">
        <v>45855</v>
      </c>
      <c r="S175" s="84"/>
      <c r="T175" s="96" t="s">
        <v>65</v>
      </c>
      <c r="U175" s="20"/>
      <c r="V175" s="129" t="s">
        <v>753</v>
      </c>
      <c r="W175" s="18"/>
      <c r="X175" s="18"/>
    </row>
    <row r="176" spans="2:24" ht="43.5" hidden="1">
      <c r="B176" s="18" t="s">
        <v>754</v>
      </c>
      <c r="C176" s="18" t="s">
        <v>755</v>
      </c>
      <c r="D176" s="18" t="s">
        <v>756</v>
      </c>
      <c r="E176" s="18" t="s">
        <v>681</v>
      </c>
      <c r="F176" s="96">
        <v>1</v>
      </c>
      <c r="G176" s="14" t="s">
        <v>53</v>
      </c>
      <c r="H176" s="128" t="s">
        <v>54</v>
      </c>
      <c r="I176" s="26" t="s">
        <v>40</v>
      </c>
      <c r="J176" s="202"/>
      <c r="K176" s="129" t="s">
        <v>715</v>
      </c>
      <c r="L176" s="18" t="s">
        <v>4</v>
      </c>
      <c r="M176" s="112" t="s">
        <v>716</v>
      </c>
      <c r="N176" s="129" t="s">
        <v>717</v>
      </c>
      <c r="O176" s="96" t="s">
        <v>3</v>
      </c>
      <c r="P176" s="96" t="s">
        <v>3</v>
      </c>
      <c r="Q176" s="128" t="s">
        <v>54</v>
      </c>
      <c r="R176" s="132">
        <v>45843</v>
      </c>
      <c r="S176" s="84"/>
      <c r="T176" s="128" t="s">
        <v>65</v>
      </c>
      <c r="U176" s="20"/>
      <c r="V176" s="129" t="s">
        <v>746</v>
      </c>
      <c r="W176" s="18"/>
      <c r="X176" s="18"/>
    </row>
    <row r="177" spans="2:24" ht="43.5" hidden="1">
      <c r="B177" s="18" t="s">
        <v>754</v>
      </c>
      <c r="C177" s="18" t="s">
        <v>755</v>
      </c>
      <c r="D177" s="18" t="s">
        <v>756</v>
      </c>
      <c r="E177" s="18" t="s">
        <v>681</v>
      </c>
      <c r="F177" s="96">
        <v>2</v>
      </c>
      <c r="G177" s="14" t="s">
        <v>69</v>
      </c>
      <c r="H177" s="128" t="s">
        <v>70</v>
      </c>
      <c r="I177" s="26" t="s">
        <v>40</v>
      </c>
      <c r="J177" s="202"/>
      <c r="K177" s="129" t="s">
        <v>725</v>
      </c>
      <c r="L177" s="18" t="s">
        <v>4</v>
      </c>
      <c r="M177" s="112" t="s">
        <v>716</v>
      </c>
      <c r="N177" s="129" t="s">
        <v>726</v>
      </c>
      <c r="O177" s="96" t="s">
        <v>3</v>
      </c>
      <c r="P177" s="96" t="s">
        <v>3</v>
      </c>
      <c r="Q177" s="128" t="s">
        <v>39</v>
      </c>
      <c r="R177" s="132">
        <v>45862</v>
      </c>
      <c r="S177" s="84"/>
      <c r="T177" s="128" t="s">
        <v>65</v>
      </c>
      <c r="U177" s="20"/>
      <c r="V177" s="129" t="s">
        <v>719</v>
      </c>
      <c r="W177" s="18"/>
      <c r="X177" s="18"/>
    </row>
    <row r="178" spans="2:24" ht="43.5" hidden="1">
      <c r="B178" s="18" t="s">
        <v>754</v>
      </c>
      <c r="C178" s="18" t="s">
        <v>755</v>
      </c>
      <c r="D178" s="18" t="s">
        <v>756</v>
      </c>
      <c r="E178" s="18" t="s">
        <v>681</v>
      </c>
      <c r="F178" s="96">
        <v>3</v>
      </c>
      <c r="G178" s="14" t="s">
        <v>69</v>
      </c>
      <c r="H178" s="134" t="s">
        <v>734</v>
      </c>
      <c r="I178" s="26" t="s">
        <v>40</v>
      </c>
      <c r="J178" s="202"/>
      <c r="K178" s="129" t="s">
        <v>735</v>
      </c>
      <c r="L178" s="18" t="s">
        <v>6</v>
      </c>
      <c r="M178" s="112" t="s">
        <v>716</v>
      </c>
      <c r="N178" s="130" t="s">
        <v>736</v>
      </c>
      <c r="O178" s="96" t="s">
        <v>5</v>
      </c>
      <c r="P178" s="96" t="s">
        <v>3</v>
      </c>
      <c r="Q178" s="134" t="s">
        <v>745</v>
      </c>
      <c r="R178" s="135">
        <v>45868</v>
      </c>
      <c r="S178" s="84"/>
      <c r="T178" s="134" t="s">
        <v>65</v>
      </c>
      <c r="U178" s="20"/>
      <c r="V178" s="130" t="s">
        <v>737</v>
      </c>
      <c r="W178" s="18"/>
      <c r="X178" s="18"/>
    </row>
    <row r="179" spans="2:24" ht="43.5" hidden="1">
      <c r="B179" s="18" t="s">
        <v>754</v>
      </c>
      <c r="C179" s="18" t="s">
        <v>755</v>
      </c>
      <c r="D179" s="18" t="s">
        <v>756</v>
      </c>
      <c r="E179" s="18" t="s">
        <v>681</v>
      </c>
      <c r="F179" s="96">
        <v>6</v>
      </c>
      <c r="G179" s="96" t="s">
        <v>53</v>
      </c>
      <c r="H179" s="128" t="s">
        <v>54</v>
      </c>
      <c r="I179" s="26" t="s">
        <v>55</v>
      </c>
      <c r="J179" s="203"/>
      <c r="K179" s="129" t="s">
        <v>747</v>
      </c>
      <c r="L179" s="18" t="s">
        <v>4</v>
      </c>
      <c r="M179" s="112" t="s">
        <v>716</v>
      </c>
      <c r="N179" s="120" t="s">
        <v>748</v>
      </c>
      <c r="O179" s="96" t="s">
        <v>3</v>
      </c>
      <c r="P179" s="96" t="s">
        <v>3</v>
      </c>
      <c r="Q179" s="128" t="s">
        <v>54</v>
      </c>
      <c r="R179" s="132">
        <v>45868</v>
      </c>
      <c r="S179" s="84"/>
      <c r="T179" s="128" t="s">
        <v>65</v>
      </c>
      <c r="U179" s="18"/>
      <c r="V179" s="129" t="s">
        <v>749</v>
      </c>
      <c r="W179" s="18"/>
      <c r="X179" s="18"/>
    </row>
    <row r="180" spans="2:24" ht="43.5" hidden="1">
      <c r="B180" s="18" t="s">
        <v>757</v>
      </c>
      <c r="C180" s="18" t="s">
        <v>758</v>
      </c>
      <c r="D180" s="18" t="s">
        <v>759</v>
      </c>
      <c r="E180" s="18" t="s">
        <v>38</v>
      </c>
      <c r="F180" s="96">
        <v>1</v>
      </c>
      <c r="G180" s="96" t="s">
        <v>69</v>
      </c>
      <c r="H180" s="125" t="s">
        <v>128</v>
      </c>
      <c r="I180" s="26" t="s">
        <v>40</v>
      </c>
      <c r="J180" s="202"/>
      <c r="K180" s="120" t="s">
        <v>760</v>
      </c>
      <c r="L180" s="47" t="s">
        <v>6</v>
      </c>
      <c r="M180" s="18"/>
      <c r="N180" s="18"/>
      <c r="O180" s="18"/>
      <c r="P180" s="18"/>
      <c r="Q180" s="18"/>
      <c r="R180" s="19"/>
      <c r="S180" s="20"/>
      <c r="T180" s="20" t="s">
        <v>65</v>
      </c>
      <c r="U180" s="20"/>
      <c r="V180" s="108"/>
      <c r="W180" s="18"/>
      <c r="X180" s="18"/>
    </row>
    <row r="181" spans="2:24" ht="43.5" hidden="1">
      <c r="B181" s="18" t="s">
        <v>757</v>
      </c>
      <c r="C181" s="18" t="s">
        <v>758</v>
      </c>
      <c r="D181" s="18" t="s">
        <v>759</v>
      </c>
      <c r="E181" s="18" t="s">
        <v>681</v>
      </c>
      <c r="F181" s="96">
        <v>2</v>
      </c>
      <c r="G181" s="96" t="s">
        <v>69</v>
      </c>
      <c r="H181" s="128" t="s">
        <v>128</v>
      </c>
      <c r="I181" s="26" t="s">
        <v>115</v>
      </c>
      <c r="J181" s="203"/>
      <c r="K181" s="120" t="s">
        <v>720</v>
      </c>
      <c r="L181" s="18" t="s">
        <v>4</v>
      </c>
      <c r="M181" s="112" t="s">
        <v>743</v>
      </c>
      <c r="N181" s="129" t="s">
        <v>722</v>
      </c>
      <c r="O181" s="96" t="s">
        <v>3</v>
      </c>
      <c r="P181" s="96" t="s">
        <v>3</v>
      </c>
      <c r="Q181" s="128" t="s">
        <v>39</v>
      </c>
      <c r="R181" s="132">
        <v>45858</v>
      </c>
      <c r="S181" s="84"/>
      <c r="T181" s="128" t="s">
        <v>65</v>
      </c>
      <c r="U181" s="18"/>
      <c r="V181" s="129" t="s">
        <v>724</v>
      </c>
      <c r="W181" s="18"/>
      <c r="X181" s="18"/>
    </row>
    <row r="182" spans="2:24" ht="43.5" hidden="1">
      <c r="B182" s="18" t="s">
        <v>757</v>
      </c>
      <c r="C182" s="18" t="s">
        <v>758</v>
      </c>
      <c r="D182" s="18" t="s">
        <v>759</v>
      </c>
      <c r="E182" s="18" t="s">
        <v>681</v>
      </c>
      <c r="F182" s="96">
        <v>3</v>
      </c>
      <c r="G182" s="96" t="s">
        <v>69</v>
      </c>
      <c r="H182" s="26" t="s">
        <v>637</v>
      </c>
      <c r="I182" s="26" t="s">
        <v>115</v>
      </c>
      <c r="J182" s="203"/>
      <c r="K182" s="120" t="s">
        <v>761</v>
      </c>
      <c r="L182" s="18" t="s">
        <v>4</v>
      </c>
      <c r="M182" s="18" t="s">
        <v>705</v>
      </c>
      <c r="N182" s="120" t="s">
        <v>762</v>
      </c>
      <c r="O182" s="96" t="s">
        <v>3</v>
      </c>
      <c r="P182" s="96" t="s">
        <v>3</v>
      </c>
      <c r="Q182" s="128" t="s">
        <v>54</v>
      </c>
      <c r="R182" s="132">
        <v>45868</v>
      </c>
      <c r="S182" s="84"/>
      <c r="T182" s="128" t="s">
        <v>65</v>
      </c>
      <c r="U182" s="18"/>
      <c r="V182" s="129" t="s">
        <v>763</v>
      </c>
      <c r="W182" s="18"/>
      <c r="X182" s="18"/>
    </row>
    <row r="183" spans="2:24" ht="43.5" hidden="1">
      <c r="B183" s="18" t="s">
        <v>757</v>
      </c>
      <c r="C183" s="18" t="s">
        <v>758</v>
      </c>
      <c r="D183" s="18" t="s">
        <v>759</v>
      </c>
      <c r="E183" s="18" t="s">
        <v>681</v>
      </c>
      <c r="F183" s="96">
        <v>4</v>
      </c>
      <c r="G183" s="96" t="s">
        <v>69</v>
      </c>
      <c r="H183" s="128" t="s">
        <v>714</v>
      </c>
      <c r="I183" s="26" t="s">
        <v>40</v>
      </c>
      <c r="J183" s="203"/>
      <c r="K183" s="129" t="s">
        <v>715</v>
      </c>
      <c r="L183" s="18" t="s">
        <v>4</v>
      </c>
      <c r="M183" s="112" t="s">
        <v>716</v>
      </c>
      <c r="N183" s="129" t="s">
        <v>717</v>
      </c>
      <c r="O183" s="96" t="s">
        <v>3</v>
      </c>
      <c r="P183" s="96" t="s">
        <v>3</v>
      </c>
      <c r="Q183" s="128" t="s">
        <v>54</v>
      </c>
      <c r="R183" s="132">
        <v>45843</v>
      </c>
      <c r="S183" s="84"/>
      <c r="T183" s="128" t="s">
        <v>65</v>
      </c>
      <c r="U183" s="18"/>
      <c r="V183" s="129" t="s">
        <v>746</v>
      </c>
      <c r="W183" s="18"/>
      <c r="X183" s="18"/>
    </row>
    <row r="184" spans="2:24" ht="43.5" hidden="1">
      <c r="B184" s="18" t="s">
        <v>757</v>
      </c>
      <c r="C184" s="18" t="s">
        <v>758</v>
      </c>
      <c r="D184" s="18" t="s">
        <v>759</v>
      </c>
      <c r="E184" s="18" t="s">
        <v>681</v>
      </c>
      <c r="F184" s="96">
        <v>5</v>
      </c>
      <c r="G184" s="96" t="s">
        <v>69</v>
      </c>
      <c r="H184" s="128" t="s">
        <v>70</v>
      </c>
      <c r="I184" s="26" t="s">
        <v>40</v>
      </c>
      <c r="J184" s="203"/>
      <c r="K184" s="129" t="s">
        <v>725</v>
      </c>
      <c r="L184" s="18" t="s">
        <v>4</v>
      </c>
      <c r="M184" s="112" t="s">
        <v>716</v>
      </c>
      <c r="N184" s="129" t="s">
        <v>764</v>
      </c>
      <c r="O184" s="96" t="s">
        <v>3</v>
      </c>
      <c r="P184" s="96" t="s">
        <v>3</v>
      </c>
      <c r="Q184" s="128" t="s">
        <v>39</v>
      </c>
      <c r="R184" s="132">
        <v>45862</v>
      </c>
      <c r="S184" s="84"/>
      <c r="T184" s="128" t="s">
        <v>65</v>
      </c>
      <c r="U184" s="18"/>
      <c r="V184" s="129" t="s">
        <v>719</v>
      </c>
      <c r="W184" s="18"/>
      <c r="X184" s="18"/>
    </row>
    <row r="185" spans="2:24" ht="43.5" hidden="1">
      <c r="B185" s="18" t="s">
        <v>757</v>
      </c>
      <c r="C185" s="18" t="s">
        <v>758</v>
      </c>
      <c r="D185" s="18" t="s">
        <v>759</v>
      </c>
      <c r="E185" s="18" t="s">
        <v>681</v>
      </c>
      <c r="F185" s="96">
        <v>6</v>
      </c>
      <c r="G185" s="96" t="s">
        <v>69</v>
      </c>
      <c r="H185" s="128" t="s">
        <v>278</v>
      </c>
      <c r="I185" s="26" t="s">
        <v>40</v>
      </c>
      <c r="J185" s="203"/>
      <c r="K185" s="129" t="s">
        <v>765</v>
      </c>
      <c r="L185" s="18" t="s">
        <v>4</v>
      </c>
      <c r="M185" s="112" t="s">
        <v>716</v>
      </c>
      <c r="N185" s="129" t="s">
        <v>766</v>
      </c>
      <c r="O185" s="96" t="s">
        <v>3</v>
      </c>
      <c r="P185" s="96" t="s">
        <v>3</v>
      </c>
      <c r="Q185" s="128" t="s">
        <v>54</v>
      </c>
      <c r="R185" s="135">
        <v>45854</v>
      </c>
      <c r="S185" s="84"/>
      <c r="T185" s="128" t="s">
        <v>65</v>
      </c>
      <c r="U185" s="18"/>
      <c r="V185" s="130" t="s">
        <v>767</v>
      </c>
      <c r="W185" s="18"/>
      <c r="X185" s="18"/>
    </row>
    <row r="186" spans="2:24" ht="43.5" hidden="1">
      <c r="B186" s="18" t="s">
        <v>757</v>
      </c>
      <c r="C186" s="18" t="s">
        <v>758</v>
      </c>
      <c r="D186" s="18" t="s">
        <v>759</v>
      </c>
      <c r="E186" s="18" t="s">
        <v>681</v>
      </c>
      <c r="F186" s="96">
        <v>7</v>
      </c>
      <c r="G186" s="96" t="s">
        <v>69</v>
      </c>
      <c r="H186" s="128" t="s">
        <v>734</v>
      </c>
      <c r="I186" s="26" t="s">
        <v>40</v>
      </c>
      <c r="J186" s="203"/>
      <c r="K186" s="129" t="s">
        <v>735</v>
      </c>
      <c r="L186" s="18" t="s">
        <v>6</v>
      </c>
      <c r="M186" s="112" t="s">
        <v>716</v>
      </c>
      <c r="N186" s="129" t="s">
        <v>736</v>
      </c>
      <c r="O186" s="96" t="s">
        <v>5</v>
      </c>
      <c r="P186" s="96" t="s">
        <v>3</v>
      </c>
      <c r="Q186" s="128" t="s">
        <v>745</v>
      </c>
      <c r="R186" s="135">
        <v>45868</v>
      </c>
      <c r="S186" s="84"/>
      <c r="T186" s="128" t="s">
        <v>65</v>
      </c>
      <c r="U186" s="18"/>
      <c r="V186" s="130" t="s">
        <v>737</v>
      </c>
      <c r="W186" s="18"/>
      <c r="X186" s="18"/>
    </row>
    <row r="187" spans="2:24" ht="43.5" hidden="1">
      <c r="B187" s="18" t="s">
        <v>757</v>
      </c>
      <c r="C187" s="18" t="s">
        <v>758</v>
      </c>
      <c r="D187" s="18" t="s">
        <v>759</v>
      </c>
      <c r="E187" s="18" t="s">
        <v>681</v>
      </c>
      <c r="F187" s="96">
        <v>9</v>
      </c>
      <c r="G187" s="96" t="s">
        <v>69</v>
      </c>
      <c r="H187" s="125" t="s">
        <v>728</v>
      </c>
      <c r="I187" s="26" t="s">
        <v>115</v>
      </c>
      <c r="J187" s="203"/>
      <c r="K187" s="129" t="s">
        <v>729</v>
      </c>
      <c r="L187" s="18" t="s">
        <v>4</v>
      </c>
      <c r="M187" s="18" t="s">
        <v>730</v>
      </c>
      <c r="N187" s="16" t="s">
        <v>731</v>
      </c>
      <c r="O187" s="96" t="s">
        <v>3</v>
      </c>
      <c r="P187" s="96" t="s">
        <v>3</v>
      </c>
      <c r="Q187" s="128" t="s">
        <v>54</v>
      </c>
      <c r="R187" s="132">
        <v>45868</v>
      </c>
      <c r="S187" s="84"/>
      <c r="T187" s="128" t="s">
        <v>65</v>
      </c>
      <c r="U187" s="18"/>
      <c r="V187" s="129" t="s">
        <v>746</v>
      </c>
      <c r="W187" s="18"/>
      <c r="X187" s="18"/>
    </row>
    <row r="188" spans="2:24" ht="43.5" hidden="1">
      <c r="B188" s="18" t="s">
        <v>757</v>
      </c>
      <c r="C188" s="18" t="s">
        <v>758</v>
      </c>
      <c r="D188" s="18" t="s">
        <v>759</v>
      </c>
      <c r="E188" s="18" t="s">
        <v>681</v>
      </c>
      <c r="F188" s="96">
        <v>10</v>
      </c>
      <c r="G188" s="96" t="s">
        <v>53</v>
      </c>
      <c r="H188" s="128" t="s">
        <v>54</v>
      </c>
      <c r="I188" s="26" t="s">
        <v>55</v>
      </c>
      <c r="J188" s="203"/>
      <c r="K188" s="129" t="s">
        <v>747</v>
      </c>
      <c r="L188" s="18" t="s">
        <v>4</v>
      </c>
      <c r="M188" s="112" t="s">
        <v>716</v>
      </c>
      <c r="N188" s="120" t="s">
        <v>748</v>
      </c>
      <c r="O188" s="96" t="s">
        <v>3</v>
      </c>
      <c r="P188" s="96" t="s">
        <v>3</v>
      </c>
      <c r="Q188" s="128" t="s">
        <v>54</v>
      </c>
      <c r="R188" s="132">
        <v>45868</v>
      </c>
      <c r="S188" s="84"/>
      <c r="T188" s="128" t="s">
        <v>65</v>
      </c>
      <c r="U188" s="18"/>
      <c r="V188" s="129" t="s">
        <v>749</v>
      </c>
      <c r="W188" s="18"/>
      <c r="X188" s="18"/>
    </row>
    <row r="189" spans="2:24" ht="43.5" hidden="1">
      <c r="B189" s="18" t="s">
        <v>768</v>
      </c>
      <c r="C189" s="18" t="s">
        <v>769</v>
      </c>
      <c r="D189" s="18" t="s">
        <v>770</v>
      </c>
      <c r="E189" s="18" t="s">
        <v>38</v>
      </c>
      <c r="F189" s="96">
        <v>1</v>
      </c>
      <c r="G189" s="96" t="s">
        <v>69</v>
      </c>
      <c r="H189" s="128" t="s">
        <v>128</v>
      </c>
      <c r="I189" s="26" t="s">
        <v>40</v>
      </c>
      <c r="J189" s="203"/>
      <c r="K189" s="120" t="s">
        <v>760</v>
      </c>
      <c r="L189" s="18" t="s">
        <v>4</v>
      </c>
      <c r="M189" s="112" t="s">
        <v>743</v>
      </c>
      <c r="N189" s="129" t="s">
        <v>722</v>
      </c>
      <c r="O189" s="96" t="s">
        <v>3</v>
      </c>
      <c r="P189" s="96" t="s">
        <v>3</v>
      </c>
      <c r="Q189" s="128" t="s">
        <v>39</v>
      </c>
      <c r="R189" s="132">
        <v>45858</v>
      </c>
      <c r="S189" s="84"/>
      <c r="T189" s="18" t="s">
        <v>65</v>
      </c>
      <c r="U189" s="18"/>
      <c r="V189" s="129" t="s">
        <v>724</v>
      </c>
      <c r="W189" s="18"/>
      <c r="X189" s="18"/>
    </row>
    <row r="190" spans="2:24" ht="43.5" hidden="1">
      <c r="B190" s="18" t="s">
        <v>768</v>
      </c>
      <c r="C190" s="18" t="s">
        <v>769</v>
      </c>
      <c r="D190" s="18" t="s">
        <v>770</v>
      </c>
      <c r="E190" s="18" t="s">
        <v>38</v>
      </c>
      <c r="F190" s="96">
        <v>2</v>
      </c>
      <c r="G190" s="96" t="s">
        <v>69</v>
      </c>
      <c r="H190" s="128" t="s">
        <v>70</v>
      </c>
      <c r="I190" s="26" t="s">
        <v>40</v>
      </c>
      <c r="J190" s="203"/>
      <c r="K190" s="120" t="s">
        <v>771</v>
      </c>
      <c r="L190" s="18" t="s">
        <v>4</v>
      </c>
      <c r="M190" s="112" t="s">
        <v>743</v>
      </c>
      <c r="N190" s="129" t="s">
        <v>764</v>
      </c>
      <c r="O190" s="96" t="s">
        <v>3</v>
      </c>
      <c r="P190" s="96" t="s">
        <v>3</v>
      </c>
      <c r="Q190" s="128" t="s">
        <v>39</v>
      </c>
      <c r="R190" s="132">
        <v>45862</v>
      </c>
      <c r="S190" s="84"/>
      <c r="T190" s="18" t="s">
        <v>65</v>
      </c>
      <c r="U190" s="18"/>
      <c r="V190" s="129" t="s">
        <v>719</v>
      </c>
      <c r="W190" s="18"/>
      <c r="X190" s="18"/>
    </row>
    <row r="191" spans="2:24" ht="43.5" hidden="1">
      <c r="B191" s="18" t="s">
        <v>768</v>
      </c>
      <c r="C191" s="18" t="s">
        <v>769</v>
      </c>
      <c r="D191" s="18" t="s">
        <v>770</v>
      </c>
      <c r="E191" s="18" t="s">
        <v>38</v>
      </c>
      <c r="F191" s="96">
        <v>3</v>
      </c>
      <c r="G191" s="96" t="s">
        <v>53</v>
      </c>
      <c r="H191" s="128" t="s">
        <v>54</v>
      </c>
      <c r="I191" s="26" t="s">
        <v>115</v>
      </c>
      <c r="J191" s="203"/>
      <c r="K191" s="120" t="s">
        <v>772</v>
      </c>
      <c r="L191" s="18" t="s">
        <v>4</v>
      </c>
      <c r="M191" s="112" t="s">
        <v>743</v>
      </c>
      <c r="N191" s="120" t="s">
        <v>773</v>
      </c>
      <c r="O191" s="96" t="s">
        <v>3</v>
      </c>
      <c r="P191" s="96" t="s">
        <v>3</v>
      </c>
      <c r="Q191" s="128" t="s">
        <v>54</v>
      </c>
      <c r="R191" s="132">
        <v>45868</v>
      </c>
      <c r="S191" s="84"/>
      <c r="T191" s="18" t="s">
        <v>65</v>
      </c>
      <c r="U191" s="18"/>
      <c r="V191" s="129" t="s">
        <v>774</v>
      </c>
      <c r="W191" s="18"/>
      <c r="X191" s="18"/>
    </row>
    <row r="192" spans="2:24" ht="43.5" hidden="1">
      <c r="B192" s="18" t="s">
        <v>768</v>
      </c>
      <c r="C192" s="18" t="s">
        <v>769</v>
      </c>
      <c r="D192" s="18" t="s">
        <v>770</v>
      </c>
      <c r="E192" s="18" t="s">
        <v>38</v>
      </c>
      <c r="F192" s="96">
        <v>4</v>
      </c>
      <c r="G192" s="96" t="s">
        <v>69</v>
      </c>
      <c r="H192" s="128" t="s">
        <v>734</v>
      </c>
      <c r="I192" s="26" t="s">
        <v>115</v>
      </c>
      <c r="J192" s="203"/>
      <c r="K192" s="129" t="s">
        <v>725</v>
      </c>
      <c r="L192" s="18" t="s">
        <v>4</v>
      </c>
      <c r="M192" s="112" t="s">
        <v>716</v>
      </c>
      <c r="N192" s="130" t="s">
        <v>736</v>
      </c>
      <c r="O192" s="96" t="s">
        <v>3</v>
      </c>
      <c r="P192" s="96" t="s">
        <v>3</v>
      </c>
      <c r="Q192" s="134" t="s">
        <v>745</v>
      </c>
      <c r="R192" s="135">
        <v>45868</v>
      </c>
      <c r="S192" s="84"/>
      <c r="T192" s="18" t="s">
        <v>65</v>
      </c>
      <c r="U192" s="18"/>
      <c r="V192" s="130" t="s">
        <v>737</v>
      </c>
      <c r="W192" s="18"/>
      <c r="X192" s="18"/>
    </row>
    <row r="193" spans="2:24" ht="43.5" hidden="1">
      <c r="B193" s="18" t="s">
        <v>768</v>
      </c>
      <c r="C193" s="18" t="s">
        <v>769</v>
      </c>
      <c r="D193" s="18" t="s">
        <v>770</v>
      </c>
      <c r="E193" s="18" t="s">
        <v>38</v>
      </c>
      <c r="F193" s="96">
        <v>6</v>
      </c>
      <c r="G193" s="96" t="s">
        <v>69</v>
      </c>
      <c r="H193" s="125" t="s">
        <v>734</v>
      </c>
      <c r="I193" s="26" t="s">
        <v>40</v>
      </c>
      <c r="J193" s="203"/>
      <c r="K193" s="129" t="s">
        <v>735</v>
      </c>
      <c r="L193" s="18" t="s">
        <v>6</v>
      </c>
      <c r="M193" s="112" t="s">
        <v>716</v>
      </c>
      <c r="N193" s="120" t="s">
        <v>775</v>
      </c>
      <c r="O193" s="96" t="s">
        <v>5</v>
      </c>
      <c r="P193" s="96" t="s">
        <v>3</v>
      </c>
      <c r="Q193" s="128" t="s">
        <v>54</v>
      </c>
      <c r="R193" s="132">
        <v>45868</v>
      </c>
      <c r="S193" s="84"/>
      <c r="T193" s="18" t="s">
        <v>65</v>
      </c>
      <c r="U193" s="18"/>
      <c r="V193" s="129" t="s">
        <v>746</v>
      </c>
      <c r="W193" s="18"/>
      <c r="X193" s="18"/>
    </row>
    <row r="194" spans="2:24" ht="43.5" hidden="1">
      <c r="B194" s="18" t="s">
        <v>768</v>
      </c>
      <c r="C194" s="18" t="s">
        <v>769</v>
      </c>
      <c r="D194" s="18" t="s">
        <v>770</v>
      </c>
      <c r="E194" s="18" t="s">
        <v>38</v>
      </c>
      <c r="F194" s="96">
        <v>7</v>
      </c>
      <c r="G194" s="14" t="s">
        <v>53</v>
      </c>
      <c r="H194" s="128" t="s">
        <v>54</v>
      </c>
      <c r="I194" s="26" t="s">
        <v>115</v>
      </c>
      <c r="J194" s="202"/>
      <c r="K194" s="129" t="s">
        <v>776</v>
      </c>
      <c r="L194" s="18" t="s">
        <v>4</v>
      </c>
      <c r="M194" s="136" t="s">
        <v>777</v>
      </c>
      <c r="N194" s="120" t="s">
        <v>748</v>
      </c>
      <c r="O194" s="96" t="s">
        <v>3</v>
      </c>
      <c r="P194" s="96" t="s">
        <v>3</v>
      </c>
      <c r="Q194" s="128" t="s">
        <v>54</v>
      </c>
      <c r="R194" s="132">
        <v>45868</v>
      </c>
      <c r="S194" s="84"/>
      <c r="T194" s="18" t="s">
        <v>65</v>
      </c>
      <c r="U194" s="20"/>
      <c r="V194" s="129" t="s">
        <v>749</v>
      </c>
      <c r="W194" s="18"/>
      <c r="X194" s="18"/>
    </row>
    <row r="195" spans="2:24" ht="72.599999999999994" hidden="1">
      <c r="B195" s="18" t="s">
        <v>778</v>
      </c>
      <c r="C195" s="18" t="s">
        <v>779</v>
      </c>
      <c r="D195" s="18" t="s">
        <v>780</v>
      </c>
      <c r="E195" s="18" t="s">
        <v>781</v>
      </c>
      <c r="F195" s="96"/>
      <c r="G195" s="96" t="s">
        <v>69</v>
      </c>
      <c r="H195" s="26" t="s">
        <v>70</v>
      </c>
      <c r="I195" s="26" t="s">
        <v>203</v>
      </c>
      <c r="J195" s="203"/>
      <c r="K195" s="129" t="s">
        <v>782</v>
      </c>
      <c r="L195" s="18" t="s">
        <v>6</v>
      </c>
      <c r="M195" s="136"/>
      <c r="N195" s="18" t="s">
        <v>783</v>
      </c>
      <c r="O195" s="18"/>
      <c r="P195" s="18"/>
      <c r="Q195" s="18" t="s">
        <v>685</v>
      </c>
      <c r="R195" s="19">
        <v>45792</v>
      </c>
      <c r="S195" s="84">
        <v>45792</v>
      </c>
      <c r="T195" s="18" t="s">
        <v>65</v>
      </c>
      <c r="U195" s="18" t="s">
        <v>784</v>
      </c>
      <c r="V195" s="18"/>
      <c r="W195" s="18"/>
      <c r="X195" s="18"/>
    </row>
    <row r="196" spans="2:24" ht="43.5" hidden="1">
      <c r="B196" s="18" t="s">
        <v>785</v>
      </c>
      <c r="C196" s="18" t="s">
        <v>786</v>
      </c>
      <c r="D196" s="18" t="s">
        <v>787</v>
      </c>
      <c r="E196" s="18" t="s">
        <v>681</v>
      </c>
      <c r="F196" s="96"/>
      <c r="G196" s="96" t="s">
        <v>69</v>
      </c>
      <c r="H196" s="26" t="s">
        <v>70</v>
      </c>
      <c r="I196" s="26" t="s">
        <v>788</v>
      </c>
      <c r="J196" s="203"/>
      <c r="K196" s="129" t="s">
        <v>747</v>
      </c>
      <c r="L196" s="18" t="s">
        <v>4</v>
      </c>
      <c r="M196" s="18" t="s">
        <v>683</v>
      </c>
      <c r="N196" s="18" t="s">
        <v>684</v>
      </c>
      <c r="O196" s="18"/>
      <c r="P196" s="18"/>
      <c r="Q196" s="18" t="s">
        <v>685</v>
      </c>
      <c r="R196" s="19">
        <v>45708</v>
      </c>
      <c r="S196" s="84">
        <v>45787</v>
      </c>
      <c r="T196" s="18" t="s">
        <v>65</v>
      </c>
      <c r="U196" s="18"/>
      <c r="V196" s="18"/>
      <c r="W196" s="18"/>
      <c r="X196" s="18"/>
    </row>
    <row r="197" spans="2:24" ht="80.099999999999994" hidden="1">
      <c r="B197" s="18" t="s">
        <v>789</v>
      </c>
      <c r="C197" s="18" t="s">
        <v>790</v>
      </c>
      <c r="D197" s="18" t="s">
        <v>791</v>
      </c>
      <c r="E197" s="18" t="s">
        <v>781</v>
      </c>
      <c r="F197" s="96"/>
      <c r="G197" s="14" t="s">
        <v>69</v>
      </c>
      <c r="H197" s="26" t="s">
        <v>70</v>
      </c>
      <c r="I197" s="26" t="s">
        <v>203</v>
      </c>
      <c r="J197" s="202"/>
      <c r="K197" s="18" t="s">
        <v>792</v>
      </c>
      <c r="L197" s="47" t="s">
        <v>6</v>
      </c>
      <c r="M197" s="18" t="s">
        <v>793</v>
      </c>
      <c r="N197" s="18" t="s">
        <v>794</v>
      </c>
      <c r="O197" s="96"/>
      <c r="P197" s="96"/>
      <c r="Q197" s="18" t="s">
        <v>795</v>
      </c>
      <c r="R197" s="19">
        <v>45792</v>
      </c>
      <c r="S197" s="84">
        <v>45792</v>
      </c>
      <c r="T197" s="18" t="s">
        <v>65</v>
      </c>
      <c r="U197" s="20" t="s">
        <v>796</v>
      </c>
      <c r="V197" s="108"/>
      <c r="W197" s="18"/>
      <c r="X197" s="18"/>
    </row>
    <row r="198" spans="2:24" ht="57.95" hidden="1">
      <c r="B198" s="18" t="s">
        <v>797</v>
      </c>
      <c r="C198" s="18" t="s">
        <v>798</v>
      </c>
      <c r="D198" s="18" t="s">
        <v>799</v>
      </c>
      <c r="E198" s="18" t="s">
        <v>681</v>
      </c>
      <c r="F198" s="96"/>
      <c r="G198" s="14" t="s">
        <v>69</v>
      </c>
      <c r="H198" s="26" t="s">
        <v>70</v>
      </c>
      <c r="I198" s="26" t="s">
        <v>788</v>
      </c>
      <c r="J198" s="202"/>
      <c r="K198" s="18" t="s">
        <v>800</v>
      </c>
      <c r="L198" s="47" t="s">
        <v>4</v>
      </c>
      <c r="M198" s="18" t="s">
        <v>801</v>
      </c>
      <c r="N198" s="18" t="s">
        <v>684</v>
      </c>
      <c r="O198" s="96"/>
      <c r="P198" s="96"/>
      <c r="Q198" s="18" t="s">
        <v>685</v>
      </c>
      <c r="R198" s="19">
        <v>45708</v>
      </c>
      <c r="S198" s="84">
        <v>45787</v>
      </c>
      <c r="T198" s="18" t="s">
        <v>65</v>
      </c>
      <c r="U198" s="20"/>
      <c r="V198" s="108"/>
      <c r="W198" s="18"/>
      <c r="X198" s="18"/>
    </row>
    <row r="199" spans="2:24" ht="43.5" hidden="1">
      <c r="B199" s="18" t="s">
        <v>802</v>
      </c>
      <c r="C199" s="18" t="s">
        <v>803</v>
      </c>
      <c r="D199" s="18" t="s">
        <v>804</v>
      </c>
      <c r="E199" s="18" t="s">
        <v>681</v>
      </c>
      <c r="F199" s="96"/>
      <c r="G199" s="96" t="s">
        <v>69</v>
      </c>
      <c r="H199" s="26" t="s">
        <v>70</v>
      </c>
      <c r="I199" s="26" t="s">
        <v>81</v>
      </c>
      <c r="J199" s="203"/>
      <c r="K199" s="18" t="s">
        <v>805</v>
      </c>
      <c r="L199" s="18" t="s">
        <v>4</v>
      </c>
      <c r="M199" s="18" t="s">
        <v>806</v>
      </c>
      <c r="N199" s="18" t="s">
        <v>807</v>
      </c>
      <c r="O199" s="18"/>
      <c r="P199" s="18"/>
      <c r="Q199" s="18" t="s">
        <v>69</v>
      </c>
      <c r="R199" s="19">
        <v>45807</v>
      </c>
      <c r="S199" s="84">
        <v>45872</v>
      </c>
      <c r="T199" s="18" t="s">
        <v>808</v>
      </c>
      <c r="U199" s="18" t="s">
        <v>809</v>
      </c>
      <c r="V199" s="18"/>
      <c r="W199" s="18"/>
      <c r="X199" s="18"/>
    </row>
    <row r="200" spans="2:24" ht="57.95" hidden="1">
      <c r="B200" s="18" t="s">
        <v>810</v>
      </c>
      <c r="C200" s="18" t="s">
        <v>811</v>
      </c>
      <c r="D200" s="18" t="s">
        <v>812</v>
      </c>
      <c r="E200" s="18" t="s">
        <v>191</v>
      </c>
      <c r="F200" s="14">
        <v>1</v>
      </c>
      <c r="G200" s="14" t="s">
        <v>53</v>
      </c>
      <c r="H200" s="26" t="s">
        <v>70</v>
      </c>
      <c r="I200" s="26" t="s">
        <v>81</v>
      </c>
      <c r="J200" s="202">
        <v>46127</v>
      </c>
      <c r="K200" s="120" t="s">
        <v>813</v>
      </c>
      <c r="L200" s="47" t="s">
        <v>4</v>
      </c>
      <c r="M200" s="16" t="s">
        <v>814</v>
      </c>
      <c r="N200" s="16" t="s">
        <v>815</v>
      </c>
      <c r="O200" s="96" t="s">
        <v>3</v>
      </c>
      <c r="P200" s="96" t="s">
        <v>3</v>
      </c>
      <c r="Q200" s="18" t="s">
        <v>69</v>
      </c>
      <c r="R200" s="19"/>
      <c r="S200" s="20">
        <v>46180</v>
      </c>
      <c r="T200" s="18" t="s">
        <v>45</v>
      </c>
      <c r="U200" s="20" t="s">
        <v>816</v>
      </c>
      <c r="V200" s="20"/>
      <c r="W200" s="20"/>
      <c r="X200" s="20"/>
    </row>
    <row r="201" spans="2:24" ht="57.95" hidden="1">
      <c r="B201" s="18" t="s">
        <v>810</v>
      </c>
      <c r="C201" s="18" t="s">
        <v>811</v>
      </c>
      <c r="D201" s="18" t="s">
        <v>812</v>
      </c>
      <c r="E201" s="18" t="s">
        <v>191</v>
      </c>
      <c r="F201" s="14">
        <v>2</v>
      </c>
      <c r="G201" s="14" t="s">
        <v>53</v>
      </c>
      <c r="H201" s="26" t="s">
        <v>54</v>
      </c>
      <c r="I201" s="26" t="s">
        <v>817</v>
      </c>
      <c r="J201" s="202">
        <v>45742</v>
      </c>
      <c r="K201" s="120" t="s">
        <v>818</v>
      </c>
      <c r="L201" s="47" t="s">
        <v>4</v>
      </c>
      <c r="M201" s="16" t="s">
        <v>819</v>
      </c>
      <c r="N201" s="16" t="s">
        <v>820</v>
      </c>
      <c r="O201" s="18" t="s">
        <v>7</v>
      </c>
      <c r="P201" s="18" t="s">
        <v>5</v>
      </c>
      <c r="Q201" s="18" t="s">
        <v>821</v>
      </c>
      <c r="R201" s="19"/>
      <c r="S201" s="20"/>
      <c r="T201" s="20" t="s">
        <v>45</v>
      </c>
      <c r="U201" s="20" t="s">
        <v>822</v>
      </c>
      <c r="V201" s="20"/>
      <c r="W201" s="20"/>
      <c r="X201" s="20"/>
    </row>
    <row r="202" spans="2:24" ht="116.1" hidden="1">
      <c r="B202" s="18" t="s">
        <v>810</v>
      </c>
      <c r="C202" s="18" t="s">
        <v>811</v>
      </c>
      <c r="D202" s="18" t="s">
        <v>812</v>
      </c>
      <c r="E202" s="18" t="s">
        <v>191</v>
      </c>
      <c r="F202" s="14">
        <v>3</v>
      </c>
      <c r="G202" s="14" t="s">
        <v>53</v>
      </c>
      <c r="H202" s="26" t="s">
        <v>54</v>
      </c>
      <c r="I202" s="26" t="s">
        <v>86</v>
      </c>
      <c r="J202" s="202">
        <v>45722</v>
      </c>
      <c r="K202" s="16" t="s">
        <v>823</v>
      </c>
      <c r="L202" s="47" t="s">
        <v>6</v>
      </c>
      <c r="M202" s="16" t="s">
        <v>824</v>
      </c>
      <c r="N202" s="16" t="s">
        <v>825</v>
      </c>
      <c r="O202" s="18" t="s">
        <v>7</v>
      </c>
      <c r="P202" s="18" t="s">
        <v>5</v>
      </c>
      <c r="Q202" s="18" t="s">
        <v>826</v>
      </c>
      <c r="R202" s="19"/>
      <c r="S202" s="20"/>
      <c r="T202" s="20" t="s">
        <v>45</v>
      </c>
      <c r="U202" s="20" t="s">
        <v>827</v>
      </c>
      <c r="V202" s="20"/>
      <c r="W202" s="20"/>
      <c r="X202" s="20"/>
    </row>
    <row r="203" spans="2:24" ht="57.95" hidden="1">
      <c r="B203" s="18" t="s">
        <v>810</v>
      </c>
      <c r="C203" s="18" t="s">
        <v>811</v>
      </c>
      <c r="D203" s="18" t="s">
        <v>812</v>
      </c>
      <c r="E203" s="18" t="s">
        <v>191</v>
      </c>
      <c r="F203" s="14">
        <v>4</v>
      </c>
      <c r="G203" s="14" t="s">
        <v>39</v>
      </c>
      <c r="H203" s="26" t="s">
        <v>0</v>
      </c>
      <c r="I203" s="26" t="s">
        <v>207</v>
      </c>
      <c r="J203" s="202"/>
      <c r="K203" s="16" t="s">
        <v>828</v>
      </c>
      <c r="L203" s="47" t="s">
        <v>6</v>
      </c>
      <c r="M203" s="16" t="s">
        <v>829</v>
      </c>
      <c r="N203" s="16" t="s">
        <v>830</v>
      </c>
      <c r="O203" s="18" t="s">
        <v>7</v>
      </c>
      <c r="P203" s="18" t="s">
        <v>5</v>
      </c>
      <c r="Q203" s="18" t="s">
        <v>269</v>
      </c>
      <c r="R203" s="19"/>
      <c r="S203" s="20"/>
      <c r="T203" s="20" t="s">
        <v>45</v>
      </c>
      <c r="U203" s="20" t="s">
        <v>827</v>
      </c>
      <c r="V203" s="20" t="s">
        <v>831</v>
      </c>
      <c r="W203" s="20" t="s">
        <v>832</v>
      </c>
      <c r="X203" s="20" t="s">
        <v>833</v>
      </c>
    </row>
    <row r="204" spans="2:24" ht="57.95" hidden="1">
      <c r="B204" s="18" t="s">
        <v>810</v>
      </c>
      <c r="C204" s="18" t="s">
        <v>811</v>
      </c>
      <c r="D204" s="18" t="s">
        <v>812</v>
      </c>
      <c r="E204" s="18" t="s">
        <v>191</v>
      </c>
      <c r="F204" s="14">
        <v>5</v>
      </c>
      <c r="G204" s="14" t="s">
        <v>39</v>
      </c>
      <c r="H204" s="26" t="s">
        <v>834</v>
      </c>
      <c r="I204" s="26" t="s">
        <v>835</v>
      </c>
      <c r="J204" s="202">
        <v>45683</v>
      </c>
      <c r="K204" s="16" t="s">
        <v>836</v>
      </c>
      <c r="L204" s="47" t="s">
        <v>6</v>
      </c>
      <c r="M204" s="16" t="s">
        <v>837</v>
      </c>
      <c r="N204" s="16" t="s">
        <v>838</v>
      </c>
      <c r="O204" s="18" t="s">
        <v>7</v>
      </c>
      <c r="P204" s="18" t="s">
        <v>5</v>
      </c>
      <c r="Q204" s="18" t="s">
        <v>834</v>
      </c>
      <c r="R204" s="19"/>
      <c r="S204" s="20"/>
      <c r="T204" s="20" t="s">
        <v>45</v>
      </c>
      <c r="U204" s="20" t="s">
        <v>827</v>
      </c>
      <c r="V204" s="20"/>
      <c r="W204" s="20"/>
      <c r="X204" s="20"/>
    </row>
    <row r="205" spans="2:24" ht="57.95" hidden="1">
      <c r="B205" s="18" t="s">
        <v>810</v>
      </c>
      <c r="C205" s="18" t="s">
        <v>811</v>
      </c>
      <c r="D205" s="18" t="s">
        <v>812</v>
      </c>
      <c r="E205" s="18" t="s">
        <v>191</v>
      </c>
      <c r="F205" s="14">
        <v>6</v>
      </c>
      <c r="G205" s="14" t="s">
        <v>39</v>
      </c>
      <c r="H205" s="26" t="s">
        <v>834</v>
      </c>
      <c r="I205" s="26" t="s">
        <v>153</v>
      </c>
      <c r="J205" s="202"/>
      <c r="K205" s="16" t="s">
        <v>839</v>
      </c>
      <c r="L205" s="47" t="s">
        <v>6</v>
      </c>
      <c r="M205" s="16" t="s">
        <v>840</v>
      </c>
      <c r="N205" s="16" t="s">
        <v>841</v>
      </c>
      <c r="O205" s="18"/>
      <c r="P205" s="18"/>
      <c r="Q205" s="18" t="s">
        <v>834</v>
      </c>
      <c r="R205" s="19"/>
      <c r="S205" s="20"/>
      <c r="T205" s="20" t="s">
        <v>45</v>
      </c>
      <c r="U205" s="20" t="s">
        <v>827</v>
      </c>
      <c r="V205" s="20"/>
      <c r="W205" s="20"/>
      <c r="X205" s="20"/>
    </row>
    <row r="206" spans="2:24" ht="116.1" hidden="1">
      <c r="B206" s="18" t="s">
        <v>810</v>
      </c>
      <c r="C206" s="18" t="s">
        <v>811</v>
      </c>
      <c r="D206" s="18" t="s">
        <v>812</v>
      </c>
      <c r="E206" s="18" t="s">
        <v>191</v>
      </c>
      <c r="F206" s="14">
        <v>7</v>
      </c>
      <c r="G206" s="14" t="s">
        <v>53</v>
      </c>
      <c r="H206" s="26" t="s">
        <v>54</v>
      </c>
      <c r="I206" s="26" t="s">
        <v>203</v>
      </c>
      <c r="J206" s="202"/>
      <c r="K206" s="120" t="s">
        <v>842</v>
      </c>
      <c r="L206" s="47" t="s">
        <v>6</v>
      </c>
      <c r="M206" s="18" t="s">
        <v>843</v>
      </c>
      <c r="N206" s="18" t="s">
        <v>844</v>
      </c>
      <c r="O206" s="18"/>
      <c r="P206" s="18"/>
      <c r="Q206" s="18" t="s">
        <v>845</v>
      </c>
      <c r="R206" s="19"/>
      <c r="S206" s="20"/>
      <c r="T206" s="20" t="s">
        <v>45</v>
      </c>
      <c r="U206" s="20" t="s">
        <v>846</v>
      </c>
      <c r="V206" s="20"/>
      <c r="W206" s="20"/>
      <c r="X206" s="20"/>
    </row>
    <row r="207" spans="2:24" ht="72.599999999999994" hidden="1">
      <c r="B207" s="18" t="s">
        <v>810</v>
      </c>
      <c r="C207" s="18" t="s">
        <v>811</v>
      </c>
      <c r="D207" s="18" t="s">
        <v>812</v>
      </c>
      <c r="E207" s="18" t="s">
        <v>191</v>
      </c>
      <c r="F207" s="14">
        <v>8</v>
      </c>
      <c r="G207" s="14" t="s">
        <v>53</v>
      </c>
      <c r="H207" s="26" t="s">
        <v>54</v>
      </c>
      <c r="I207" s="26" t="s">
        <v>203</v>
      </c>
      <c r="J207" s="202"/>
      <c r="K207" s="166" t="s">
        <v>847</v>
      </c>
      <c r="L207" s="47" t="s">
        <v>6</v>
      </c>
      <c r="M207" s="16" t="s">
        <v>848</v>
      </c>
      <c r="N207" s="16" t="s">
        <v>849</v>
      </c>
      <c r="O207" s="18"/>
      <c r="P207" s="18"/>
      <c r="Q207" s="18" t="s">
        <v>845</v>
      </c>
      <c r="R207" s="19"/>
      <c r="S207" s="20"/>
      <c r="T207" s="20" t="s">
        <v>45</v>
      </c>
      <c r="U207" s="20" t="s">
        <v>827</v>
      </c>
      <c r="V207" s="20"/>
      <c r="W207" s="20"/>
      <c r="X207" s="20" t="s">
        <v>850</v>
      </c>
    </row>
    <row r="208" spans="2:24" ht="116.1" hidden="1">
      <c r="B208" s="18" t="s">
        <v>810</v>
      </c>
      <c r="C208" s="18" t="s">
        <v>811</v>
      </c>
      <c r="D208" s="18" t="s">
        <v>812</v>
      </c>
      <c r="E208" s="18" t="s">
        <v>191</v>
      </c>
      <c r="F208" s="14">
        <v>9</v>
      </c>
      <c r="G208" s="14" t="s">
        <v>69</v>
      </c>
      <c r="H208" s="26" t="s">
        <v>128</v>
      </c>
      <c r="I208" s="26" t="s">
        <v>115</v>
      </c>
      <c r="J208" s="202"/>
      <c r="K208" s="120" t="s">
        <v>851</v>
      </c>
      <c r="L208" s="47" t="s">
        <v>8</v>
      </c>
      <c r="M208" s="16" t="s">
        <v>852</v>
      </c>
      <c r="N208" s="16" t="s">
        <v>853</v>
      </c>
      <c r="O208" s="18"/>
      <c r="P208" s="18"/>
      <c r="Q208" s="18" t="s">
        <v>854</v>
      </c>
      <c r="R208" s="19"/>
      <c r="S208" s="20"/>
      <c r="T208" s="20" t="s">
        <v>45</v>
      </c>
      <c r="U208" s="20" t="s">
        <v>827</v>
      </c>
      <c r="V208" s="20"/>
      <c r="W208" s="20"/>
      <c r="X208" s="20"/>
    </row>
    <row r="209" spans="2:24" ht="57.95" hidden="1">
      <c r="B209" s="18" t="s">
        <v>810</v>
      </c>
      <c r="C209" s="18" t="s">
        <v>811</v>
      </c>
      <c r="D209" s="18" t="s">
        <v>812</v>
      </c>
      <c r="E209" s="18" t="s">
        <v>191</v>
      </c>
      <c r="F209" s="14">
        <v>10</v>
      </c>
      <c r="G209" s="14" t="s">
        <v>39</v>
      </c>
      <c r="H209" s="26" t="s">
        <v>86</v>
      </c>
      <c r="I209" s="26" t="s">
        <v>86</v>
      </c>
      <c r="J209" s="202"/>
      <c r="K209" s="167" t="s">
        <v>855</v>
      </c>
      <c r="L209" s="47" t="s">
        <v>6</v>
      </c>
      <c r="M209" s="16" t="s">
        <v>856</v>
      </c>
      <c r="N209" s="16" t="s">
        <v>857</v>
      </c>
      <c r="O209" s="18"/>
      <c r="P209" s="18"/>
      <c r="Q209" s="18" t="s">
        <v>59</v>
      </c>
      <c r="R209" s="19"/>
      <c r="S209" s="20"/>
      <c r="T209" s="20" t="s">
        <v>45</v>
      </c>
      <c r="U209" s="20" t="s">
        <v>827</v>
      </c>
      <c r="V209" s="20"/>
      <c r="W209" s="20"/>
      <c r="X209" s="20"/>
    </row>
    <row r="210" spans="2:24" ht="87" hidden="1">
      <c r="B210" s="18" t="s">
        <v>810</v>
      </c>
      <c r="C210" s="18" t="s">
        <v>811</v>
      </c>
      <c r="D210" s="18" t="s">
        <v>812</v>
      </c>
      <c r="E210" s="18" t="s">
        <v>191</v>
      </c>
      <c r="F210" s="14">
        <v>11</v>
      </c>
      <c r="G210" s="14" t="s">
        <v>39</v>
      </c>
      <c r="H210" s="26" t="s">
        <v>86</v>
      </c>
      <c r="I210" s="26" t="s">
        <v>86</v>
      </c>
      <c r="J210" s="202"/>
      <c r="K210" s="156" t="s">
        <v>858</v>
      </c>
      <c r="L210" s="47" t="s">
        <v>9</v>
      </c>
      <c r="M210" s="155" t="s">
        <v>859</v>
      </c>
      <c r="N210" s="18" t="s">
        <v>860</v>
      </c>
      <c r="O210" s="18"/>
      <c r="P210" s="18"/>
      <c r="Q210" s="18" t="s">
        <v>54</v>
      </c>
      <c r="R210" s="19"/>
      <c r="S210" s="20"/>
      <c r="T210" s="20" t="s">
        <v>45</v>
      </c>
      <c r="U210" s="20" t="s">
        <v>861</v>
      </c>
      <c r="V210" s="20"/>
      <c r="W210" s="20"/>
      <c r="X210" s="20"/>
    </row>
    <row r="211" spans="2:24" ht="57.95" hidden="1">
      <c r="B211" s="18" t="s">
        <v>810</v>
      </c>
      <c r="C211" s="18" t="s">
        <v>811</v>
      </c>
      <c r="D211" s="18" t="s">
        <v>812</v>
      </c>
      <c r="E211" s="18" t="s">
        <v>191</v>
      </c>
      <c r="F211" s="14">
        <v>12</v>
      </c>
      <c r="G211" s="14" t="s">
        <v>69</v>
      </c>
      <c r="H211" s="26" t="s">
        <v>70</v>
      </c>
      <c r="I211" s="26" t="s">
        <v>40</v>
      </c>
      <c r="J211" s="202"/>
      <c r="K211" s="133" t="s">
        <v>862</v>
      </c>
      <c r="L211" s="47" t="s">
        <v>6</v>
      </c>
      <c r="M211" s="161" t="s">
        <v>863</v>
      </c>
      <c r="N211" s="162" t="s">
        <v>864</v>
      </c>
      <c r="O211" s="18"/>
      <c r="P211" s="18"/>
      <c r="Q211" s="18" t="s">
        <v>865</v>
      </c>
      <c r="R211" s="19"/>
      <c r="S211" s="20"/>
      <c r="T211" s="20" t="s">
        <v>45</v>
      </c>
      <c r="U211" s="20" t="s">
        <v>866</v>
      </c>
      <c r="V211" s="193" t="s">
        <v>867</v>
      </c>
      <c r="W211" s="20"/>
      <c r="X211" s="20"/>
    </row>
    <row r="212" spans="2:24" ht="57.95" hidden="1">
      <c r="B212" s="18" t="s">
        <v>810</v>
      </c>
      <c r="C212" s="18" t="s">
        <v>811</v>
      </c>
      <c r="D212" s="18" t="s">
        <v>812</v>
      </c>
      <c r="E212" s="18" t="s">
        <v>191</v>
      </c>
      <c r="F212" s="14">
        <v>13</v>
      </c>
      <c r="G212" s="14" t="s">
        <v>53</v>
      </c>
      <c r="H212" s="26" t="s">
        <v>54</v>
      </c>
      <c r="I212" s="26" t="s">
        <v>115</v>
      </c>
      <c r="J212" s="202"/>
      <c r="K212" s="120" t="s">
        <v>868</v>
      </c>
      <c r="L212" s="47" t="s">
        <v>8</v>
      </c>
      <c r="M212" s="144" t="s">
        <v>869</v>
      </c>
      <c r="N212" s="16" t="s">
        <v>870</v>
      </c>
      <c r="O212" s="18"/>
      <c r="P212" s="18"/>
      <c r="Q212" s="18" t="s">
        <v>871</v>
      </c>
      <c r="R212" s="19"/>
      <c r="S212" s="20"/>
      <c r="T212" s="20" t="s">
        <v>45</v>
      </c>
      <c r="U212" s="20" t="s">
        <v>827</v>
      </c>
      <c r="V212" s="20"/>
      <c r="W212" s="20"/>
      <c r="X212" s="20"/>
    </row>
    <row r="213" spans="2:24" ht="57.95" hidden="1">
      <c r="B213" s="18" t="s">
        <v>810</v>
      </c>
      <c r="C213" s="18" t="s">
        <v>811</v>
      </c>
      <c r="D213" s="18" t="s">
        <v>812</v>
      </c>
      <c r="E213" s="18" t="s">
        <v>191</v>
      </c>
      <c r="F213" s="14">
        <v>14</v>
      </c>
      <c r="G213" s="14" t="s">
        <v>53</v>
      </c>
      <c r="H213" s="26" t="s">
        <v>54</v>
      </c>
      <c r="I213" s="26" t="s">
        <v>46</v>
      </c>
      <c r="J213" s="202"/>
      <c r="K213" s="120" t="s">
        <v>872</v>
      </c>
      <c r="L213" s="47" t="s">
        <v>4</v>
      </c>
      <c r="M213" s="144" t="s">
        <v>873</v>
      </c>
      <c r="N213" s="16" t="s">
        <v>874</v>
      </c>
      <c r="O213" s="18" t="s">
        <v>3</v>
      </c>
      <c r="P213" s="18" t="s">
        <v>3</v>
      </c>
      <c r="Q213" s="18" t="s">
        <v>54</v>
      </c>
      <c r="R213" s="19"/>
      <c r="S213" s="20"/>
      <c r="T213" s="20" t="s">
        <v>45</v>
      </c>
      <c r="U213" s="20" t="s">
        <v>822</v>
      </c>
      <c r="V213" s="20"/>
      <c r="W213" s="20"/>
      <c r="X213" s="20"/>
    </row>
    <row r="214" spans="2:24" ht="57.95" hidden="1">
      <c r="B214" s="18" t="s">
        <v>810</v>
      </c>
      <c r="C214" s="18" t="s">
        <v>811</v>
      </c>
      <c r="D214" s="18" t="s">
        <v>812</v>
      </c>
      <c r="E214" s="18" t="s">
        <v>191</v>
      </c>
      <c r="F214" s="14">
        <v>15</v>
      </c>
      <c r="G214" s="14" t="s">
        <v>69</v>
      </c>
      <c r="H214" s="26" t="s">
        <v>637</v>
      </c>
      <c r="I214" s="26" t="s">
        <v>115</v>
      </c>
      <c r="J214" s="202"/>
      <c r="K214" s="180" t="s">
        <v>875</v>
      </c>
      <c r="L214" s="47" t="s">
        <v>6</v>
      </c>
      <c r="M214" s="144" t="s">
        <v>876</v>
      </c>
      <c r="N214" s="144" t="s">
        <v>877</v>
      </c>
      <c r="O214" s="18"/>
      <c r="P214" s="18"/>
      <c r="Q214" s="18" t="s">
        <v>878</v>
      </c>
      <c r="R214" s="19"/>
      <c r="S214" s="20"/>
      <c r="T214" s="20" t="s">
        <v>45</v>
      </c>
      <c r="U214" s="20"/>
      <c r="V214" s="20"/>
      <c r="W214" s="20"/>
      <c r="X214" s="20"/>
    </row>
    <row r="215" spans="2:24" ht="57.95" hidden="1">
      <c r="B215" s="18" t="s">
        <v>810</v>
      </c>
      <c r="C215" s="18" t="s">
        <v>811</v>
      </c>
      <c r="D215" s="18" t="s">
        <v>812</v>
      </c>
      <c r="E215" s="18" t="s">
        <v>191</v>
      </c>
      <c r="F215" s="14">
        <v>16</v>
      </c>
      <c r="G215" s="14" t="s">
        <v>69</v>
      </c>
      <c r="H215" s="26" t="s">
        <v>128</v>
      </c>
      <c r="I215" s="26" t="s">
        <v>115</v>
      </c>
      <c r="J215" s="202"/>
      <c r="K215" s="120" t="s">
        <v>879</v>
      </c>
      <c r="L215" s="47" t="s">
        <v>4</v>
      </c>
      <c r="M215" s="144" t="s">
        <v>880</v>
      </c>
      <c r="N215" s="16" t="s">
        <v>881</v>
      </c>
      <c r="O215" s="18" t="s">
        <v>3</v>
      </c>
      <c r="P215" s="18" t="s">
        <v>3</v>
      </c>
      <c r="Q215" s="18" t="s">
        <v>54</v>
      </c>
      <c r="R215" s="19"/>
      <c r="S215" s="20"/>
      <c r="T215" s="20" t="s">
        <v>45</v>
      </c>
      <c r="U215" s="20" t="s">
        <v>882</v>
      </c>
      <c r="V215" s="20"/>
      <c r="W215" s="20"/>
      <c r="X215" s="20"/>
    </row>
    <row r="216" spans="2:24" ht="84" hidden="1">
      <c r="B216" s="18" t="s">
        <v>810</v>
      </c>
      <c r="C216" s="18" t="s">
        <v>811</v>
      </c>
      <c r="D216" s="18" t="s">
        <v>812</v>
      </c>
      <c r="E216" s="18" t="s">
        <v>191</v>
      </c>
      <c r="F216" s="70">
        <v>17</v>
      </c>
      <c r="G216" s="70" t="s">
        <v>39</v>
      </c>
      <c r="H216" s="71" t="s">
        <v>883</v>
      </c>
      <c r="I216" s="71" t="s">
        <v>115</v>
      </c>
      <c r="J216" s="209"/>
      <c r="K216" s="200" t="s">
        <v>884</v>
      </c>
      <c r="L216" s="47" t="s">
        <v>4</v>
      </c>
      <c r="M216" s="16" t="s">
        <v>885</v>
      </c>
      <c r="N216" s="16" t="s">
        <v>886</v>
      </c>
      <c r="O216" s="18" t="s">
        <v>3</v>
      </c>
      <c r="P216" s="18" t="s">
        <v>3</v>
      </c>
      <c r="Q216" s="18" t="s">
        <v>878</v>
      </c>
      <c r="R216" s="19"/>
      <c r="S216" s="20"/>
      <c r="T216" s="20" t="s">
        <v>65</v>
      </c>
      <c r="U216" s="20"/>
      <c r="V216" s="20"/>
      <c r="W216" s="20"/>
      <c r="X216" s="20"/>
    </row>
    <row r="217" spans="2:24" ht="87" hidden="1">
      <c r="B217" s="18" t="s">
        <v>810</v>
      </c>
      <c r="C217" s="18" t="s">
        <v>811</v>
      </c>
      <c r="D217" s="18" t="s">
        <v>812</v>
      </c>
      <c r="E217" s="18" t="s">
        <v>191</v>
      </c>
      <c r="F217" s="14">
        <v>18</v>
      </c>
      <c r="G217" s="14" t="s">
        <v>53</v>
      </c>
      <c r="H217" s="26" t="s">
        <v>54</v>
      </c>
      <c r="I217" s="26" t="s">
        <v>81</v>
      </c>
      <c r="J217" s="202"/>
      <c r="K217" s="120" t="s">
        <v>887</v>
      </c>
      <c r="L217" s="47" t="s">
        <v>6</v>
      </c>
      <c r="M217" s="16" t="s">
        <v>888</v>
      </c>
      <c r="N217" s="16" t="s">
        <v>889</v>
      </c>
      <c r="O217" s="18" t="s">
        <v>3</v>
      </c>
      <c r="P217" s="18" t="s">
        <v>3</v>
      </c>
      <c r="Q217" s="18" t="s">
        <v>54</v>
      </c>
      <c r="R217" s="19"/>
      <c r="S217" s="20"/>
      <c r="T217" s="18" t="s">
        <v>45</v>
      </c>
      <c r="U217" s="20"/>
      <c r="V217" s="20"/>
      <c r="W217" s="20"/>
      <c r="X217" s="20"/>
    </row>
    <row r="218" spans="2:24" ht="116.1" hidden="1">
      <c r="B218" s="18" t="s">
        <v>810</v>
      </c>
      <c r="C218" s="18" t="s">
        <v>811</v>
      </c>
      <c r="D218" s="18" t="s">
        <v>812</v>
      </c>
      <c r="E218" s="18" t="s">
        <v>191</v>
      </c>
      <c r="F218" s="14">
        <v>19</v>
      </c>
      <c r="G218" s="14" t="s">
        <v>53</v>
      </c>
      <c r="H218" s="26" t="s">
        <v>54</v>
      </c>
      <c r="I218" s="26" t="s">
        <v>81</v>
      </c>
      <c r="J218" s="202"/>
      <c r="K218" s="194" t="s">
        <v>890</v>
      </c>
      <c r="L218" s="47" t="s">
        <v>6</v>
      </c>
      <c r="M218" s="144" t="s">
        <v>891</v>
      </c>
      <c r="N218" s="16" t="s">
        <v>892</v>
      </c>
      <c r="O218" s="18"/>
      <c r="P218" s="18"/>
      <c r="Q218" s="18" t="s">
        <v>54</v>
      </c>
      <c r="R218" s="19"/>
      <c r="S218" s="20"/>
      <c r="T218" s="20" t="s">
        <v>45</v>
      </c>
      <c r="U218" s="20"/>
      <c r="V218" s="20"/>
      <c r="W218" s="20"/>
      <c r="X218" s="20"/>
    </row>
    <row r="219" spans="2:24" ht="57.95" hidden="1">
      <c r="B219" s="18" t="s">
        <v>810</v>
      </c>
      <c r="C219" s="18" t="s">
        <v>811</v>
      </c>
      <c r="D219" s="18" t="s">
        <v>812</v>
      </c>
      <c r="E219" s="18" t="s">
        <v>191</v>
      </c>
      <c r="F219" s="14">
        <v>20</v>
      </c>
      <c r="G219" s="14" t="s">
        <v>53</v>
      </c>
      <c r="H219" s="26" t="s">
        <v>54</v>
      </c>
      <c r="I219" s="26" t="s">
        <v>40</v>
      </c>
      <c r="J219" s="202">
        <v>46117</v>
      </c>
      <c r="K219" s="120" t="s">
        <v>893</v>
      </c>
      <c r="L219" s="47" t="s">
        <v>6</v>
      </c>
      <c r="M219" s="16" t="s">
        <v>894</v>
      </c>
      <c r="N219" s="16" t="s">
        <v>895</v>
      </c>
      <c r="O219" s="18" t="s">
        <v>7</v>
      </c>
      <c r="P219" s="18" t="s">
        <v>5</v>
      </c>
      <c r="Q219" s="18" t="s">
        <v>896</v>
      </c>
      <c r="R219" s="19">
        <v>46180</v>
      </c>
      <c r="S219" s="20">
        <v>46180</v>
      </c>
      <c r="T219" s="18" t="s">
        <v>45</v>
      </c>
      <c r="U219" s="20"/>
      <c r="V219" s="20"/>
      <c r="W219" s="20"/>
      <c r="X219" s="20"/>
    </row>
    <row r="220" spans="2:24" ht="57.95" hidden="1">
      <c r="B220" s="18" t="s">
        <v>810</v>
      </c>
      <c r="C220" s="18" t="s">
        <v>811</v>
      </c>
      <c r="D220" s="18" t="s">
        <v>812</v>
      </c>
      <c r="E220" s="18" t="s">
        <v>191</v>
      </c>
      <c r="F220" s="14">
        <v>21</v>
      </c>
      <c r="G220" s="14" t="s">
        <v>53</v>
      </c>
      <c r="H220" s="26" t="s">
        <v>54</v>
      </c>
      <c r="I220" s="26" t="s">
        <v>40</v>
      </c>
      <c r="J220" s="202">
        <v>46117</v>
      </c>
      <c r="K220" s="194" t="s">
        <v>897</v>
      </c>
      <c r="L220" s="47" t="s">
        <v>4</v>
      </c>
      <c r="M220" s="144" t="s">
        <v>898</v>
      </c>
      <c r="N220" s="16" t="s">
        <v>899</v>
      </c>
      <c r="O220" s="18" t="s">
        <v>5</v>
      </c>
      <c r="P220" s="18" t="s">
        <v>3</v>
      </c>
      <c r="Q220" s="18" t="s">
        <v>69</v>
      </c>
      <c r="R220" s="19">
        <v>46188</v>
      </c>
      <c r="S220" s="20">
        <v>46188</v>
      </c>
      <c r="T220" s="18" t="s">
        <v>45</v>
      </c>
      <c r="U220" s="20"/>
      <c r="V220" s="20"/>
      <c r="W220" s="20"/>
      <c r="X220" s="20"/>
    </row>
    <row r="221" spans="2:24" ht="43.5" hidden="1">
      <c r="B221" s="18" t="s">
        <v>900</v>
      </c>
      <c r="C221" s="18" t="s">
        <v>901</v>
      </c>
      <c r="D221" s="18" t="s">
        <v>902</v>
      </c>
      <c r="E221" s="18" t="s">
        <v>681</v>
      </c>
      <c r="F221" s="96"/>
      <c r="G221" s="14" t="s">
        <v>69</v>
      </c>
      <c r="H221" s="26" t="s">
        <v>70</v>
      </c>
      <c r="I221" s="26" t="s">
        <v>40</v>
      </c>
      <c r="J221" s="202"/>
      <c r="K221" s="18" t="s">
        <v>903</v>
      </c>
      <c r="L221" s="47" t="s">
        <v>4</v>
      </c>
      <c r="M221" s="18" t="s">
        <v>904</v>
      </c>
      <c r="N221" s="18" t="s">
        <v>905</v>
      </c>
      <c r="O221" s="96"/>
      <c r="P221" s="96"/>
      <c r="Q221" s="18" t="s">
        <v>69</v>
      </c>
      <c r="R221" s="19">
        <v>45747</v>
      </c>
      <c r="S221" s="84">
        <v>45782</v>
      </c>
      <c r="T221" s="18" t="s">
        <v>808</v>
      </c>
      <c r="U221" s="20" t="s">
        <v>906</v>
      </c>
      <c r="V221" s="108"/>
      <c r="W221" s="18"/>
      <c r="X221" s="18"/>
    </row>
    <row r="222" spans="2:24" ht="174" hidden="1">
      <c r="B222" s="18" t="s">
        <v>907</v>
      </c>
      <c r="C222" s="18" t="s">
        <v>908</v>
      </c>
      <c r="D222" s="18" t="s">
        <v>909</v>
      </c>
      <c r="E222" s="18" t="s">
        <v>681</v>
      </c>
      <c r="F222" s="96">
        <v>1</v>
      </c>
      <c r="G222" s="96" t="s">
        <v>69</v>
      </c>
      <c r="H222" s="26" t="s">
        <v>70</v>
      </c>
      <c r="I222" s="26" t="s">
        <v>81</v>
      </c>
      <c r="J222" s="203"/>
      <c r="K222" s="18" t="s">
        <v>910</v>
      </c>
      <c r="L222" s="18" t="s">
        <v>4</v>
      </c>
      <c r="M222" s="18" t="s">
        <v>911</v>
      </c>
      <c r="N222" s="18" t="s">
        <v>912</v>
      </c>
      <c r="O222" s="18"/>
      <c r="P222" s="18"/>
      <c r="Q222" s="18" t="s">
        <v>69</v>
      </c>
      <c r="R222" s="19">
        <v>45782</v>
      </c>
      <c r="S222" s="18">
        <v>45782</v>
      </c>
      <c r="T222" s="18" t="s">
        <v>65</v>
      </c>
      <c r="U222" s="18" t="s">
        <v>913</v>
      </c>
      <c r="V222" s="18"/>
      <c r="W222" s="18"/>
      <c r="X222" s="18"/>
    </row>
    <row r="223" spans="2:24" ht="32.1" hidden="1">
      <c r="B223" s="18" t="s">
        <v>914</v>
      </c>
      <c r="C223" s="18" t="s">
        <v>915</v>
      </c>
      <c r="D223" s="18" t="s">
        <v>916</v>
      </c>
      <c r="E223" s="18" t="s">
        <v>191</v>
      </c>
      <c r="F223" s="14">
        <v>2</v>
      </c>
      <c r="G223" s="14" t="s">
        <v>53</v>
      </c>
      <c r="H223" s="26" t="s">
        <v>54</v>
      </c>
      <c r="I223" s="26" t="s">
        <v>153</v>
      </c>
      <c r="J223" s="202">
        <v>45616</v>
      </c>
      <c r="K223" s="16" t="s">
        <v>917</v>
      </c>
      <c r="L223" s="47" t="s">
        <v>6</v>
      </c>
      <c r="M223" s="16" t="s">
        <v>918</v>
      </c>
      <c r="N223" s="16" t="s">
        <v>919</v>
      </c>
      <c r="O223" s="18" t="s">
        <v>3</v>
      </c>
      <c r="P223" s="18" t="s">
        <v>3</v>
      </c>
      <c r="Q223" s="18" t="s">
        <v>53</v>
      </c>
      <c r="R223" s="19">
        <v>45623</v>
      </c>
      <c r="S223" s="20">
        <v>46024</v>
      </c>
      <c r="T223" s="20" t="s">
        <v>45</v>
      </c>
      <c r="U223" s="20" t="s">
        <v>920</v>
      </c>
      <c r="V223" s="20"/>
      <c r="W223" s="20"/>
      <c r="X223" s="20"/>
    </row>
    <row r="224" spans="2:24" ht="101.45" hidden="1">
      <c r="B224" s="18" t="s">
        <v>914</v>
      </c>
      <c r="C224" s="18" t="s">
        <v>915</v>
      </c>
      <c r="D224" s="18" t="s">
        <v>916</v>
      </c>
      <c r="E224" s="18" t="s">
        <v>191</v>
      </c>
      <c r="F224" s="14">
        <v>3</v>
      </c>
      <c r="G224" s="14" t="s">
        <v>445</v>
      </c>
      <c r="H224" s="26" t="s">
        <v>54</v>
      </c>
      <c r="I224" s="26" t="s">
        <v>46</v>
      </c>
      <c r="J224" s="202">
        <v>45646</v>
      </c>
      <c r="K224" s="16" t="s">
        <v>921</v>
      </c>
      <c r="L224" s="47" t="s">
        <v>4</v>
      </c>
      <c r="M224" s="16" t="s">
        <v>922</v>
      </c>
      <c r="N224" s="16" t="s">
        <v>923</v>
      </c>
      <c r="O224" s="18" t="s">
        <v>3</v>
      </c>
      <c r="P224" s="18" t="s">
        <v>3</v>
      </c>
      <c r="Q224" s="18" t="s">
        <v>924</v>
      </c>
      <c r="R224" s="19"/>
      <c r="S224" s="20">
        <v>46082</v>
      </c>
      <c r="T224" s="20" t="s">
        <v>45</v>
      </c>
      <c r="U224" s="20" t="s">
        <v>925</v>
      </c>
      <c r="V224" s="20"/>
      <c r="W224" s="20"/>
      <c r="X224" s="20"/>
    </row>
    <row r="225" spans="2:29" ht="144.94999999999999" hidden="1">
      <c r="B225" s="18" t="s">
        <v>914</v>
      </c>
      <c r="C225" s="18" t="s">
        <v>915</v>
      </c>
      <c r="D225" s="18" t="s">
        <v>916</v>
      </c>
      <c r="E225" s="18" t="s">
        <v>191</v>
      </c>
      <c r="F225" s="14">
        <v>6</v>
      </c>
      <c r="G225" s="14" t="s">
        <v>69</v>
      </c>
      <c r="H225" s="26" t="s">
        <v>128</v>
      </c>
      <c r="I225" s="26" t="s">
        <v>203</v>
      </c>
      <c r="J225" s="202">
        <v>45656</v>
      </c>
      <c r="K225" s="159" t="s">
        <v>926</v>
      </c>
      <c r="L225" s="47" t="s">
        <v>4</v>
      </c>
      <c r="M225" s="16" t="s">
        <v>927</v>
      </c>
      <c r="N225" s="16" t="s">
        <v>928</v>
      </c>
      <c r="O225" s="18" t="s">
        <v>3</v>
      </c>
      <c r="P225" s="18" t="s">
        <v>3</v>
      </c>
      <c r="Q225" s="18" t="s">
        <v>929</v>
      </c>
      <c r="R225" s="19">
        <v>45853</v>
      </c>
      <c r="S225" s="20">
        <v>45905</v>
      </c>
      <c r="T225" s="20" t="s">
        <v>352</v>
      </c>
      <c r="U225" s="20" t="s">
        <v>930</v>
      </c>
      <c r="V225" s="20"/>
      <c r="W225" s="20"/>
      <c r="X225" s="20">
        <v>45646</v>
      </c>
    </row>
    <row r="226" spans="2:29" ht="15.95" hidden="1">
      <c r="B226" s="18" t="s">
        <v>914</v>
      </c>
      <c r="C226" s="18" t="s">
        <v>915</v>
      </c>
      <c r="D226" s="18"/>
      <c r="E226" s="18"/>
      <c r="F226" s="14"/>
      <c r="G226" s="14"/>
      <c r="H226" s="26"/>
      <c r="I226" s="26"/>
      <c r="J226" s="202">
        <v>45615</v>
      </c>
      <c r="K226" s="16"/>
      <c r="L226" s="47"/>
      <c r="M226" s="16"/>
      <c r="N226" s="16"/>
      <c r="O226" s="18"/>
      <c r="P226" s="18"/>
      <c r="Q226" s="18"/>
      <c r="R226" s="19"/>
      <c r="S226" s="20"/>
      <c r="T226" s="20"/>
      <c r="U226" s="20"/>
      <c r="V226" s="20"/>
      <c r="W226" s="20"/>
      <c r="X226" s="20"/>
    </row>
    <row r="227" spans="2:29" ht="101.45" hidden="1">
      <c r="B227" s="18" t="s">
        <v>914</v>
      </c>
      <c r="C227" s="18" t="s">
        <v>915</v>
      </c>
      <c r="D227" s="18" t="s">
        <v>916</v>
      </c>
      <c r="E227" s="18" t="s">
        <v>191</v>
      </c>
      <c r="F227" s="14">
        <v>11</v>
      </c>
      <c r="G227" s="14" t="s">
        <v>39</v>
      </c>
      <c r="H227" s="26" t="s">
        <v>0</v>
      </c>
      <c r="I227" s="26" t="s">
        <v>207</v>
      </c>
      <c r="J227" s="202"/>
      <c r="K227" s="16" t="s">
        <v>931</v>
      </c>
      <c r="L227" s="47" t="s">
        <v>6</v>
      </c>
      <c r="M227" s="18" t="s">
        <v>932</v>
      </c>
      <c r="N227" s="16" t="s">
        <v>933</v>
      </c>
      <c r="O227" s="18"/>
      <c r="P227" s="18"/>
      <c r="Q227" s="18"/>
      <c r="R227" s="19"/>
      <c r="S227" s="20"/>
      <c r="T227" s="20" t="s">
        <v>45</v>
      </c>
      <c r="U227" s="20"/>
      <c r="V227" s="20"/>
      <c r="W227" s="20"/>
      <c r="X227" s="20"/>
    </row>
    <row r="228" spans="2:29" ht="116.25" hidden="1" customHeight="1">
      <c r="B228" s="18" t="s">
        <v>934</v>
      </c>
      <c r="C228" s="18" t="s">
        <v>935</v>
      </c>
      <c r="D228" s="18" t="s">
        <v>936</v>
      </c>
      <c r="E228" s="18" t="s">
        <v>191</v>
      </c>
      <c r="F228" s="14">
        <v>1</v>
      </c>
      <c r="G228" s="14" t="s">
        <v>53</v>
      </c>
      <c r="H228" s="26" t="s">
        <v>54</v>
      </c>
      <c r="I228" s="26" t="s">
        <v>46</v>
      </c>
      <c r="J228" s="202">
        <v>45687</v>
      </c>
      <c r="K228" s="16" t="s">
        <v>937</v>
      </c>
      <c r="L228" s="47" t="s">
        <v>6</v>
      </c>
      <c r="M228" s="16" t="s">
        <v>938</v>
      </c>
      <c r="N228" s="16" t="s">
        <v>939</v>
      </c>
      <c r="O228" s="18" t="s">
        <v>5</v>
      </c>
      <c r="P228" s="18" t="s">
        <v>3</v>
      </c>
      <c r="Q228" s="18" t="s">
        <v>940</v>
      </c>
      <c r="R228" s="19"/>
      <c r="S228" s="20"/>
      <c r="T228" s="20" t="s">
        <v>45</v>
      </c>
      <c r="U228" s="20" t="s">
        <v>941</v>
      </c>
      <c r="V228" s="195" t="s">
        <v>942</v>
      </c>
      <c r="W228" s="20" t="s">
        <v>943</v>
      </c>
      <c r="X228" s="20"/>
    </row>
    <row r="229" spans="2:29" ht="149.25" hidden="1" customHeight="1">
      <c r="B229" s="18" t="s">
        <v>934</v>
      </c>
      <c r="C229" s="18" t="s">
        <v>935</v>
      </c>
      <c r="D229" s="18" t="s">
        <v>936</v>
      </c>
      <c r="E229" s="18" t="s">
        <v>191</v>
      </c>
      <c r="F229" s="14">
        <v>2</v>
      </c>
      <c r="G229" s="14" t="s">
        <v>69</v>
      </c>
      <c r="H229" s="26" t="s">
        <v>70</v>
      </c>
      <c r="I229" s="26" t="s">
        <v>40</v>
      </c>
      <c r="J229" s="202"/>
      <c r="K229" s="16" t="s">
        <v>944</v>
      </c>
      <c r="L229" s="47" t="s">
        <v>4</v>
      </c>
      <c r="M229" s="16" t="s">
        <v>945</v>
      </c>
      <c r="N229" s="16" t="s">
        <v>946</v>
      </c>
      <c r="O229" s="18" t="s">
        <v>5</v>
      </c>
      <c r="P229" s="18" t="s">
        <v>3</v>
      </c>
      <c r="Q229" s="18" t="s">
        <v>795</v>
      </c>
      <c r="R229" s="19"/>
      <c r="S229" s="20"/>
      <c r="T229" s="20" t="s">
        <v>45</v>
      </c>
      <c r="U229" s="20" t="s">
        <v>941</v>
      </c>
      <c r="V229" s="195" t="s">
        <v>947</v>
      </c>
      <c r="W229" s="20" t="s">
        <v>948</v>
      </c>
      <c r="X229" s="20" t="s">
        <v>949</v>
      </c>
    </row>
    <row r="230" spans="2:29" ht="48" hidden="1">
      <c r="B230" s="18" t="s">
        <v>934</v>
      </c>
      <c r="C230" s="18" t="s">
        <v>935</v>
      </c>
      <c r="D230" s="18" t="s">
        <v>936</v>
      </c>
      <c r="E230" s="18" t="s">
        <v>191</v>
      </c>
      <c r="F230" s="14">
        <v>3</v>
      </c>
      <c r="G230" s="14" t="s">
        <v>69</v>
      </c>
      <c r="H230" s="26" t="s">
        <v>95</v>
      </c>
      <c r="I230" s="26" t="s">
        <v>40</v>
      </c>
      <c r="J230" s="202">
        <v>45421</v>
      </c>
      <c r="K230" s="16" t="s">
        <v>950</v>
      </c>
      <c r="L230" s="47" t="s">
        <v>6</v>
      </c>
      <c r="M230" s="16" t="s">
        <v>951</v>
      </c>
      <c r="N230" s="16" t="s">
        <v>952</v>
      </c>
      <c r="O230" s="18" t="s">
        <v>5</v>
      </c>
      <c r="P230" s="18" t="s">
        <v>3</v>
      </c>
      <c r="Q230" s="18" t="s">
        <v>953</v>
      </c>
      <c r="R230" s="19">
        <v>45986</v>
      </c>
      <c r="S230" s="20">
        <v>46079</v>
      </c>
      <c r="T230" s="20" t="s">
        <v>45</v>
      </c>
      <c r="U230" s="20" t="s">
        <v>954</v>
      </c>
      <c r="V230" s="20" t="s">
        <v>955</v>
      </c>
      <c r="W230" s="20" t="s">
        <v>956</v>
      </c>
      <c r="X230" s="20" t="s">
        <v>957</v>
      </c>
    </row>
    <row r="231" spans="2:29" ht="89.25" hidden="1" customHeight="1">
      <c r="B231" s="18" t="s">
        <v>934</v>
      </c>
      <c r="C231" s="18" t="s">
        <v>935</v>
      </c>
      <c r="D231" s="18" t="s">
        <v>936</v>
      </c>
      <c r="E231" s="18" t="s">
        <v>191</v>
      </c>
      <c r="F231" s="14">
        <v>4</v>
      </c>
      <c r="G231" s="14" t="s">
        <v>69</v>
      </c>
      <c r="H231" s="26" t="s">
        <v>605</v>
      </c>
      <c r="I231" s="26" t="s">
        <v>40</v>
      </c>
      <c r="J231" s="202">
        <v>45704</v>
      </c>
      <c r="K231" s="16" t="s">
        <v>958</v>
      </c>
      <c r="L231" s="47" t="s">
        <v>6</v>
      </c>
      <c r="M231" s="16" t="s">
        <v>959</v>
      </c>
      <c r="N231" s="16" t="s">
        <v>960</v>
      </c>
      <c r="O231" s="18" t="s">
        <v>5</v>
      </c>
      <c r="P231" s="18" t="s">
        <v>3</v>
      </c>
      <c r="Q231" s="18" t="s">
        <v>795</v>
      </c>
      <c r="R231" s="19">
        <v>45851</v>
      </c>
      <c r="S231" s="20">
        <v>46098</v>
      </c>
      <c r="T231" s="20" t="s">
        <v>45</v>
      </c>
      <c r="U231" s="20" t="s">
        <v>961</v>
      </c>
      <c r="V231" s="20" t="s">
        <v>955</v>
      </c>
      <c r="W231" s="20" t="s">
        <v>962</v>
      </c>
      <c r="X231" s="20" t="s">
        <v>963</v>
      </c>
    </row>
    <row r="232" spans="2:29" ht="156" hidden="1" customHeight="1">
      <c r="B232" s="18" t="s">
        <v>934</v>
      </c>
      <c r="C232" s="18" t="s">
        <v>935</v>
      </c>
      <c r="D232" s="18" t="s">
        <v>936</v>
      </c>
      <c r="E232" s="18" t="s">
        <v>191</v>
      </c>
      <c r="F232" s="14">
        <v>5</v>
      </c>
      <c r="G232" s="14" t="s">
        <v>69</v>
      </c>
      <c r="H232" s="26" t="s">
        <v>964</v>
      </c>
      <c r="I232" s="26" t="s">
        <v>86</v>
      </c>
      <c r="J232" s="202"/>
      <c r="K232" s="16" t="s">
        <v>965</v>
      </c>
      <c r="L232" s="47" t="s">
        <v>6</v>
      </c>
      <c r="M232" s="16" t="s">
        <v>966</v>
      </c>
      <c r="N232" s="16" t="s">
        <v>967</v>
      </c>
      <c r="O232" s="18"/>
      <c r="P232" s="18"/>
      <c r="Q232" s="18" t="s">
        <v>968</v>
      </c>
      <c r="R232" s="19"/>
      <c r="S232" s="20">
        <v>45990</v>
      </c>
      <c r="T232" s="20" t="s">
        <v>352</v>
      </c>
      <c r="U232" s="20" t="s">
        <v>969</v>
      </c>
      <c r="V232" s="20"/>
      <c r="W232" s="20"/>
      <c r="X232" s="20"/>
    </row>
    <row r="233" spans="2:29" ht="48" hidden="1">
      <c r="B233" s="18" t="s">
        <v>934</v>
      </c>
      <c r="C233" s="18" t="s">
        <v>935</v>
      </c>
      <c r="D233" s="18" t="s">
        <v>936</v>
      </c>
      <c r="E233" s="18" t="s">
        <v>191</v>
      </c>
      <c r="F233" s="14">
        <v>6</v>
      </c>
      <c r="G233" s="14" t="s">
        <v>69</v>
      </c>
      <c r="H233" s="26" t="s">
        <v>964</v>
      </c>
      <c r="I233" s="26" t="s">
        <v>40</v>
      </c>
      <c r="J233" s="202">
        <v>45722</v>
      </c>
      <c r="K233" s="16" t="s">
        <v>970</v>
      </c>
      <c r="L233" s="47" t="s">
        <v>8</v>
      </c>
      <c r="M233" s="16" t="s">
        <v>971</v>
      </c>
      <c r="N233" s="16" t="s">
        <v>972</v>
      </c>
      <c r="O233" s="18" t="s">
        <v>5</v>
      </c>
      <c r="P233" s="18" t="s">
        <v>5</v>
      </c>
      <c r="Q233" s="18" t="s">
        <v>795</v>
      </c>
      <c r="R233" s="19">
        <v>45708</v>
      </c>
      <c r="S233" s="20">
        <v>45960</v>
      </c>
      <c r="T233" s="20" t="s">
        <v>45</v>
      </c>
      <c r="U233" s="20" t="s">
        <v>973</v>
      </c>
      <c r="V233" s="20"/>
      <c r="W233" s="20" t="s">
        <v>974</v>
      </c>
      <c r="X233" s="20"/>
    </row>
    <row r="234" spans="2:29" ht="73.5" hidden="1" customHeight="1">
      <c r="B234" s="18" t="s">
        <v>934</v>
      </c>
      <c r="C234" s="18" t="s">
        <v>935</v>
      </c>
      <c r="D234" s="18" t="s">
        <v>936</v>
      </c>
      <c r="E234" s="18" t="s">
        <v>191</v>
      </c>
      <c r="F234" s="14">
        <v>7</v>
      </c>
      <c r="G234" s="14" t="s">
        <v>69</v>
      </c>
      <c r="H234" s="26" t="s">
        <v>128</v>
      </c>
      <c r="I234" s="26" t="s">
        <v>975</v>
      </c>
      <c r="J234" s="202"/>
      <c r="K234" s="66" t="s">
        <v>976</v>
      </c>
      <c r="L234" s="47" t="s">
        <v>6</v>
      </c>
      <c r="M234" s="16" t="s">
        <v>977</v>
      </c>
      <c r="N234" s="16" t="s">
        <v>978</v>
      </c>
      <c r="O234" s="18"/>
      <c r="P234" s="18"/>
      <c r="Q234" s="18" t="s">
        <v>59</v>
      </c>
      <c r="R234" s="19"/>
      <c r="S234" s="20">
        <v>45923</v>
      </c>
      <c r="T234" s="20" t="s">
        <v>45</v>
      </c>
      <c r="U234" s="20"/>
      <c r="V234" s="20"/>
      <c r="W234" s="20"/>
      <c r="X234" s="20"/>
      <c r="AB234" s="69"/>
      <c r="AC234" s="69"/>
    </row>
    <row r="235" spans="2:29" ht="48" hidden="1">
      <c r="B235" s="18" t="s">
        <v>934</v>
      </c>
      <c r="C235" s="18" t="s">
        <v>935</v>
      </c>
      <c r="D235" s="18" t="s">
        <v>936</v>
      </c>
      <c r="E235" s="18" t="s">
        <v>191</v>
      </c>
      <c r="F235" s="14">
        <v>8</v>
      </c>
      <c r="G235" s="14" t="s">
        <v>39</v>
      </c>
      <c r="H235" s="26" t="s">
        <v>834</v>
      </c>
      <c r="I235" s="26" t="s">
        <v>153</v>
      </c>
      <c r="J235" s="202">
        <v>45659</v>
      </c>
      <c r="K235" s="16" t="s">
        <v>979</v>
      </c>
      <c r="L235" s="47" t="s">
        <v>8</v>
      </c>
      <c r="M235" s="16" t="s">
        <v>980</v>
      </c>
      <c r="N235" s="16" t="s">
        <v>981</v>
      </c>
      <c r="O235" s="18" t="s">
        <v>5</v>
      </c>
      <c r="P235" s="18" t="s">
        <v>7</v>
      </c>
      <c r="Q235" s="18" t="s">
        <v>59</v>
      </c>
      <c r="R235" s="19"/>
      <c r="S235" s="20">
        <v>45777</v>
      </c>
      <c r="T235" s="20" t="s">
        <v>45</v>
      </c>
      <c r="U235" s="20"/>
      <c r="V235" s="20"/>
      <c r="W235" s="20"/>
      <c r="X235" s="20"/>
    </row>
    <row r="236" spans="2:29" ht="43.5" hidden="1">
      <c r="B236" s="18" t="s">
        <v>934</v>
      </c>
      <c r="C236" s="18" t="s">
        <v>935</v>
      </c>
      <c r="D236" s="18" t="s">
        <v>936</v>
      </c>
      <c r="E236" s="18" t="s">
        <v>191</v>
      </c>
      <c r="F236" s="14">
        <v>9</v>
      </c>
      <c r="G236" s="14" t="s">
        <v>69</v>
      </c>
      <c r="H236" s="26" t="s">
        <v>128</v>
      </c>
      <c r="I236" s="26" t="s">
        <v>40</v>
      </c>
      <c r="J236" s="202"/>
      <c r="K236" s="16" t="s">
        <v>982</v>
      </c>
      <c r="L236" s="47" t="s">
        <v>8</v>
      </c>
      <c r="M236" s="16" t="s">
        <v>983</v>
      </c>
      <c r="N236" s="16" t="s">
        <v>984</v>
      </c>
      <c r="O236" s="18" t="s">
        <v>5</v>
      </c>
      <c r="P236" s="18" t="s">
        <v>5</v>
      </c>
      <c r="Q236" s="18" t="s">
        <v>59</v>
      </c>
      <c r="R236" s="19"/>
      <c r="S236" s="20"/>
      <c r="T236" s="20" t="s">
        <v>45</v>
      </c>
      <c r="U236" s="20" t="s">
        <v>969</v>
      </c>
      <c r="V236" s="20"/>
      <c r="W236" s="20"/>
      <c r="X236" s="20"/>
    </row>
    <row r="237" spans="2:29" ht="97.5" hidden="1" customHeight="1">
      <c r="B237" s="18" t="s">
        <v>934</v>
      </c>
      <c r="C237" s="18" t="s">
        <v>935</v>
      </c>
      <c r="D237" s="18" t="s">
        <v>936</v>
      </c>
      <c r="E237" s="18" t="s">
        <v>191</v>
      </c>
      <c r="F237" s="14">
        <v>10</v>
      </c>
      <c r="G237" s="14" t="s">
        <v>39</v>
      </c>
      <c r="H237" s="26" t="s">
        <v>86</v>
      </c>
      <c r="I237" s="26" t="s">
        <v>86</v>
      </c>
      <c r="J237" s="202"/>
      <c r="K237" s="16" t="s">
        <v>985</v>
      </c>
      <c r="L237" s="47" t="s">
        <v>6</v>
      </c>
      <c r="M237" s="16" t="s">
        <v>986</v>
      </c>
      <c r="N237" s="16" t="s">
        <v>987</v>
      </c>
      <c r="O237" s="18" t="s">
        <v>5</v>
      </c>
      <c r="P237" s="18" t="s">
        <v>3</v>
      </c>
      <c r="Q237" s="18" t="s">
        <v>988</v>
      </c>
      <c r="R237" s="19">
        <v>45930</v>
      </c>
      <c r="S237" s="20">
        <v>45991</v>
      </c>
      <c r="T237" s="20" t="s">
        <v>45</v>
      </c>
      <c r="U237" s="20" t="s">
        <v>969</v>
      </c>
      <c r="V237" s="20"/>
      <c r="W237" s="20"/>
      <c r="X237" s="20"/>
    </row>
    <row r="238" spans="2:29" ht="97.5" hidden="1" customHeight="1">
      <c r="B238" s="18" t="s">
        <v>934</v>
      </c>
      <c r="C238" s="18" t="s">
        <v>935</v>
      </c>
      <c r="D238" s="18" t="s">
        <v>936</v>
      </c>
      <c r="E238" s="18" t="s">
        <v>191</v>
      </c>
      <c r="F238" s="14">
        <v>11</v>
      </c>
      <c r="G238" s="14" t="s">
        <v>39</v>
      </c>
      <c r="H238" s="26" t="s">
        <v>86</v>
      </c>
      <c r="I238" s="26" t="s">
        <v>86</v>
      </c>
      <c r="J238" s="202"/>
      <c r="K238" s="16" t="s">
        <v>989</v>
      </c>
      <c r="L238" s="47" t="s">
        <v>6</v>
      </c>
      <c r="M238" s="16"/>
      <c r="N238" s="16" t="s">
        <v>990</v>
      </c>
      <c r="O238" s="18" t="s">
        <v>5</v>
      </c>
      <c r="P238" s="18" t="s">
        <v>3</v>
      </c>
      <c r="Q238" s="18" t="s">
        <v>988</v>
      </c>
      <c r="R238" s="19"/>
      <c r="S238" s="20"/>
      <c r="T238" s="20" t="s">
        <v>45</v>
      </c>
      <c r="U238" s="20"/>
      <c r="V238" s="20"/>
      <c r="W238" s="20"/>
      <c r="X238" s="20"/>
    </row>
    <row r="239" spans="2:29" ht="97.5" hidden="1" customHeight="1">
      <c r="B239" s="18" t="s">
        <v>934</v>
      </c>
      <c r="C239" s="18" t="s">
        <v>935</v>
      </c>
      <c r="D239" s="18" t="s">
        <v>936</v>
      </c>
      <c r="E239" s="18" t="s">
        <v>191</v>
      </c>
      <c r="F239" s="14">
        <v>12</v>
      </c>
      <c r="G239" s="14" t="s">
        <v>39</v>
      </c>
      <c r="H239" s="26" t="s">
        <v>86</v>
      </c>
      <c r="I239" s="26" t="s">
        <v>86</v>
      </c>
      <c r="J239" s="202"/>
      <c r="K239" s="16" t="s">
        <v>991</v>
      </c>
      <c r="L239" s="47" t="s">
        <v>6</v>
      </c>
      <c r="M239" s="16" t="s">
        <v>992</v>
      </c>
      <c r="N239" s="16" t="s">
        <v>993</v>
      </c>
      <c r="O239" s="18"/>
      <c r="P239" s="18"/>
      <c r="Q239" s="18"/>
      <c r="R239" s="19"/>
      <c r="S239" s="20">
        <v>45960</v>
      </c>
      <c r="T239" s="20" t="s">
        <v>45</v>
      </c>
      <c r="U239" s="20" t="s">
        <v>969</v>
      </c>
      <c r="V239" s="20"/>
      <c r="W239" s="20"/>
      <c r="X239" s="20"/>
    </row>
    <row r="240" spans="2:29" ht="75.75" hidden="1" customHeight="1">
      <c r="B240" s="18" t="s">
        <v>934</v>
      </c>
      <c r="C240" s="18" t="s">
        <v>935</v>
      </c>
      <c r="D240" s="18" t="s">
        <v>936</v>
      </c>
      <c r="E240" s="18" t="s">
        <v>191</v>
      </c>
      <c r="F240" s="14">
        <v>13</v>
      </c>
      <c r="G240" s="14" t="s">
        <v>53</v>
      </c>
      <c r="H240" s="26" t="s">
        <v>54</v>
      </c>
      <c r="I240" s="26" t="s">
        <v>86</v>
      </c>
      <c r="J240" s="202">
        <v>45439</v>
      </c>
      <c r="K240" s="16" t="s">
        <v>994</v>
      </c>
      <c r="L240" s="47" t="s">
        <v>6</v>
      </c>
      <c r="M240" s="16" t="s">
        <v>995</v>
      </c>
      <c r="N240" s="16" t="s">
        <v>996</v>
      </c>
      <c r="O240" s="18"/>
      <c r="P240" s="18"/>
      <c r="Q240" s="18" t="s">
        <v>988</v>
      </c>
      <c r="R240" s="19"/>
      <c r="S240" s="20"/>
      <c r="T240" s="20" t="s">
        <v>45</v>
      </c>
      <c r="U240" s="20" t="s">
        <v>997</v>
      </c>
      <c r="V240" s="20"/>
      <c r="W240" s="20"/>
      <c r="X240" s="20"/>
    </row>
    <row r="241" spans="2:24" ht="43.5" hidden="1">
      <c r="B241" s="18" t="s">
        <v>934</v>
      </c>
      <c r="C241" s="18" t="s">
        <v>935</v>
      </c>
      <c r="D241" s="18" t="s">
        <v>936</v>
      </c>
      <c r="E241" s="18" t="s">
        <v>191</v>
      </c>
      <c r="F241" s="14">
        <v>14</v>
      </c>
      <c r="G241" s="14" t="s">
        <v>53</v>
      </c>
      <c r="H241" s="26" t="s">
        <v>54</v>
      </c>
      <c r="I241" s="26" t="s">
        <v>46</v>
      </c>
      <c r="J241" s="202">
        <v>45504</v>
      </c>
      <c r="K241" s="16" t="s">
        <v>998</v>
      </c>
      <c r="L241" s="47" t="s">
        <v>6</v>
      </c>
      <c r="M241" s="16" t="s">
        <v>999</v>
      </c>
      <c r="N241" s="16"/>
      <c r="O241" s="18" t="s">
        <v>5</v>
      </c>
      <c r="P241" s="18" t="s">
        <v>7</v>
      </c>
      <c r="Q241" s="18" t="s">
        <v>940</v>
      </c>
      <c r="R241" s="19"/>
      <c r="S241" s="20"/>
      <c r="T241" s="20" t="s">
        <v>45</v>
      </c>
      <c r="U241" s="20" t="s">
        <v>997</v>
      </c>
      <c r="V241" s="20"/>
      <c r="W241" s="20"/>
      <c r="X241" s="20"/>
    </row>
    <row r="242" spans="2:24" ht="72.599999999999994" hidden="1">
      <c r="B242" s="18" t="s">
        <v>934</v>
      </c>
      <c r="C242" s="18" t="s">
        <v>935</v>
      </c>
      <c r="D242" s="18" t="s">
        <v>936</v>
      </c>
      <c r="E242" s="18" t="s">
        <v>191</v>
      </c>
      <c r="F242" s="14">
        <v>15</v>
      </c>
      <c r="G242" s="14" t="s">
        <v>53</v>
      </c>
      <c r="H242" s="26" t="s">
        <v>1000</v>
      </c>
      <c r="I242" s="26" t="s">
        <v>115</v>
      </c>
      <c r="J242" s="202"/>
      <c r="K242" s="16" t="s">
        <v>1001</v>
      </c>
      <c r="L242" s="47" t="s">
        <v>6</v>
      </c>
      <c r="M242" s="16" t="s">
        <v>1002</v>
      </c>
      <c r="N242" s="16" t="s">
        <v>1003</v>
      </c>
      <c r="O242" s="18" t="s">
        <v>5</v>
      </c>
      <c r="P242" s="18" t="s">
        <v>5</v>
      </c>
      <c r="Q242" s="18" t="s">
        <v>940</v>
      </c>
      <c r="R242" s="19"/>
      <c r="S242" s="20">
        <v>46172</v>
      </c>
      <c r="T242" s="20" t="s">
        <v>45</v>
      </c>
      <c r="U242" s="20"/>
      <c r="V242" s="20"/>
      <c r="W242" s="20"/>
      <c r="X242" s="20"/>
    </row>
    <row r="243" spans="2:24" ht="159.6" hidden="1">
      <c r="B243" s="18" t="s">
        <v>934</v>
      </c>
      <c r="C243" s="18" t="s">
        <v>935</v>
      </c>
      <c r="D243" s="18" t="s">
        <v>936</v>
      </c>
      <c r="E243" s="18" t="s">
        <v>191</v>
      </c>
      <c r="F243" s="14">
        <v>16</v>
      </c>
      <c r="G243" s="14" t="s">
        <v>53</v>
      </c>
      <c r="H243" s="26" t="s">
        <v>86</v>
      </c>
      <c r="I243" s="26" t="s">
        <v>153</v>
      </c>
      <c r="J243" s="202"/>
      <c r="K243" s="16" t="s">
        <v>1004</v>
      </c>
      <c r="L243" s="47" t="s">
        <v>6</v>
      </c>
      <c r="M243" s="16" t="s">
        <v>1005</v>
      </c>
      <c r="N243" s="16" t="s">
        <v>1006</v>
      </c>
      <c r="O243" s="18" t="s">
        <v>3</v>
      </c>
      <c r="P243" s="18" t="s">
        <v>3</v>
      </c>
      <c r="Q243" s="18" t="s">
        <v>940</v>
      </c>
      <c r="R243" s="19"/>
      <c r="S243" s="20">
        <v>46233</v>
      </c>
      <c r="T243" s="20" t="s">
        <v>45</v>
      </c>
      <c r="U243" s="20"/>
      <c r="V243" s="195" t="s">
        <v>1007</v>
      </c>
      <c r="W243" s="20"/>
      <c r="X243" s="20"/>
    </row>
    <row r="244" spans="2:24" ht="87" hidden="1">
      <c r="B244" s="18" t="s">
        <v>934</v>
      </c>
      <c r="C244" s="18" t="s">
        <v>935</v>
      </c>
      <c r="D244" s="18" t="s">
        <v>936</v>
      </c>
      <c r="E244" s="18" t="s">
        <v>191</v>
      </c>
      <c r="F244" s="14">
        <v>17</v>
      </c>
      <c r="G244" s="14" t="s">
        <v>39</v>
      </c>
      <c r="H244" s="26" t="s">
        <v>1008</v>
      </c>
      <c r="I244" s="26" t="s">
        <v>86</v>
      </c>
      <c r="J244" s="202"/>
      <c r="K244" s="16" t="s">
        <v>1009</v>
      </c>
      <c r="L244" s="47" t="s">
        <v>6</v>
      </c>
      <c r="M244" s="16" t="s">
        <v>1010</v>
      </c>
      <c r="N244" s="16" t="s">
        <v>1011</v>
      </c>
      <c r="O244" s="18" t="s">
        <v>5</v>
      </c>
      <c r="P244" s="18" t="s">
        <v>3</v>
      </c>
      <c r="Q244" s="18" t="s">
        <v>940</v>
      </c>
      <c r="R244" s="19"/>
      <c r="S244" s="20">
        <v>46172</v>
      </c>
      <c r="T244" s="20" t="s">
        <v>45</v>
      </c>
      <c r="U244" s="20"/>
      <c r="V244" s="195"/>
      <c r="W244" s="20"/>
      <c r="X244" s="20"/>
    </row>
    <row r="245" spans="2:24" ht="48" hidden="1">
      <c r="B245" s="18" t="s">
        <v>934</v>
      </c>
      <c r="C245" s="18" t="s">
        <v>935</v>
      </c>
      <c r="D245" s="18" t="s">
        <v>936</v>
      </c>
      <c r="E245" s="18" t="s">
        <v>191</v>
      </c>
      <c r="F245" s="14">
        <v>18</v>
      </c>
      <c r="G245" s="14" t="s">
        <v>39</v>
      </c>
      <c r="H245" s="119" t="s">
        <v>1012</v>
      </c>
      <c r="I245" s="26" t="s">
        <v>86</v>
      </c>
      <c r="J245" s="202"/>
      <c r="K245" s="119" t="s">
        <v>1013</v>
      </c>
      <c r="L245" s="47" t="s">
        <v>4</v>
      </c>
      <c r="M245" s="16" t="s">
        <v>1014</v>
      </c>
      <c r="N245" s="16" t="s">
        <v>1015</v>
      </c>
      <c r="O245" s="18" t="s">
        <v>3</v>
      </c>
      <c r="P245" s="18" t="s">
        <v>3</v>
      </c>
      <c r="Q245" s="18" t="s">
        <v>940</v>
      </c>
      <c r="R245" s="19"/>
      <c r="S245" s="20">
        <v>46264</v>
      </c>
      <c r="T245" s="20" t="s">
        <v>65</v>
      </c>
      <c r="U245" s="20"/>
      <c r="V245" s="195"/>
      <c r="W245" s="20"/>
      <c r="X245" s="20"/>
    </row>
    <row r="246" spans="2:24" ht="47.25" hidden="1" customHeight="1">
      <c r="B246" s="18" t="s">
        <v>1016</v>
      </c>
      <c r="C246" s="18" t="s">
        <v>1017</v>
      </c>
      <c r="D246" s="18" t="s">
        <v>1018</v>
      </c>
      <c r="E246" s="18" t="s">
        <v>681</v>
      </c>
      <c r="F246" s="96"/>
      <c r="G246" s="96" t="s">
        <v>69</v>
      </c>
      <c r="H246" s="26" t="s">
        <v>70</v>
      </c>
      <c r="I246" s="26" t="s">
        <v>40</v>
      </c>
      <c r="J246" s="203"/>
      <c r="K246" s="18" t="s">
        <v>1019</v>
      </c>
      <c r="L246" s="18" t="s">
        <v>6</v>
      </c>
      <c r="M246" s="18" t="s">
        <v>1020</v>
      </c>
      <c r="N246" s="18" t="s">
        <v>1021</v>
      </c>
      <c r="O246" s="18"/>
      <c r="P246" s="18"/>
      <c r="Q246" s="18" t="s">
        <v>69</v>
      </c>
      <c r="R246" s="19">
        <v>45757</v>
      </c>
      <c r="S246" s="84">
        <v>45787</v>
      </c>
      <c r="T246" s="18" t="s">
        <v>65</v>
      </c>
      <c r="U246" s="18" t="s">
        <v>1022</v>
      </c>
      <c r="V246" s="18"/>
      <c r="W246" s="18"/>
      <c r="X246" s="18"/>
    </row>
    <row r="247" spans="2:24" ht="43.5" hidden="1">
      <c r="B247" s="18" t="s">
        <v>1023</v>
      </c>
      <c r="C247" s="18" t="s">
        <v>1024</v>
      </c>
      <c r="D247" s="18" t="s">
        <v>1025</v>
      </c>
      <c r="E247" s="18" t="s">
        <v>38</v>
      </c>
      <c r="F247" s="96">
        <v>1</v>
      </c>
      <c r="G247" s="96" t="s">
        <v>53</v>
      </c>
      <c r="H247" s="18" t="s">
        <v>348</v>
      </c>
      <c r="I247" s="26" t="s">
        <v>40</v>
      </c>
      <c r="J247" s="203"/>
      <c r="K247" s="18" t="s">
        <v>1026</v>
      </c>
      <c r="L247" s="18" t="s">
        <v>8</v>
      </c>
      <c r="M247" s="18" t="s">
        <v>1027</v>
      </c>
      <c r="N247" s="18" t="s">
        <v>1028</v>
      </c>
      <c r="O247" s="96" t="s">
        <v>3</v>
      </c>
      <c r="P247" s="96" t="s">
        <v>3</v>
      </c>
      <c r="Q247" s="18"/>
      <c r="R247" s="19"/>
      <c r="S247" s="174">
        <v>46291</v>
      </c>
      <c r="T247" s="96" t="s">
        <v>808</v>
      </c>
      <c r="U247" s="18"/>
      <c r="V247" s="18"/>
      <c r="W247" s="18"/>
      <c r="X247" s="18"/>
    </row>
    <row r="248" spans="2:24" ht="147" hidden="1" customHeight="1">
      <c r="B248" s="18" t="s">
        <v>1029</v>
      </c>
      <c r="C248" s="18" t="s">
        <v>1030</v>
      </c>
      <c r="D248" s="18" t="s">
        <v>1025</v>
      </c>
      <c r="E248" s="18" t="s">
        <v>38</v>
      </c>
      <c r="F248" s="14">
        <v>1</v>
      </c>
      <c r="G248" s="14" t="s">
        <v>53</v>
      </c>
      <c r="H248" s="26" t="s">
        <v>54</v>
      </c>
      <c r="I248" s="26" t="s">
        <v>511</v>
      </c>
      <c r="J248" s="202"/>
      <c r="K248" s="18" t="s">
        <v>1031</v>
      </c>
      <c r="L248" s="47" t="s">
        <v>6</v>
      </c>
      <c r="M248" s="18" t="s">
        <v>1032</v>
      </c>
      <c r="N248" s="18" t="s">
        <v>1033</v>
      </c>
      <c r="O248" s="18" t="s">
        <v>5</v>
      </c>
      <c r="P248" s="18" t="s">
        <v>5</v>
      </c>
      <c r="Q248" s="18" t="s">
        <v>54</v>
      </c>
      <c r="R248" s="19"/>
      <c r="S248" s="20"/>
      <c r="T248" s="20" t="s">
        <v>65</v>
      </c>
      <c r="U248" s="20"/>
      <c r="V248" s="108"/>
      <c r="W248" s="18"/>
      <c r="X248" s="18"/>
    </row>
    <row r="249" spans="2:24" ht="87" hidden="1">
      <c r="B249" s="18" t="s">
        <v>1029</v>
      </c>
      <c r="C249" s="18" t="s">
        <v>1034</v>
      </c>
      <c r="D249" s="18" t="s">
        <v>1025</v>
      </c>
      <c r="E249" s="18" t="s">
        <v>38</v>
      </c>
      <c r="F249" s="14">
        <v>1</v>
      </c>
      <c r="G249" s="14" t="s">
        <v>53</v>
      </c>
      <c r="H249" s="26" t="s">
        <v>54</v>
      </c>
      <c r="I249" s="26" t="s">
        <v>511</v>
      </c>
      <c r="J249" s="202"/>
      <c r="K249" s="18" t="s">
        <v>1035</v>
      </c>
      <c r="L249" s="47" t="s">
        <v>6</v>
      </c>
      <c r="M249" s="18" t="s">
        <v>1032</v>
      </c>
      <c r="N249" s="18" t="s">
        <v>1033</v>
      </c>
      <c r="O249" s="18" t="s">
        <v>5</v>
      </c>
      <c r="P249" s="18" t="s">
        <v>5</v>
      </c>
      <c r="Q249" s="18" t="s">
        <v>54</v>
      </c>
      <c r="R249" s="19"/>
      <c r="S249" s="20"/>
      <c r="T249" s="20" t="s">
        <v>65</v>
      </c>
      <c r="U249" s="20"/>
      <c r="V249" s="20"/>
      <c r="W249" s="20"/>
      <c r="X249" s="20"/>
    </row>
    <row r="250" spans="2:24" ht="87" hidden="1">
      <c r="B250" s="18" t="s">
        <v>1029</v>
      </c>
      <c r="C250" s="18" t="s">
        <v>1034</v>
      </c>
      <c r="D250" s="18" t="s">
        <v>1025</v>
      </c>
      <c r="E250" s="18" t="s">
        <v>38</v>
      </c>
      <c r="F250" s="14">
        <v>1</v>
      </c>
      <c r="G250" s="14" t="s">
        <v>39</v>
      </c>
      <c r="H250" s="26" t="s">
        <v>166</v>
      </c>
      <c r="I250" s="26" t="s">
        <v>75</v>
      </c>
      <c r="J250" s="202"/>
      <c r="K250" s="18" t="s">
        <v>1036</v>
      </c>
      <c r="L250" s="47" t="s">
        <v>8</v>
      </c>
      <c r="M250" s="18" t="s">
        <v>1037</v>
      </c>
      <c r="N250" s="18" t="s">
        <v>1038</v>
      </c>
      <c r="O250" s="18" t="s">
        <v>5</v>
      </c>
      <c r="P250" s="18" t="s">
        <v>5</v>
      </c>
      <c r="Q250" s="18" t="s">
        <v>39</v>
      </c>
      <c r="R250" s="19"/>
      <c r="S250" s="20"/>
      <c r="T250" s="20" t="s">
        <v>45</v>
      </c>
      <c r="U250" s="20"/>
      <c r="V250" s="20"/>
      <c r="W250" s="20"/>
      <c r="X250" s="20"/>
    </row>
    <row r="251" spans="2:24" ht="29.1" hidden="1">
      <c r="B251" s="18" t="s">
        <v>1039</v>
      </c>
      <c r="C251" s="18" t="s">
        <v>1040</v>
      </c>
      <c r="D251" s="18" t="s">
        <v>1041</v>
      </c>
      <c r="E251" s="18" t="s">
        <v>38</v>
      </c>
      <c r="F251" s="14">
        <v>1</v>
      </c>
      <c r="G251" s="14" t="s">
        <v>69</v>
      </c>
      <c r="H251" s="26" t="s">
        <v>1042</v>
      </c>
      <c r="I251" s="26" t="s">
        <v>40</v>
      </c>
      <c r="J251" s="202"/>
      <c r="K251" s="102" t="s">
        <v>1043</v>
      </c>
      <c r="L251" s="47" t="s">
        <v>8</v>
      </c>
      <c r="M251" s="137" t="s">
        <v>1044</v>
      </c>
      <c r="N251" s="18" t="s">
        <v>1045</v>
      </c>
      <c r="O251" s="18" t="s">
        <v>5</v>
      </c>
      <c r="P251" s="18" t="s">
        <v>3</v>
      </c>
      <c r="Q251" s="18" t="s">
        <v>99</v>
      </c>
      <c r="R251" s="19">
        <v>45833</v>
      </c>
      <c r="S251" s="20">
        <v>45894</v>
      </c>
      <c r="T251" s="20" t="s">
        <v>65</v>
      </c>
      <c r="U251" s="20" t="s">
        <v>1046</v>
      </c>
      <c r="V251" s="20"/>
      <c r="W251" s="20"/>
      <c r="X251" s="20"/>
    </row>
    <row r="252" spans="2:24" ht="48" hidden="1">
      <c r="B252" s="18" t="s">
        <v>1039</v>
      </c>
      <c r="C252" s="18" t="s">
        <v>1040</v>
      </c>
      <c r="D252" s="18" t="s">
        <v>1041</v>
      </c>
      <c r="E252" s="18" t="s">
        <v>38</v>
      </c>
      <c r="F252" s="14">
        <v>2</v>
      </c>
      <c r="G252" s="14" t="s">
        <v>69</v>
      </c>
      <c r="H252" s="26" t="s">
        <v>70</v>
      </c>
      <c r="I252" s="26" t="s">
        <v>40</v>
      </c>
      <c r="J252" s="202"/>
      <c r="K252" s="100" t="s">
        <v>1047</v>
      </c>
      <c r="L252" s="47" t="s">
        <v>4</v>
      </c>
      <c r="M252" s="18" t="s">
        <v>1048</v>
      </c>
      <c r="N252" s="18" t="s">
        <v>1049</v>
      </c>
      <c r="O252" s="18" t="s">
        <v>3</v>
      </c>
      <c r="P252" s="18" t="s">
        <v>3</v>
      </c>
      <c r="Q252" s="18" t="s">
        <v>99</v>
      </c>
      <c r="R252" s="19">
        <v>45833</v>
      </c>
      <c r="S252" s="20"/>
      <c r="T252" s="20" t="s">
        <v>45</v>
      </c>
      <c r="U252" s="20" t="s">
        <v>1050</v>
      </c>
      <c r="V252" s="20"/>
      <c r="W252" s="20"/>
      <c r="X252" s="20" t="s">
        <v>1051</v>
      </c>
    </row>
    <row r="253" spans="2:24" ht="47.25" hidden="1" customHeight="1">
      <c r="B253" s="18" t="s">
        <v>1039</v>
      </c>
      <c r="C253" s="18" t="s">
        <v>1040</v>
      </c>
      <c r="D253" s="18" t="s">
        <v>1041</v>
      </c>
      <c r="E253" s="18" t="s">
        <v>38</v>
      </c>
      <c r="F253" s="14">
        <v>3</v>
      </c>
      <c r="G253" s="14" t="s">
        <v>69</v>
      </c>
      <c r="H253" s="26" t="s">
        <v>128</v>
      </c>
      <c r="I253" s="26" t="s">
        <v>40</v>
      </c>
      <c r="J253" s="202"/>
      <c r="K253" s="18" t="s">
        <v>544</v>
      </c>
      <c r="L253" s="47" t="s">
        <v>4</v>
      </c>
      <c r="M253" s="18" t="s">
        <v>545</v>
      </c>
      <c r="N253" s="18" t="s">
        <v>546</v>
      </c>
      <c r="O253" s="18" t="s">
        <v>3</v>
      </c>
      <c r="P253" s="18" t="s">
        <v>3</v>
      </c>
      <c r="Q253" s="18" t="s">
        <v>99</v>
      </c>
      <c r="R253" s="19"/>
      <c r="S253" s="20"/>
      <c r="T253" s="20" t="s">
        <v>65</v>
      </c>
      <c r="U253" s="20" t="s">
        <v>1052</v>
      </c>
      <c r="V253" s="138" t="s">
        <v>1053</v>
      </c>
      <c r="W253" s="20"/>
      <c r="X253" s="20"/>
    </row>
    <row r="254" spans="2:24" ht="29.1" hidden="1">
      <c r="B254" s="18" t="s">
        <v>1039</v>
      </c>
      <c r="C254" s="18" t="s">
        <v>1040</v>
      </c>
      <c r="D254" s="18" t="s">
        <v>1041</v>
      </c>
      <c r="E254" s="18" t="s">
        <v>38</v>
      </c>
      <c r="F254" s="14">
        <v>4</v>
      </c>
      <c r="G254" s="14" t="s">
        <v>69</v>
      </c>
      <c r="H254" s="26" t="s">
        <v>1054</v>
      </c>
      <c r="I254" s="26" t="s">
        <v>40</v>
      </c>
      <c r="J254" s="202"/>
      <c r="K254" s="18" t="s">
        <v>1055</v>
      </c>
      <c r="L254" s="47" t="s">
        <v>4</v>
      </c>
      <c r="M254" s="18" t="s">
        <v>1056</v>
      </c>
      <c r="N254" s="18" t="s">
        <v>1057</v>
      </c>
      <c r="O254" s="18" t="s">
        <v>3</v>
      </c>
      <c r="P254" s="18" t="s">
        <v>3</v>
      </c>
      <c r="Q254" s="18" t="s">
        <v>99</v>
      </c>
      <c r="R254" s="19"/>
      <c r="S254" s="20">
        <v>45991</v>
      </c>
      <c r="T254" s="20" t="s">
        <v>45</v>
      </c>
      <c r="U254" s="20" t="s">
        <v>1058</v>
      </c>
      <c r="V254" s="20"/>
      <c r="W254" s="20"/>
      <c r="X254" s="20"/>
    </row>
    <row r="255" spans="2:24" ht="29.1" hidden="1">
      <c r="B255" s="18" t="s">
        <v>1039</v>
      </c>
      <c r="C255" s="18" t="s">
        <v>1040</v>
      </c>
      <c r="D255" s="18" t="s">
        <v>1041</v>
      </c>
      <c r="E255" s="18" t="s">
        <v>38</v>
      </c>
      <c r="F255" s="14">
        <v>5</v>
      </c>
      <c r="G255" s="14" t="s">
        <v>69</v>
      </c>
      <c r="H255" s="96" t="s">
        <v>1059</v>
      </c>
      <c r="I255" s="26" t="s">
        <v>40</v>
      </c>
      <c r="J255" s="202"/>
      <c r="K255" s="18" t="s">
        <v>1060</v>
      </c>
      <c r="L255" s="47" t="s">
        <v>4</v>
      </c>
      <c r="M255" s="125" t="s">
        <v>1061</v>
      </c>
      <c r="N255" s="18" t="s">
        <v>1062</v>
      </c>
      <c r="O255" s="18" t="s">
        <v>3</v>
      </c>
      <c r="P255" s="18" t="s">
        <v>3</v>
      </c>
      <c r="Q255" s="18" t="s">
        <v>99</v>
      </c>
      <c r="R255" s="19"/>
      <c r="S255" s="20">
        <v>45942</v>
      </c>
      <c r="T255" s="20" t="s">
        <v>45</v>
      </c>
      <c r="U255" s="20" t="s">
        <v>1063</v>
      </c>
      <c r="V255" s="20"/>
      <c r="W255" s="20"/>
      <c r="X255" s="20"/>
    </row>
    <row r="256" spans="2:24" ht="32.1" hidden="1">
      <c r="B256" s="18" t="s">
        <v>1064</v>
      </c>
      <c r="C256" s="18" t="s">
        <v>1065</v>
      </c>
      <c r="D256" s="77" t="s">
        <v>37</v>
      </c>
      <c r="E256" s="18" t="s">
        <v>38</v>
      </c>
      <c r="F256" s="14">
        <v>1</v>
      </c>
      <c r="G256" s="14" t="s">
        <v>69</v>
      </c>
      <c r="H256" s="26" t="s">
        <v>70</v>
      </c>
      <c r="I256" s="26" t="s">
        <v>40</v>
      </c>
      <c r="J256" s="202"/>
      <c r="K256" s="18" t="s">
        <v>1066</v>
      </c>
      <c r="L256" s="47" t="s">
        <v>9</v>
      </c>
      <c r="M256" s="18" t="s">
        <v>1067</v>
      </c>
      <c r="N256" s="18" t="s">
        <v>1068</v>
      </c>
      <c r="O256" s="18" t="s">
        <v>7</v>
      </c>
      <c r="P256" s="18" t="s">
        <v>7</v>
      </c>
      <c r="Q256" s="18" t="s">
        <v>69</v>
      </c>
      <c r="R256" s="19"/>
      <c r="S256" s="20">
        <v>45858</v>
      </c>
      <c r="T256" s="20" t="s">
        <v>45</v>
      </c>
      <c r="U256" s="20" t="s">
        <v>132</v>
      </c>
      <c r="V256" s="20"/>
      <c r="W256" s="20"/>
      <c r="X256" s="20" t="s">
        <v>1069</v>
      </c>
    </row>
    <row r="257" spans="2:24" ht="43.5" hidden="1">
      <c r="B257" s="18" t="s">
        <v>1064</v>
      </c>
      <c r="C257" s="18" t="s">
        <v>1065</v>
      </c>
      <c r="D257" s="77" t="s">
        <v>37</v>
      </c>
      <c r="E257" s="18" t="s">
        <v>38</v>
      </c>
      <c r="F257" s="14">
        <v>1</v>
      </c>
      <c r="G257" s="14" t="s">
        <v>53</v>
      </c>
      <c r="H257" s="26" t="s">
        <v>54</v>
      </c>
      <c r="I257" s="26" t="s">
        <v>86</v>
      </c>
      <c r="J257" s="202"/>
      <c r="K257" s="18" t="s">
        <v>1070</v>
      </c>
      <c r="L257" s="47" t="s">
        <v>6</v>
      </c>
      <c r="M257" s="18" t="s">
        <v>1071</v>
      </c>
      <c r="N257" s="18" t="s">
        <v>1072</v>
      </c>
      <c r="O257" s="18" t="s">
        <v>3</v>
      </c>
      <c r="P257" s="18" t="s">
        <v>3</v>
      </c>
      <c r="Q257" s="18" t="s">
        <v>54</v>
      </c>
      <c r="R257" s="19"/>
      <c r="S257" s="20"/>
      <c r="T257" s="20" t="s">
        <v>45</v>
      </c>
      <c r="U257" s="20" t="s">
        <v>1073</v>
      </c>
      <c r="V257" s="20"/>
      <c r="W257" s="20"/>
      <c r="X257" s="20"/>
    </row>
    <row r="258" spans="2:24" ht="32.1" hidden="1">
      <c r="B258" s="18" t="s">
        <v>1064</v>
      </c>
      <c r="C258" s="18" t="s">
        <v>1065</v>
      </c>
      <c r="D258" s="77" t="s">
        <v>37</v>
      </c>
      <c r="E258" s="18" t="s">
        <v>38</v>
      </c>
      <c r="F258" s="14">
        <v>1</v>
      </c>
      <c r="G258" s="14" t="s">
        <v>69</v>
      </c>
      <c r="H258" s="26" t="s">
        <v>728</v>
      </c>
      <c r="I258" s="26" t="s">
        <v>115</v>
      </c>
      <c r="J258" s="202"/>
      <c r="K258" s="18" t="s">
        <v>1074</v>
      </c>
      <c r="L258" s="47" t="s">
        <v>6</v>
      </c>
      <c r="M258" s="18" t="s">
        <v>1075</v>
      </c>
      <c r="N258" s="18" t="s">
        <v>1076</v>
      </c>
      <c r="O258" s="18" t="s">
        <v>5</v>
      </c>
      <c r="P258" s="18" t="s">
        <v>5</v>
      </c>
      <c r="Q258" s="18" t="s">
        <v>54</v>
      </c>
      <c r="R258" s="19"/>
      <c r="S258" s="20"/>
      <c r="T258" s="20" t="s">
        <v>45</v>
      </c>
      <c r="U258" s="20" t="s">
        <v>1073</v>
      </c>
      <c r="V258" s="20"/>
      <c r="W258" s="20"/>
      <c r="X258" s="20" t="s">
        <v>1077</v>
      </c>
    </row>
    <row r="259" spans="2:24" ht="29.1" hidden="1">
      <c r="B259" s="18" t="s">
        <v>1064</v>
      </c>
      <c r="C259" s="18" t="s">
        <v>1065</v>
      </c>
      <c r="D259" s="77" t="s">
        <v>37</v>
      </c>
      <c r="E259" s="18" t="s">
        <v>38</v>
      </c>
      <c r="F259" s="14">
        <v>1</v>
      </c>
      <c r="G259" s="14" t="s">
        <v>69</v>
      </c>
      <c r="H259" s="96" t="s">
        <v>1059</v>
      </c>
      <c r="I259" s="26" t="s">
        <v>40</v>
      </c>
      <c r="J259" s="202"/>
      <c r="K259" s="18" t="s">
        <v>1078</v>
      </c>
      <c r="L259" s="47" t="s">
        <v>6</v>
      </c>
      <c r="M259" s="18" t="s">
        <v>1079</v>
      </c>
      <c r="N259" s="18" t="s">
        <v>1080</v>
      </c>
      <c r="O259" s="18" t="s">
        <v>5</v>
      </c>
      <c r="P259" s="18" t="s">
        <v>5</v>
      </c>
      <c r="Q259" s="18" t="s">
        <v>54</v>
      </c>
      <c r="R259" s="19"/>
      <c r="S259" s="20"/>
      <c r="T259" s="20" t="s">
        <v>45</v>
      </c>
      <c r="U259" s="20" t="s">
        <v>1073</v>
      </c>
      <c r="V259" s="20"/>
      <c r="W259" s="20"/>
      <c r="X259" s="20" t="s">
        <v>1081</v>
      </c>
    </row>
    <row r="260" spans="2:24" ht="87" hidden="1">
      <c r="B260" s="18" t="s">
        <v>1064</v>
      </c>
      <c r="C260" s="18" t="s">
        <v>1065</v>
      </c>
      <c r="D260" s="76" t="s">
        <v>37</v>
      </c>
      <c r="E260" s="18" t="s">
        <v>38</v>
      </c>
      <c r="F260" s="14">
        <v>2</v>
      </c>
      <c r="G260" s="14" t="s">
        <v>53</v>
      </c>
      <c r="H260" s="26" t="s">
        <v>54</v>
      </c>
      <c r="I260" s="26" t="s">
        <v>55</v>
      </c>
      <c r="J260" s="202"/>
      <c r="K260" s="18" t="s">
        <v>1082</v>
      </c>
      <c r="L260" s="47" t="s">
        <v>6</v>
      </c>
      <c r="M260" s="18" t="s">
        <v>1083</v>
      </c>
      <c r="N260" s="18" t="s">
        <v>1084</v>
      </c>
      <c r="O260" s="18" t="s">
        <v>3</v>
      </c>
      <c r="P260" s="18" t="s">
        <v>3</v>
      </c>
      <c r="Q260" s="18" t="s">
        <v>54</v>
      </c>
      <c r="R260" s="19"/>
      <c r="S260" s="20"/>
      <c r="T260" s="20" t="s">
        <v>65</v>
      </c>
      <c r="U260" s="20" t="s">
        <v>1085</v>
      </c>
      <c r="V260" s="20"/>
      <c r="W260" s="20"/>
      <c r="X260" s="20"/>
    </row>
    <row r="261" spans="2:24" ht="43.5" hidden="1">
      <c r="B261" s="18" t="s">
        <v>1086</v>
      </c>
      <c r="C261" s="18" t="s">
        <v>1087</v>
      </c>
      <c r="D261" s="18" t="s">
        <v>1088</v>
      </c>
      <c r="E261" s="18" t="s">
        <v>38</v>
      </c>
      <c r="F261" s="14">
        <v>1</v>
      </c>
      <c r="G261" s="14" t="s">
        <v>69</v>
      </c>
      <c r="H261" s="26" t="s">
        <v>128</v>
      </c>
      <c r="I261" s="26" t="s">
        <v>115</v>
      </c>
      <c r="J261" s="202"/>
      <c r="K261" s="18" t="s">
        <v>1089</v>
      </c>
      <c r="L261" s="47" t="s">
        <v>6</v>
      </c>
      <c r="M261" s="18" t="s">
        <v>1090</v>
      </c>
      <c r="N261" s="18" t="s">
        <v>1091</v>
      </c>
      <c r="O261" s="18" t="s">
        <v>3</v>
      </c>
      <c r="P261" s="18" t="s">
        <v>3</v>
      </c>
      <c r="Q261" s="18" t="s">
        <v>69</v>
      </c>
      <c r="R261" s="19">
        <v>46111</v>
      </c>
      <c r="S261" s="20">
        <v>46295</v>
      </c>
      <c r="T261" s="20" t="s">
        <v>65</v>
      </c>
      <c r="U261" s="20"/>
      <c r="V261" s="109" t="s">
        <v>1092</v>
      </c>
      <c r="W261" s="20"/>
      <c r="X261" s="20" t="s">
        <v>1093</v>
      </c>
    </row>
    <row r="262" spans="2:24" ht="32.1" hidden="1">
      <c r="B262" s="18" t="s">
        <v>1086</v>
      </c>
      <c r="C262" s="18" t="s">
        <v>1087</v>
      </c>
      <c r="D262" s="18" t="s">
        <v>1088</v>
      </c>
      <c r="E262" s="18" t="s">
        <v>38</v>
      </c>
      <c r="F262" s="14">
        <v>1</v>
      </c>
      <c r="G262" s="14" t="s">
        <v>69</v>
      </c>
      <c r="H262" s="26" t="s">
        <v>128</v>
      </c>
      <c r="I262" s="26" t="s">
        <v>115</v>
      </c>
      <c r="J262" s="202"/>
      <c r="K262" s="18" t="s">
        <v>1094</v>
      </c>
      <c r="L262" s="47" t="s">
        <v>6</v>
      </c>
      <c r="M262" s="18" t="s">
        <v>1095</v>
      </c>
      <c r="N262" s="18" t="s">
        <v>1096</v>
      </c>
      <c r="O262" s="18" t="s">
        <v>3</v>
      </c>
      <c r="P262" s="18" t="s">
        <v>3</v>
      </c>
      <c r="Q262" s="18" t="s">
        <v>69</v>
      </c>
      <c r="R262" s="19">
        <v>46172</v>
      </c>
      <c r="S262" s="20">
        <v>46264</v>
      </c>
      <c r="T262" s="20" t="s">
        <v>65</v>
      </c>
      <c r="U262" s="20"/>
      <c r="V262" s="109" t="s">
        <v>1092</v>
      </c>
      <c r="W262" s="20"/>
      <c r="X262" s="20"/>
    </row>
    <row r="263" spans="2:24" ht="32.1" hidden="1">
      <c r="B263" s="18" t="s">
        <v>1086</v>
      </c>
      <c r="C263" s="18" t="s">
        <v>1087</v>
      </c>
      <c r="D263" s="18" t="s">
        <v>1088</v>
      </c>
      <c r="E263" s="18" t="s">
        <v>38</v>
      </c>
      <c r="F263" s="14">
        <v>1</v>
      </c>
      <c r="G263" s="14" t="s">
        <v>69</v>
      </c>
      <c r="H263" s="26" t="s">
        <v>70</v>
      </c>
      <c r="I263" s="26" t="s">
        <v>40</v>
      </c>
      <c r="J263" s="202"/>
      <c r="K263" s="18" t="s">
        <v>1097</v>
      </c>
      <c r="L263" s="47" t="s">
        <v>6</v>
      </c>
      <c r="M263" s="18" t="s">
        <v>1098</v>
      </c>
      <c r="N263" s="18" t="s">
        <v>1099</v>
      </c>
      <c r="O263" s="18" t="s">
        <v>3</v>
      </c>
      <c r="P263" s="18" t="s">
        <v>3</v>
      </c>
      <c r="Q263" s="18" t="s">
        <v>69</v>
      </c>
      <c r="R263" s="19"/>
      <c r="S263" s="20"/>
      <c r="T263" s="20" t="s">
        <v>45</v>
      </c>
      <c r="U263" s="20"/>
      <c r="V263" s="109"/>
      <c r="W263" s="20"/>
      <c r="X263" s="20" t="s">
        <v>1100</v>
      </c>
    </row>
    <row r="264" spans="2:24" ht="29.1" hidden="1">
      <c r="B264" s="18" t="s">
        <v>1101</v>
      </c>
      <c r="C264" s="18" t="s">
        <v>1102</v>
      </c>
      <c r="D264" s="18" t="s">
        <v>1103</v>
      </c>
      <c r="E264" s="18" t="s">
        <v>38</v>
      </c>
      <c r="F264" s="14">
        <v>1</v>
      </c>
      <c r="G264" s="14" t="s">
        <v>39</v>
      </c>
      <c r="H264" s="26" t="s">
        <v>54</v>
      </c>
      <c r="I264" s="26"/>
      <c r="J264" s="202"/>
      <c r="K264" s="18" t="s">
        <v>1104</v>
      </c>
      <c r="L264" s="47" t="s">
        <v>6</v>
      </c>
      <c r="M264" s="18" t="s">
        <v>1105</v>
      </c>
      <c r="N264" s="18" t="s">
        <v>63</v>
      </c>
      <c r="O264" s="18" t="s">
        <v>3</v>
      </c>
      <c r="P264" s="18" t="s">
        <v>3</v>
      </c>
      <c r="Q264" s="18" t="s">
        <v>59</v>
      </c>
      <c r="R264" s="19"/>
      <c r="S264" s="20" t="s">
        <v>64</v>
      </c>
      <c r="T264" s="20" t="s">
        <v>65</v>
      </c>
      <c r="U264" s="20"/>
      <c r="V264" s="20"/>
      <c r="W264" s="20"/>
      <c r="X264" s="20"/>
    </row>
    <row r="265" spans="2:24" ht="32.1" hidden="1">
      <c r="B265" s="18" t="s">
        <v>1106</v>
      </c>
      <c r="C265" s="18" t="s">
        <v>1107</v>
      </c>
      <c r="D265" s="18" t="s">
        <v>1108</v>
      </c>
      <c r="E265" s="18" t="s">
        <v>38</v>
      </c>
      <c r="F265" s="14">
        <v>1</v>
      </c>
      <c r="G265" s="14" t="s">
        <v>69</v>
      </c>
      <c r="H265" s="26" t="s">
        <v>114</v>
      </c>
      <c r="I265" s="26" t="s">
        <v>115</v>
      </c>
      <c r="J265" s="202"/>
      <c r="K265" s="18" t="s">
        <v>1109</v>
      </c>
      <c r="L265" s="47" t="s">
        <v>6</v>
      </c>
      <c r="M265" s="18" t="s">
        <v>1110</v>
      </c>
      <c r="N265" s="18" t="s">
        <v>1111</v>
      </c>
      <c r="O265" s="18" t="s">
        <v>3</v>
      </c>
      <c r="P265" s="18" t="s">
        <v>3</v>
      </c>
      <c r="Q265" s="18" t="s">
        <v>99</v>
      </c>
      <c r="R265" s="19">
        <v>45708</v>
      </c>
      <c r="S265" s="20">
        <v>45767</v>
      </c>
      <c r="T265" s="20" t="s">
        <v>352</v>
      </c>
      <c r="U265" s="20" t="s">
        <v>1112</v>
      </c>
      <c r="V265" s="20"/>
      <c r="W265" s="20"/>
      <c r="X265" s="20"/>
    </row>
    <row r="266" spans="2:24" ht="144.94999999999999" hidden="1">
      <c r="B266" s="18" t="s">
        <v>1106</v>
      </c>
      <c r="C266" s="18" t="s">
        <v>1107</v>
      </c>
      <c r="D266" s="18" t="s">
        <v>1108</v>
      </c>
      <c r="E266" s="18" t="s">
        <v>38</v>
      </c>
      <c r="F266" s="14">
        <v>1</v>
      </c>
      <c r="G266" s="14" t="s">
        <v>69</v>
      </c>
      <c r="H266" s="26" t="s">
        <v>128</v>
      </c>
      <c r="I266" s="26" t="s">
        <v>40</v>
      </c>
      <c r="J266" s="202"/>
      <c r="K266" s="18" t="s">
        <v>1113</v>
      </c>
      <c r="L266" s="47" t="s">
        <v>6</v>
      </c>
      <c r="M266" s="18" t="s">
        <v>1114</v>
      </c>
      <c r="N266" s="18" t="s">
        <v>1115</v>
      </c>
      <c r="O266" s="18" t="s">
        <v>3</v>
      </c>
      <c r="P266" s="18" t="s">
        <v>3</v>
      </c>
      <c r="Q266" s="18" t="s">
        <v>164</v>
      </c>
      <c r="R266" s="19">
        <v>45716</v>
      </c>
      <c r="S266" s="20">
        <v>45868</v>
      </c>
      <c r="T266" s="20" t="s">
        <v>352</v>
      </c>
      <c r="U266" s="20"/>
      <c r="V266" s="20"/>
      <c r="W266" s="20"/>
      <c r="X266" s="20"/>
    </row>
    <row r="267" spans="2:24" ht="32.1" hidden="1">
      <c r="B267" s="18" t="s">
        <v>1116</v>
      </c>
      <c r="C267" s="18" t="s">
        <v>1117</v>
      </c>
      <c r="D267" s="18" t="s">
        <v>1118</v>
      </c>
      <c r="E267" s="18" t="s">
        <v>38</v>
      </c>
      <c r="F267" s="96">
        <v>1</v>
      </c>
      <c r="G267" s="96" t="s">
        <v>69</v>
      </c>
      <c r="H267" s="18" t="s">
        <v>114</v>
      </c>
      <c r="I267" s="26" t="s">
        <v>115</v>
      </c>
      <c r="J267" s="203">
        <v>45687</v>
      </c>
      <c r="K267" s="18" t="s">
        <v>1119</v>
      </c>
      <c r="L267" s="18" t="s">
        <v>6</v>
      </c>
      <c r="M267" s="18" t="s">
        <v>1120</v>
      </c>
      <c r="N267" s="18" t="s">
        <v>1121</v>
      </c>
      <c r="O267" s="96" t="s">
        <v>3</v>
      </c>
      <c r="P267" s="96" t="s">
        <v>3</v>
      </c>
      <c r="Q267" s="18" t="s">
        <v>59</v>
      </c>
      <c r="R267" s="19"/>
      <c r="S267" s="96"/>
      <c r="T267" s="96" t="s">
        <v>45</v>
      </c>
      <c r="U267" s="18"/>
      <c r="V267" s="18"/>
      <c r="W267" s="18"/>
      <c r="X267" s="18"/>
    </row>
    <row r="268" spans="2:24" ht="32.1" hidden="1">
      <c r="B268" s="18" t="s">
        <v>1116</v>
      </c>
      <c r="C268" s="18" t="s">
        <v>1117</v>
      </c>
      <c r="D268" s="18" t="s">
        <v>1118</v>
      </c>
      <c r="E268" s="18" t="s">
        <v>38</v>
      </c>
      <c r="F268" s="96">
        <v>2</v>
      </c>
      <c r="G268" s="96" t="s">
        <v>53</v>
      </c>
      <c r="H268" s="18" t="s">
        <v>54</v>
      </c>
      <c r="I268" s="26" t="s">
        <v>115</v>
      </c>
      <c r="J268" s="203">
        <v>45706</v>
      </c>
      <c r="K268" s="18" t="s">
        <v>1122</v>
      </c>
      <c r="L268" s="18" t="s">
        <v>6</v>
      </c>
      <c r="M268" s="18" t="s">
        <v>1123</v>
      </c>
      <c r="N268" s="18" t="s">
        <v>1124</v>
      </c>
      <c r="O268" s="96" t="s">
        <v>5</v>
      </c>
      <c r="P268" s="96" t="s">
        <v>5</v>
      </c>
      <c r="Q268" s="18" t="s">
        <v>59</v>
      </c>
      <c r="R268" s="19"/>
      <c r="S268" s="96"/>
      <c r="T268" s="96" t="s">
        <v>45</v>
      </c>
      <c r="U268" s="18"/>
      <c r="V268" s="18"/>
      <c r="W268" s="18"/>
      <c r="X268" s="18"/>
    </row>
    <row r="269" spans="2:24" ht="32.1" hidden="1">
      <c r="B269" s="18" t="s">
        <v>1116</v>
      </c>
      <c r="C269" s="18" t="s">
        <v>1117</v>
      </c>
      <c r="D269" s="18" t="s">
        <v>1118</v>
      </c>
      <c r="E269" s="18" t="s">
        <v>38</v>
      </c>
      <c r="F269" s="96">
        <v>3</v>
      </c>
      <c r="G269" s="96" t="s">
        <v>53</v>
      </c>
      <c r="H269" s="18" t="s">
        <v>54</v>
      </c>
      <c r="I269" s="26" t="s">
        <v>115</v>
      </c>
      <c r="J269" s="203">
        <v>45712</v>
      </c>
      <c r="K269" s="18" t="s">
        <v>1125</v>
      </c>
      <c r="L269" s="18" t="s">
        <v>6</v>
      </c>
      <c r="M269" s="18" t="s">
        <v>1126</v>
      </c>
      <c r="N269" s="18" t="s">
        <v>1127</v>
      </c>
      <c r="O269" s="96" t="s">
        <v>3</v>
      </c>
      <c r="P269" s="96" t="s">
        <v>3</v>
      </c>
      <c r="Q269" s="18" t="s">
        <v>112</v>
      </c>
      <c r="R269" s="19"/>
      <c r="S269" s="96"/>
      <c r="T269" s="96" t="s">
        <v>45</v>
      </c>
      <c r="U269" s="18"/>
      <c r="V269" s="18"/>
      <c r="W269" s="18"/>
      <c r="X269" s="18"/>
    </row>
    <row r="270" spans="2:24" ht="72.599999999999994" hidden="1">
      <c r="B270" s="18" t="s">
        <v>1116</v>
      </c>
      <c r="C270" s="18" t="s">
        <v>1117</v>
      </c>
      <c r="D270" s="18" t="s">
        <v>1118</v>
      </c>
      <c r="E270" s="18" t="s">
        <v>38</v>
      </c>
      <c r="F270" s="96">
        <v>4</v>
      </c>
      <c r="G270" s="96" t="s">
        <v>69</v>
      </c>
      <c r="H270" s="18" t="s">
        <v>1128</v>
      </c>
      <c r="I270" s="26" t="s">
        <v>115</v>
      </c>
      <c r="J270" s="203">
        <v>45729</v>
      </c>
      <c r="K270" s="18" t="s">
        <v>1129</v>
      </c>
      <c r="L270" s="18" t="s">
        <v>6</v>
      </c>
      <c r="M270" s="18" t="s">
        <v>1130</v>
      </c>
      <c r="N270" s="18" t="s">
        <v>1131</v>
      </c>
      <c r="O270" s="96" t="s">
        <v>3</v>
      </c>
      <c r="P270" s="96" t="s">
        <v>3</v>
      </c>
      <c r="Q270" s="18" t="s">
        <v>59</v>
      </c>
      <c r="R270" s="19"/>
      <c r="S270" s="96"/>
      <c r="T270" s="96" t="s">
        <v>45</v>
      </c>
      <c r="U270" s="18"/>
      <c r="V270" s="18"/>
      <c r="W270" s="18"/>
      <c r="X270" s="18"/>
    </row>
    <row r="271" spans="2:24" ht="29.1" hidden="1">
      <c r="B271" s="18" t="s">
        <v>1116</v>
      </c>
      <c r="C271" s="18" t="s">
        <v>1117</v>
      </c>
      <c r="D271" s="18" t="s">
        <v>1118</v>
      </c>
      <c r="E271" s="18" t="s">
        <v>38</v>
      </c>
      <c r="F271" s="96">
        <v>5</v>
      </c>
      <c r="G271" s="96" t="s">
        <v>69</v>
      </c>
      <c r="H271" s="18" t="s">
        <v>1132</v>
      </c>
      <c r="I271" s="26" t="s">
        <v>40</v>
      </c>
      <c r="J271" s="203">
        <v>45731</v>
      </c>
      <c r="K271" s="18" t="s">
        <v>1133</v>
      </c>
      <c r="L271" s="18" t="s">
        <v>6</v>
      </c>
      <c r="M271" s="18" t="s">
        <v>1134</v>
      </c>
      <c r="N271" s="18" t="s">
        <v>1135</v>
      </c>
      <c r="O271" s="96" t="s">
        <v>3</v>
      </c>
      <c r="P271" s="96" t="s">
        <v>3</v>
      </c>
      <c r="Q271" s="18" t="s">
        <v>269</v>
      </c>
      <c r="R271" s="19"/>
      <c r="S271" s="96"/>
      <c r="T271" s="96" t="s">
        <v>45</v>
      </c>
      <c r="U271" s="18"/>
      <c r="V271" s="18"/>
      <c r="W271" s="18"/>
      <c r="X271" s="18"/>
    </row>
    <row r="272" spans="2:24" ht="29.1" hidden="1">
      <c r="B272" s="18" t="s">
        <v>1116</v>
      </c>
      <c r="C272" s="18" t="s">
        <v>1117</v>
      </c>
      <c r="D272" s="18" t="s">
        <v>1118</v>
      </c>
      <c r="E272" s="18" t="s">
        <v>38</v>
      </c>
      <c r="F272" s="96">
        <v>6</v>
      </c>
      <c r="G272" s="96" t="s">
        <v>69</v>
      </c>
      <c r="H272" s="18" t="s">
        <v>1136</v>
      </c>
      <c r="I272" s="26" t="s">
        <v>86</v>
      </c>
      <c r="J272" s="203">
        <v>45760</v>
      </c>
      <c r="K272" s="18" t="s">
        <v>1137</v>
      </c>
      <c r="L272" s="18" t="s">
        <v>6</v>
      </c>
      <c r="M272" s="18" t="s">
        <v>1138</v>
      </c>
      <c r="N272" s="18" t="s">
        <v>1139</v>
      </c>
      <c r="O272" s="96" t="s">
        <v>3</v>
      </c>
      <c r="P272" s="96" t="s">
        <v>3</v>
      </c>
      <c r="Q272" s="18" t="s">
        <v>269</v>
      </c>
      <c r="R272" s="19"/>
      <c r="S272" s="96"/>
      <c r="T272" s="96" t="s">
        <v>45</v>
      </c>
      <c r="U272" s="18"/>
      <c r="V272" s="18"/>
      <c r="W272" s="18"/>
      <c r="X272" s="18"/>
    </row>
    <row r="273" spans="2:29" ht="29.1" hidden="1">
      <c r="B273" s="18" t="s">
        <v>1116</v>
      </c>
      <c r="C273" s="18" t="s">
        <v>1117</v>
      </c>
      <c r="D273" s="18" t="s">
        <v>1118</v>
      </c>
      <c r="E273" s="18" t="s">
        <v>38</v>
      </c>
      <c r="F273" s="96">
        <v>7</v>
      </c>
      <c r="G273" s="96" t="s">
        <v>69</v>
      </c>
      <c r="H273" s="18" t="s">
        <v>274</v>
      </c>
      <c r="I273" s="26" t="s">
        <v>86</v>
      </c>
      <c r="J273" s="203">
        <v>45769</v>
      </c>
      <c r="K273" s="18" t="s">
        <v>1140</v>
      </c>
      <c r="L273" s="18" t="s">
        <v>4</v>
      </c>
      <c r="M273" s="18" t="s">
        <v>1141</v>
      </c>
      <c r="N273" s="18" t="s">
        <v>1142</v>
      </c>
      <c r="O273" s="96" t="s">
        <v>3</v>
      </c>
      <c r="P273" s="96" t="s">
        <v>3</v>
      </c>
      <c r="Q273" s="18" t="s">
        <v>1143</v>
      </c>
      <c r="R273" s="19"/>
      <c r="S273" s="96"/>
      <c r="T273" s="96" t="s">
        <v>45</v>
      </c>
      <c r="U273" s="18"/>
      <c r="V273" s="18"/>
      <c r="W273" s="18"/>
      <c r="X273" s="18"/>
    </row>
    <row r="274" spans="2:29" ht="29.1" hidden="1">
      <c r="B274" s="18" t="s">
        <v>1116</v>
      </c>
      <c r="C274" s="18" t="s">
        <v>1117</v>
      </c>
      <c r="D274" s="18" t="s">
        <v>1118</v>
      </c>
      <c r="E274" s="18" t="s">
        <v>38</v>
      </c>
      <c r="F274" s="96">
        <v>8</v>
      </c>
      <c r="G274" s="96" t="s">
        <v>39</v>
      </c>
      <c r="H274" s="18" t="s">
        <v>282</v>
      </c>
      <c r="I274" s="26" t="s">
        <v>81</v>
      </c>
      <c r="J274" s="203"/>
      <c r="K274" s="18" t="s">
        <v>1144</v>
      </c>
      <c r="L274" s="18" t="s">
        <v>6</v>
      </c>
      <c r="M274" s="18" t="s">
        <v>1145</v>
      </c>
      <c r="N274" s="18" t="s">
        <v>1146</v>
      </c>
      <c r="O274" s="96" t="s">
        <v>3</v>
      </c>
      <c r="P274" s="96" t="s">
        <v>3</v>
      </c>
      <c r="Q274" s="18" t="s">
        <v>59</v>
      </c>
      <c r="R274" s="19"/>
      <c r="S274" s="96"/>
      <c r="T274" s="96" t="s">
        <v>45</v>
      </c>
      <c r="U274" s="18"/>
      <c r="V274" s="18"/>
      <c r="W274" s="18"/>
      <c r="X274" s="18"/>
    </row>
    <row r="275" spans="2:29" ht="29.1" hidden="1">
      <c r="B275" s="18" t="s">
        <v>1116</v>
      </c>
      <c r="C275" s="18" t="s">
        <v>1117</v>
      </c>
      <c r="D275" s="18" t="s">
        <v>1118</v>
      </c>
      <c r="E275" s="18" t="s">
        <v>38</v>
      </c>
      <c r="F275" s="96">
        <v>9</v>
      </c>
      <c r="G275" s="96" t="s">
        <v>69</v>
      </c>
      <c r="H275" s="18" t="s">
        <v>1128</v>
      </c>
      <c r="I275" s="26" t="s">
        <v>40</v>
      </c>
      <c r="J275" s="203"/>
      <c r="K275" s="18" t="s">
        <v>1147</v>
      </c>
      <c r="L275" s="18" t="s">
        <v>4</v>
      </c>
      <c r="M275" s="18" t="s">
        <v>1148</v>
      </c>
      <c r="N275" s="18" t="s">
        <v>1149</v>
      </c>
      <c r="O275" s="96" t="s">
        <v>3</v>
      </c>
      <c r="P275" s="96" t="s">
        <v>3</v>
      </c>
      <c r="Q275" s="18" t="s">
        <v>59</v>
      </c>
      <c r="R275" s="19"/>
      <c r="S275" s="96"/>
      <c r="T275" s="96" t="s">
        <v>65</v>
      </c>
      <c r="U275" s="18"/>
      <c r="V275" s="18"/>
      <c r="W275" s="18"/>
      <c r="X275" s="18"/>
    </row>
    <row r="276" spans="2:29" ht="57.95" hidden="1">
      <c r="B276" s="181" t="s">
        <v>1150</v>
      </c>
      <c r="C276" s="182" t="s">
        <v>1151</v>
      </c>
      <c r="D276" s="182" t="s">
        <v>622</v>
      </c>
      <c r="E276" s="182" t="s">
        <v>191</v>
      </c>
      <c r="F276" s="183">
        <v>2</v>
      </c>
      <c r="G276" s="183" t="s">
        <v>53</v>
      </c>
      <c r="H276" s="184" t="s">
        <v>54</v>
      </c>
      <c r="I276" s="184" t="s">
        <v>46</v>
      </c>
      <c r="J276" s="210">
        <v>45480</v>
      </c>
      <c r="K276" s="185" t="s">
        <v>1152</v>
      </c>
      <c r="L276" s="186" t="s">
        <v>6</v>
      </c>
      <c r="M276" s="185" t="s">
        <v>1153</v>
      </c>
      <c r="N276" s="185" t="s">
        <v>1154</v>
      </c>
      <c r="O276" s="187" t="s">
        <v>3</v>
      </c>
      <c r="P276" s="187" t="s">
        <v>3</v>
      </c>
      <c r="Q276" s="182" t="s">
        <v>54</v>
      </c>
      <c r="R276" s="188">
        <v>45656</v>
      </c>
      <c r="S276" s="189">
        <v>46265</v>
      </c>
      <c r="T276" s="184" t="s">
        <v>65</v>
      </c>
      <c r="U276" s="184"/>
      <c r="V276" s="184" t="s">
        <v>705</v>
      </c>
      <c r="W276" s="20"/>
      <c r="X276" s="20"/>
    </row>
    <row r="277" spans="2:29" ht="43.5" hidden="1">
      <c r="B277" s="18" t="s">
        <v>1150</v>
      </c>
      <c r="C277" s="18" t="s">
        <v>1151</v>
      </c>
      <c r="D277" s="18" t="s">
        <v>622</v>
      </c>
      <c r="E277" s="18" t="s">
        <v>191</v>
      </c>
      <c r="F277" s="14">
        <v>3</v>
      </c>
      <c r="G277" s="14" t="s">
        <v>53</v>
      </c>
      <c r="H277" s="26" t="s">
        <v>54</v>
      </c>
      <c r="I277" s="127" t="s">
        <v>40</v>
      </c>
      <c r="J277" s="202"/>
      <c r="K277" s="116" t="s">
        <v>1155</v>
      </c>
      <c r="L277" s="149" t="s">
        <v>4</v>
      </c>
      <c r="M277" s="147" t="s">
        <v>1156</v>
      </c>
      <c r="N277" s="147" t="s">
        <v>1157</v>
      </c>
      <c r="O277" s="149" t="s">
        <v>3</v>
      </c>
      <c r="P277" s="149" t="s">
        <v>3</v>
      </c>
      <c r="Q277" s="76" t="s">
        <v>1158</v>
      </c>
      <c r="R277" s="150">
        <v>45851</v>
      </c>
      <c r="S277" s="150">
        <v>45972</v>
      </c>
      <c r="T277" s="20" t="s">
        <v>45</v>
      </c>
      <c r="U277" s="127" t="s">
        <v>1159</v>
      </c>
      <c r="V277" s="20"/>
      <c r="W277" s="20"/>
      <c r="X277" s="20"/>
    </row>
    <row r="278" spans="2:29" ht="32.1" hidden="1">
      <c r="B278" s="18" t="s">
        <v>1150</v>
      </c>
      <c r="C278" s="18" t="s">
        <v>1151</v>
      </c>
      <c r="D278" s="18" t="s">
        <v>622</v>
      </c>
      <c r="E278" s="18" t="s">
        <v>191</v>
      </c>
      <c r="F278" s="14">
        <v>1</v>
      </c>
      <c r="G278" s="14" t="s">
        <v>53</v>
      </c>
      <c r="H278" s="26" t="s">
        <v>54</v>
      </c>
      <c r="I278" s="26" t="s">
        <v>153</v>
      </c>
      <c r="J278" s="202">
        <v>45638</v>
      </c>
      <c r="K278" s="16" t="s">
        <v>1160</v>
      </c>
      <c r="L278" s="47" t="s">
        <v>6</v>
      </c>
      <c r="M278" s="16" t="s">
        <v>1161</v>
      </c>
      <c r="N278" s="16" t="s">
        <v>1162</v>
      </c>
      <c r="O278" s="18" t="s">
        <v>3</v>
      </c>
      <c r="P278" s="18" t="s">
        <v>5</v>
      </c>
      <c r="Q278" s="18" t="s">
        <v>54</v>
      </c>
      <c r="R278" s="19"/>
      <c r="S278" s="20"/>
      <c r="T278" s="20" t="s">
        <v>45</v>
      </c>
      <c r="U278" s="20" t="s">
        <v>1163</v>
      </c>
      <c r="V278" s="20" t="s">
        <v>1164</v>
      </c>
      <c r="W278" s="20"/>
      <c r="X278" s="20"/>
    </row>
    <row r="279" spans="2:29" ht="43.5" hidden="1">
      <c r="B279" s="18" t="s">
        <v>1150</v>
      </c>
      <c r="C279" s="18" t="s">
        <v>1151</v>
      </c>
      <c r="D279" s="18" t="s">
        <v>622</v>
      </c>
      <c r="E279" s="18" t="s">
        <v>191</v>
      </c>
      <c r="F279" s="14">
        <v>3</v>
      </c>
      <c r="G279" s="14" t="s">
        <v>53</v>
      </c>
      <c r="H279" s="26" t="s">
        <v>54</v>
      </c>
      <c r="I279" s="26" t="s">
        <v>86</v>
      </c>
      <c r="J279" s="202">
        <v>45597</v>
      </c>
      <c r="K279" s="16" t="s">
        <v>1165</v>
      </c>
      <c r="L279" s="47" t="s">
        <v>6</v>
      </c>
      <c r="M279" s="16" t="s">
        <v>1166</v>
      </c>
      <c r="N279" s="16" t="s">
        <v>1167</v>
      </c>
      <c r="O279" s="18" t="s">
        <v>3</v>
      </c>
      <c r="P279" s="18" t="s">
        <v>3</v>
      </c>
      <c r="Q279" s="18" t="s">
        <v>146</v>
      </c>
      <c r="R279" s="19">
        <v>45644</v>
      </c>
      <c r="S279" s="20">
        <v>45777</v>
      </c>
      <c r="T279" s="20" t="s">
        <v>45</v>
      </c>
      <c r="U279" s="20" t="s">
        <v>386</v>
      </c>
      <c r="V279" s="20" t="s">
        <v>1164</v>
      </c>
      <c r="W279" s="20"/>
      <c r="X279" s="20"/>
    </row>
    <row r="280" spans="2:29" ht="32.1" hidden="1">
      <c r="B280" s="18" t="s">
        <v>1150</v>
      </c>
      <c r="C280" s="18" t="s">
        <v>1151</v>
      </c>
      <c r="D280" s="18" t="s">
        <v>622</v>
      </c>
      <c r="E280" s="18" t="s">
        <v>191</v>
      </c>
      <c r="F280" s="14">
        <v>5</v>
      </c>
      <c r="G280" s="14" t="s">
        <v>39</v>
      </c>
      <c r="H280" s="26" t="s">
        <v>0</v>
      </c>
      <c r="I280" s="26" t="s">
        <v>207</v>
      </c>
      <c r="J280" s="202">
        <v>45397</v>
      </c>
      <c r="K280" s="16" t="s">
        <v>1168</v>
      </c>
      <c r="L280" s="47" t="s">
        <v>6</v>
      </c>
      <c r="M280" s="16" t="s">
        <v>1169</v>
      </c>
      <c r="N280" s="16" t="s">
        <v>1170</v>
      </c>
      <c r="O280" s="18" t="s">
        <v>3</v>
      </c>
      <c r="P280" s="18" t="s">
        <v>7</v>
      </c>
      <c r="Q280" s="18" t="s">
        <v>59</v>
      </c>
      <c r="R280" s="19">
        <v>45575</v>
      </c>
      <c r="S280" s="20">
        <v>45413</v>
      </c>
      <c r="T280" s="20" t="s">
        <v>45</v>
      </c>
      <c r="U280" s="20" t="s">
        <v>386</v>
      </c>
      <c r="V280" s="20" t="s">
        <v>705</v>
      </c>
      <c r="W280" s="20"/>
      <c r="X280" s="20"/>
    </row>
    <row r="281" spans="2:29" ht="32.1" hidden="1">
      <c r="B281" s="18" t="s">
        <v>1150</v>
      </c>
      <c r="C281" s="18" t="s">
        <v>1151</v>
      </c>
      <c r="D281" s="18" t="s">
        <v>622</v>
      </c>
      <c r="E281" s="18" t="s">
        <v>191</v>
      </c>
      <c r="F281" s="14">
        <v>4</v>
      </c>
      <c r="G281" s="14" t="s">
        <v>53</v>
      </c>
      <c r="H281" s="26" t="s">
        <v>54</v>
      </c>
      <c r="I281" s="26" t="s">
        <v>115</v>
      </c>
      <c r="J281" s="202">
        <v>45658</v>
      </c>
      <c r="K281" s="16" t="s">
        <v>1171</v>
      </c>
      <c r="L281" s="47" t="s">
        <v>8</v>
      </c>
      <c r="M281" s="16" t="s">
        <v>1172</v>
      </c>
      <c r="N281" s="16" t="s">
        <v>1173</v>
      </c>
      <c r="O281" s="18" t="s">
        <v>3</v>
      </c>
      <c r="P281" s="18" t="s">
        <v>5</v>
      </c>
      <c r="Q281" s="18" t="s">
        <v>54</v>
      </c>
      <c r="R281" s="19">
        <v>45669</v>
      </c>
      <c r="S281" s="20">
        <v>45777</v>
      </c>
      <c r="T281" s="20" t="s">
        <v>45</v>
      </c>
      <c r="U281" s="20" t="s">
        <v>1174</v>
      </c>
      <c r="V281" s="20" t="s">
        <v>705</v>
      </c>
      <c r="W281" s="20"/>
      <c r="X281" s="20"/>
    </row>
    <row r="282" spans="2:29" ht="32.1" hidden="1">
      <c r="B282" s="18" t="s">
        <v>1150</v>
      </c>
      <c r="C282" s="18" t="s">
        <v>1151</v>
      </c>
      <c r="D282" s="18" t="s">
        <v>622</v>
      </c>
      <c r="E282" s="18" t="s">
        <v>191</v>
      </c>
      <c r="F282" s="14">
        <v>6</v>
      </c>
      <c r="G282" s="14" t="s">
        <v>69</v>
      </c>
      <c r="H282" s="26" t="s">
        <v>114</v>
      </c>
      <c r="I282" s="26" t="s">
        <v>115</v>
      </c>
      <c r="J282" s="202">
        <v>45444</v>
      </c>
      <c r="K282" s="16" t="s">
        <v>651</v>
      </c>
      <c r="L282" s="47" t="s">
        <v>8</v>
      </c>
      <c r="M282" s="16" t="s">
        <v>652</v>
      </c>
      <c r="N282" s="16" t="s">
        <v>653</v>
      </c>
      <c r="O282" s="18" t="s">
        <v>3</v>
      </c>
      <c r="P282" s="18" t="s">
        <v>5</v>
      </c>
      <c r="Q282" s="18" t="s">
        <v>59</v>
      </c>
      <c r="R282" s="19">
        <v>45375</v>
      </c>
      <c r="S282" s="20">
        <v>45435</v>
      </c>
      <c r="T282" s="20" t="s">
        <v>45</v>
      </c>
      <c r="U282" s="20" t="s">
        <v>654</v>
      </c>
      <c r="V282" s="20" t="s">
        <v>655</v>
      </c>
      <c r="W282" s="20"/>
      <c r="X282" s="20"/>
    </row>
    <row r="283" spans="2:29" ht="57.95" hidden="1">
      <c r="B283" s="18" t="s">
        <v>1175</v>
      </c>
      <c r="C283" s="18" t="s">
        <v>1176</v>
      </c>
      <c r="D283" s="18" t="s">
        <v>1177</v>
      </c>
      <c r="E283" s="18" t="s">
        <v>681</v>
      </c>
      <c r="F283" s="96"/>
      <c r="G283" s="14" t="s">
        <v>69</v>
      </c>
      <c r="H283" s="26" t="s">
        <v>70</v>
      </c>
      <c r="I283" s="26" t="s">
        <v>40</v>
      </c>
      <c r="J283" s="202"/>
      <c r="K283" s="18" t="s">
        <v>1178</v>
      </c>
      <c r="L283" s="47" t="s">
        <v>4</v>
      </c>
      <c r="M283" s="18" t="s">
        <v>1179</v>
      </c>
      <c r="N283" s="18" t="s">
        <v>1180</v>
      </c>
      <c r="O283" s="96"/>
      <c r="P283" s="96"/>
      <c r="Q283" s="18" t="s">
        <v>795</v>
      </c>
      <c r="R283" s="19">
        <v>45915</v>
      </c>
      <c r="S283" s="84">
        <v>46162</v>
      </c>
      <c r="T283" s="18" t="s">
        <v>65</v>
      </c>
      <c r="U283" s="20" t="s">
        <v>1181</v>
      </c>
      <c r="V283" s="108"/>
      <c r="W283" s="18"/>
      <c r="X283" s="18"/>
    </row>
    <row r="284" spans="2:29" ht="43.5" hidden="1">
      <c r="B284" s="18" t="s">
        <v>1182</v>
      </c>
      <c r="C284" s="18" t="s">
        <v>1183</v>
      </c>
      <c r="D284" s="18" t="s">
        <v>499</v>
      </c>
      <c r="E284" s="18" t="s">
        <v>38</v>
      </c>
      <c r="F284" s="14">
        <v>1</v>
      </c>
      <c r="G284" s="14" t="s">
        <v>53</v>
      </c>
      <c r="H284" s="26" t="s">
        <v>54</v>
      </c>
      <c r="I284" s="26" t="s">
        <v>511</v>
      </c>
      <c r="J284" s="202"/>
      <c r="K284" s="18" t="s">
        <v>1184</v>
      </c>
      <c r="L284" s="47" t="s">
        <v>8</v>
      </c>
      <c r="M284" s="18" t="s">
        <v>1185</v>
      </c>
      <c r="N284" s="18" t="s">
        <v>1186</v>
      </c>
      <c r="O284" s="18" t="s">
        <v>5</v>
      </c>
      <c r="P284" s="18" t="s">
        <v>5</v>
      </c>
      <c r="Q284" s="18" t="s">
        <v>146</v>
      </c>
      <c r="R284" s="19">
        <v>45931</v>
      </c>
      <c r="S284" s="19">
        <v>45931</v>
      </c>
      <c r="T284" s="20" t="s">
        <v>65</v>
      </c>
      <c r="U284" s="20"/>
      <c r="V284" s="20"/>
      <c r="W284" s="20"/>
      <c r="X284" s="20"/>
    </row>
    <row r="285" spans="2:29" ht="43.5" hidden="1">
      <c r="B285" s="18" t="s">
        <v>1187</v>
      </c>
      <c r="C285" s="18" t="s">
        <v>1188</v>
      </c>
      <c r="D285" s="76" t="s">
        <v>479</v>
      </c>
      <c r="E285" s="18" t="s">
        <v>38</v>
      </c>
      <c r="F285" s="14">
        <v>1</v>
      </c>
      <c r="G285" s="14" t="s">
        <v>53</v>
      </c>
      <c r="H285" s="26" t="s">
        <v>54</v>
      </c>
      <c r="I285" s="26" t="s">
        <v>153</v>
      </c>
      <c r="J285" s="202"/>
      <c r="K285" s="18" t="s">
        <v>480</v>
      </c>
      <c r="L285" s="47" t="s">
        <v>4</v>
      </c>
      <c r="M285" s="18" t="s">
        <v>481</v>
      </c>
      <c r="N285" s="18" t="s">
        <v>482</v>
      </c>
      <c r="O285" s="18" t="s">
        <v>3</v>
      </c>
      <c r="P285" s="18" t="s">
        <v>3</v>
      </c>
      <c r="Q285" s="18" t="s">
        <v>112</v>
      </c>
      <c r="R285" s="94">
        <v>45823</v>
      </c>
      <c r="S285" s="20">
        <v>45816</v>
      </c>
      <c r="T285" s="20" t="s">
        <v>45</v>
      </c>
      <c r="U285" s="20"/>
      <c r="V285" s="20"/>
      <c r="W285" s="20"/>
      <c r="X285" s="20"/>
    </row>
    <row r="286" spans="2:29" ht="43.5" hidden="1">
      <c r="B286" s="18" t="s">
        <v>1187</v>
      </c>
      <c r="C286" s="18" t="s">
        <v>1188</v>
      </c>
      <c r="D286" s="76" t="s">
        <v>479</v>
      </c>
      <c r="E286" s="18" t="s">
        <v>38</v>
      </c>
      <c r="F286" s="14">
        <v>1</v>
      </c>
      <c r="G286" s="14" t="s">
        <v>39</v>
      </c>
      <c r="H286" s="26" t="s">
        <v>1</v>
      </c>
      <c r="I286" s="26" t="s">
        <v>167</v>
      </c>
      <c r="J286" s="202"/>
      <c r="K286" s="18" t="s">
        <v>1189</v>
      </c>
      <c r="L286" s="47" t="s">
        <v>4</v>
      </c>
      <c r="M286" s="18" t="s">
        <v>1190</v>
      </c>
      <c r="N286" s="18" t="s">
        <v>1191</v>
      </c>
      <c r="O286" s="18" t="s">
        <v>3</v>
      </c>
      <c r="P286" s="18" t="s">
        <v>3</v>
      </c>
      <c r="Q286" s="18" t="s">
        <v>1192</v>
      </c>
      <c r="R286" s="94">
        <v>45828</v>
      </c>
      <c r="S286" s="20">
        <v>45838</v>
      </c>
      <c r="T286" s="20" t="s">
        <v>45</v>
      </c>
      <c r="U286" s="20"/>
      <c r="V286" s="20"/>
      <c r="W286" s="20"/>
      <c r="X286" s="20"/>
      <c r="AA286" s="69"/>
      <c r="AC286" s="69"/>
    </row>
    <row r="287" spans="2:29" ht="43.5" hidden="1">
      <c r="B287" s="18" t="s">
        <v>1187</v>
      </c>
      <c r="C287" s="18" t="s">
        <v>1188</v>
      </c>
      <c r="D287" s="76" t="s">
        <v>479</v>
      </c>
      <c r="E287" s="18" t="s">
        <v>38</v>
      </c>
      <c r="F287" s="14">
        <v>2</v>
      </c>
      <c r="G287" s="14" t="s">
        <v>53</v>
      </c>
      <c r="H287" s="26" t="s">
        <v>54</v>
      </c>
      <c r="I287" s="26" t="s">
        <v>153</v>
      </c>
      <c r="J287" s="202"/>
      <c r="K287" s="18" t="s">
        <v>1193</v>
      </c>
      <c r="L287" s="47" t="s">
        <v>4</v>
      </c>
      <c r="M287" s="18" t="s">
        <v>1194</v>
      </c>
      <c r="N287" s="18" t="s">
        <v>1195</v>
      </c>
      <c r="O287" s="18" t="s">
        <v>3</v>
      </c>
      <c r="P287" s="18" t="s">
        <v>3</v>
      </c>
      <c r="Q287" s="18" t="s">
        <v>112</v>
      </c>
      <c r="R287" s="94">
        <v>45838</v>
      </c>
      <c r="S287" s="20"/>
      <c r="T287" s="20" t="s">
        <v>65</v>
      </c>
      <c r="U287" s="20"/>
      <c r="V287" s="20"/>
      <c r="W287" s="20"/>
      <c r="X287" s="20"/>
      <c r="AA287" s="69"/>
      <c r="AC287" s="69"/>
    </row>
    <row r="288" spans="2:29" s="55" customFormat="1" ht="57.95" hidden="1">
      <c r="B288" s="18" t="s">
        <v>1187</v>
      </c>
      <c r="C288" s="18" t="s">
        <v>1188</v>
      </c>
      <c r="D288" s="76" t="s">
        <v>479</v>
      </c>
      <c r="E288" s="18" t="s">
        <v>38</v>
      </c>
      <c r="F288" s="14">
        <v>2</v>
      </c>
      <c r="G288" s="14" t="s">
        <v>53</v>
      </c>
      <c r="H288" s="26" t="s">
        <v>54</v>
      </c>
      <c r="I288" s="26" t="s">
        <v>203</v>
      </c>
      <c r="J288" s="202"/>
      <c r="K288" s="18" t="s">
        <v>1196</v>
      </c>
      <c r="L288" s="47" t="s">
        <v>4</v>
      </c>
      <c r="M288" s="18" t="s">
        <v>1197</v>
      </c>
      <c r="N288" s="18" t="s">
        <v>1198</v>
      </c>
      <c r="O288" s="18" t="s">
        <v>3</v>
      </c>
      <c r="P288" s="18" t="s">
        <v>3</v>
      </c>
      <c r="Q288" s="18" t="s">
        <v>112</v>
      </c>
      <c r="R288" s="94"/>
      <c r="S288" s="20">
        <v>45889</v>
      </c>
      <c r="T288" s="20" t="s">
        <v>65</v>
      </c>
      <c r="U288" s="20"/>
      <c r="V288" s="20"/>
      <c r="W288" s="20"/>
      <c r="X288" s="20"/>
    </row>
    <row r="289" spans="2:29" ht="57.95" hidden="1">
      <c r="B289" s="18" t="s">
        <v>1187</v>
      </c>
      <c r="C289" s="18" t="s">
        <v>1188</v>
      </c>
      <c r="D289" s="76" t="s">
        <v>479</v>
      </c>
      <c r="E289" s="18" t="s">
        <v>38</v>
      </c>
      <c r="F289" s="14">
        <v>1</v>
      </c>
      <c r="G289" s="14" t="s">
        <v>39</v>
      </c>
      <c r="H289" s="26" t="s">
        <v>0</v>
      </c>
      <c r="I289" s="26" t="s">
        <v>203</v>
      </c>
      <c r="J289" s="202"/>
      <c r="K289" s="18" t="s">
        <v>1199</v>
      </c>
      <c r="L289" s="47" t="s">
        <v>4</v>
      </c>
      <c r="M289" s="18" t="s">
        <v>1200</v>
      </c>
      <c r="N289" s="18" t="s">
        <v>1201</v>
      </c>
      <c r="O289" s="18" t="s">
        <v>3</v>
      </c>
      <c r="P289" s="18" t="s">
        <v>3</v>
      </c>
      <c r="Q289" s="18" t="s">
        <v>854</v>
      </c>
      <c r="R289" s="94"/>
      <c r="S289" s="20">
        <v>45930</v>
      </c>
      <c r="T289" s="20" t="s">
        <v>352</v>
      </c>
      <c r="U289" s="20"/>
      <c r="V289" s="20"/>
      <c r="W289" s="20"/>
      <c r="X289" s="20"/>
    </row>
    <row r="290" spans="2:29" ht="43.5" hidden="1">
      <c r="B290" s="18" t="s">
        <v>1187</v>
      </c>
      <c r="C290" s="18" t="s">
        <v>1188</v>
      </c>
      <c r="D290" s="76" t="s">
        <v>479</v>
      </c>
      <c r="E290" s="18" t="s">
        <v>38</v>
      </c>
      <c r="F290" s="14">
        <v>3</v>
      </c>
      <c r="G290" s="14" t="s">
        <v>69</v>
      </c>
      <c r="H290" s="26" t="s">
        <v>128</v>
      </c>
      <c r="I290" s="26" t="s">
        <v>40</v>
      </c>
      <c r="J290" s="202"/>
      <c r="K290" s="18" t="s">
        <v>1202</v>
      </c>
      <c r="L290" s="47" t="s">
        <v>4</v>
      </c>
      <c r="M290" s="18" t="s">
        <v>1203</v>
      </c>
      <c r="N290" s="18" t="s">
        <v>1204</v>
      </c>
      <c r="O290" s="18" t="s">
        <v>3</v>
      </c>
      <c r="P290" s="18" t="s">
        <v>3</v>
      </c>
      <c r="Q290" s="18" t="s">
        <v>99</v>
      </c>
      <c r="R290" s="94">
        <v>45838</v>
      </c>
      <c r="S290" s="20">
        <v>45876</v>
      </c>
      <c r="T290" s="20" t="s">
        <v>65</v>
      </c>
      <c r="U290" s="20"/>
      <c r="V290" s="110"/>
      <c r="W290" s="20"/>
      <c r="X290" s="20"/>
      <c r="AB290" s="69"/>
      <c r="AC290" s="69"/>
    </row>
    <row r="291" spans="2:29" ht="43.5" hidden="1">
      <c r="B291" s="18" t="s">
        <v>1187</v>
      </c>
      <c r="C291" s="18" t="s">
        <v>1188</v>
      </c>
      <c r="D291" s="76" t="s">
        <v>479</v>
      </c>
      <c r="E291" s="18" t="s">
        <v>38</v>
      </c>
      <c r="F291" s="14">
        <v>4</v>
      </c>
      <c r="G291" s="14" t="s">
        <v>69</v>
      </c>
      <c r="H291" s="26" t="s">
        <v>422</v>
      </c>
      <c r="I291" s="26" t="s">
        <v>40</v>
      </c>
      <c r="J291" s="202"/>
      <c r="K291" s="18" t="s">
        <v>1205</v>
      </c>
      <c r="L291" s="47" t="s">
        <v>6</v>
      </c>
      <c r="M291" s="18" t="s">
        <v>1206</v>
      </c>
      <c r="N291" s="18" t="s">
        <v>1207</v>
      </c>
      <c r="O291" s="18" t="s">
        <v>3</v>
      </c>
      <c r="P291" s="18" t="s">
        <v>5</v>
      </c>
      <c r="Q291" s="18" t="s">
        <v>99</v>
      </c>
      <c r="R291" s="94">
        <v>45838</v>
      </c>
      <c r="S291" s="20">
        <v>45863</v>
      </c>
      <c r="T291" s="20" t="s">
        <v>65</v>
      </c>
      <c r="U291" s="20"/>
      <c r="V291" s="20"/>
      <c r="W291" s="20"/>
      <c r="X291" s="20"/>
      <c r="AB291" s="69"/>
      <c r="AC291" s="69"/>
    </row>
    <row r="292" spans="2:29" ht="43.5" hidden="1">
      <c r="B292" s="18" t="s">
        <v>1187</v>
      </c>
      <c r="C292" s="18" t="s">
        <v>1188</v>
      </c>
      <c r="D292" s="76" t="s">
        <v>479</v>
      </c>
      <c r="E292" s="18" t="s">
        <v>38</v>
      </c>
      <c r="F292" s="14">
        <v>5</v>
      </c>
      <c r="G292" s="14" t="s">
        <v>69</v>
      </c>
      <c r="H292" s="26" t="s">
        <v>1208</v>
      </c>
      <c r="I292" s="26" t="s">
        <v>40</v>
      </c>
      <c r="J292" s="202"/>
      <c r="K292" s="18" t="s">
        <v>1209</v>
      </c>
      <c r="L292" s="47" t="s">
        <v>6</v>
      </c>
      <c r="M292" s="18" t="s">
        <v>1210</v>
      </c>
      <c r="N292" s="18" t="s">
        <v>539</v>
      </c>
      <c r="O292" s="18" t="s">
        <v>3</v>
      </c>
      <c r="P292" s="18" t="s">
        <v>5</v>
      </c>
      <c r="Q292" s="18" t="s">
        <v>99</v>
      </c>
      <c r="R292" s="94">
        <v>45818</v>
      </c>
      <c r="S292" s="94">
        <v>45879</v>
      </c>
      <c r="T292" s="20" t="s">
        <v>65</v>
      </c>
      <c r="U292" s="20"/>
      <c r="V292" s="20"/>
      <c r="W292" s="20"/>
      <c r="X292" s="20"/>
      <c r="AB292" s="69"/>
      <c r="AC292" s="69"/>
    </row>
    <row r="293" spans="2:29" ht="15.95" hidden="1">
      <c r="B293" s="18" t="s">
        <v>1211</v>
      </c>
      <c r="C293" s="18" t="s">
        <v>1212</v>
      </c>
      <c r="D293" s="18" t="s">
        <v>499</v>
      </c>
      <c r="E293" s="18" t="s">
        <v>38</v>
      </c>
      <c r="F293" s="96">
        <v>1</v>
      </c>
      <c r="G293" s="96" t="s">
        <v>53</v>
      </c>
      <c r="H293" s="18" t="s">
        <v>54</v>
      </c>
      <c r="I293" s="26" t="s">
        <v>46</v>
      </c>
      <c r="J293" s="203">
        <v>45743</v>
      </c>
      <c r="K293" s="18" t="s">
        <v>1213</v>
      </c>
      <c r="L293" s="18" t="s">
        <v>6</v>
      </c>
      <c r="M293" s="96" t="s">
        <v>1214</v>
      </c>
      <c r="N293" s="18"/>
      <c r="O293" s="96" t="s">
        <v>3</v>
      </c>
      <c r="P293" s="96" t="s">
        <v>3</v>
      </c>
      <c r="Q293" s="18" t="s">
        <v>53</v>
      </c>
      <c r="R293" s="19"/>
      <c r="S293" s="96"/>
      <c r="T293" s="96" t="s">
        <v>65</v>
      </c>
      <c r="U293" s="18"/>
      <c r="V293" s="109" t="s">
        <v>1215</v>
      </c>
      <c r="W293" s="18"/>
      <c r="X293" s="18"/>
      <c r="AB293" s="69"/>
      <c r="AC293" s="69"/>
    </row>
    <row r="294" spans="2:29" ht="32.1" hidden="1">
      <c r="B294" s="18" t="s">
        <v>1211</v>
      </c>
      <c r="C294" s="18" t="s">
        <v>1212</v>
      </c>
      <c r="D294" s="18" t="s">
        <v>499</v>
      </c>
      <c r="E294" s="18" t="s">
        <v>38</v>
      </c>
      <c r="F294" s="96">
        <v>2</v>
      </c>
      <c r="G294" s="96" t="s">
        <v>39</v>
      </c>
      <c r="H294" s="26" t="s">
        <v>0</v>
      </c>
      <c r="I294" s="26" t="s">
        <v>207</v>
      </c>
      <c r="J294" s="203">
        <v>45754</v>
      </c>
      <c r="K294" s="18" t="s">
        <v>1216</v>
      </c>
      <c r="L294" s="18" t="s">
        <v>6</v>
      </c>
      <c r="M294" s="18" t="s">
        <v>1217</v>
      </c>
      <c r="N294" s="18" t="s">
        <v>1218</v>
      </c>
      <c r="O294" s="96" t="s">
        <v>3</v>
      </c>
      <c r="P294" s="96" t="s">
        <v>3</v>
      </c>
      <c r="Q294" s="18" t="s">
        <v>269</v>
      </c>
      <c r="R294" s="19"/>
      <c r="S294" s="96"/>
      <c r="T294" s="96" t="s">
        <v>45</v>
      </c>
      <c r="U294" s="18"/>
      <c r="V294" s="109"/>
      <c r="W294" s="18"/>
      <c r="X294" s="18"/>
    </row>
    <row r="295" spans="2:29" ht="43.5" hidden="1">
      <c r="B295" s="18" t="s">
        <v>1211</v>
      </c>
      <c r="C295" s="18" t="s">
        <v>1212</v>
      </c>
      <c r="D295" s="18" t="s">
        <v>499</v>
      </c>
      <c r="E295" s="18" t="s">
        <v>38</v>
      </c>
      <c r="F295" s="96">
        <v>3</v>
      </c>
      <c r="G295" s="96" t="s">
        <v>69</v>
      </c>
      <c r="H295" s="18" t="s">
        <v>1219</v>
      </c>
      <c r="I295" s="26" t="s">
        <v>115</v>
      </c>
      <c r="J295" s="203">
        <v>45767</v>
      </c>
      <c r="K295" s="18" t="s">
        <v>1220</v>
      </c>
      <c r="L295" s="18" t="s">
        <v>6</v>
      </c>
      <c r="M295" s="18" t="s">
        <v>1221</v>
      </c>
      <c r="N295" s="18" t="s">
        <v>1222</v>
      </c>
      <c r="O295" s="96" t="s">
        <v>3</v>
      </c>
      <c r="P295" s="96" t="s">
        <v>3</v>
      </c>
      <c r="Q295" s="18" t="s">
        <v>59</v>
      </c>
      <c r="R295" s="19"/>
      <c r="S295" s="96"/>
      <c r="T295" s="96" t="s">
        <v>45</v>
      </c>
      <c r="U295" s="18"/>
      <c r="V295" s="18"/>
      <c r="W295" s="18"/>
      <c r="X295" s="18"/>
    </row>
    <row r="296" spans="2:29" ht="43.5" hidden="1">
      <c r="B296" s="18" t="s">
        <v>1211</v>
      </c>
      <c r="C296" s="18" t="s">
        <v>1212</v>
      </c>
      <c r="D296" s="18" t="s">
        <v>499</v>
      </c>
      <c r="E296" s="18" t="s">
        <v>38</v>
      </c>
      <c r="F296" s="96">
        <v>4</v>
      </c>
      <c r="G296" s="96" t="s">
        <v>39</v>
      </c>
      <c r="H296" s="18" t="s">
        <v>86</v>
      </c>
      <c r="I296" s="26" t="s">
        <v>167</v>
      </c>
      <c r="J296" s="203"/>
      <c r="K296" s="18" t="s">
        <v>1223</v>
      </c>
      <c r="L296" s="18" t="s">
        <v>6</v>
      </c>
      <c r="M296" s="18" t="s">
        <v>1224</v>
      </c>
      <c r="N296" s="18" t="s">
        <v>1225</v>
      </c>
      <c r="O296" s="96" t="s">
        <v>3</v>
      </c>
      <c r="P296" s="96" t="s">
        <v>3</v>
      </c>
      <c r="Q296" s="18" t="s">
        <v>1226</v>
      </c>
      <c r="R296" s="19"/>
      <c r="S296" s="96"/>
      <c r="T296" s="96" t="s">
        <v>45</v>
      </c>
      <c r="U296" s="18" t="s">
        <v>1227</v>
      </c>
      <c r="V296" s="108" t="s">
        <v>1228</v>
      </c>
      <c r="W296" s="18"/>
      <c r="X296" s="18"/>
      <c r="Y296" s="69"/>
      <c r="AA296" s="83"/>
      <c r="AC296" s="69"/>
    </row>
    <row r="297" spans="2:29" ht="43.5" hidden="1">
      <c r="B297" s="18" t="s">
        <v>1211</v>
      </c>
      <c r="C297" s="18" t="s">
        <v>1212</v>
      </c>
      <c r="D297" s="18" t="s">
        <v>499</v>
      </c>
      <c r="E297" s="18" t="s">
        <v>38</v>
      </c>
      <c r="F297" s="96">
        <v>2</v>
      </c>
      <c r="G297" s="96" t="s">
        <v>53</v>
      </c>
      <c r="H297" s="18" t="s">
        <v>54</v>
      </c>
      <c r="I297" s="26" t="s">
        <v>115</v>
      </c>
      <c r="J297" s="203"/>
      <c r="K297" s="18" t="s">
        <v>1229</v>
      </c>
      <c r="L297" s="18" t="s">
        <v>6</v>
      </c>
      <c r="M297" s="18" t="s">
        <v>1230</v>
      </c>
      <c r="N297" s="18" t="s">
        <v>1231</v>
      </c>
      <c r="O297" s="96" t="s">
        <v>3</v>
      </c>
      <c r="P297" s="96" t="s">
        <v>3</v>
      </c>
      <c r="Q297" s="18" t="s">
        <v>59</v>
      </c>
      <c r="R297" s="19"/>
      <c r="S297" s="96"/>
      <c r="T297" s="96" t="s">
        <v>65</v>
      </c>
      <c r="U297" s="18"/>
      <c r="V297" s="108" t="s">
        <v>1232</v>
      </c>
      <c r="W297" s="18"/>
      <c r="X297" s="18"/>
    </row>
    <row r="298" spans="2:29" ht="29.1" hidden="1">
      <c r="B298" s="18" t="s">
        <v>1211</v>
      </c>
      <c r="C298" s="18" t="s">
        <v>1212</v>
      </c>
      <c r="D298" s="18" t="s">
        <v>499</v>
      </c>
      <c r="E298" s="18" t="s">
        <v>38</v>
      </c>
      <c r="F298" s="96">
        <v>5</v>
      </c>
      <c r="G298" s="96" t="s">
        <v>445</v>
      </c>
      <c r="H298" s="18" t="s">
        <v>54</v>
      </c>
      <c r="I298" s="26" t="s">
        <v>493</v>
      </c>
      <c r="J298" s="203"/>
      <c r="K298" s="18" t="s">
        <v>1233</v>
      </c>
      <c r="L298" s="18" t="s">
        <v>6</v>
      </c>
      <c r="M298" s="18" t="s">
        <v>1234</v>
      </c>
      <c r="N298" s="18"/>
      <c r="O298" s="96" t="s">
        <v>3</v>
      </c>
      <c r="P298" s="96" t="s">
        <v>3</v>
      </c>
      <c r="Q298" s="18" t="s">
        <v>59</v>
      </c>
      <c r="R298" s="19"/>
      <c r="S298" s="96"/>
      <c r="T298" s="96" t="s">
        <v>45</v>
      </c>
      <c r="U298" s="18"/>
      <c r="V298" s="108"/>
      <c r="W298" s="18"/>
      <c r="X298" s="18"/>
    </row>
    <row r="299" spans="2:29" ht="29.1" hidden="1">
      <c r="B299" s="18" t="s">
        <v>1235</v>
      </c>
      <c r="C299" s="18" t="s">
        <v>1236</v>
      </c>
      <c r="D299" s="18" t="s">
        <v>1108</v>
      </c>
      <c r="E299" s="18" t="s">
        <v>38</v>
      </c>
      <c r="F299" s="14">
        <v>1</v>
      </c>
      <c r="G299" s="14" t="s">
        <v>53</v>
      </c>
      <c r="H299" s="26" t="s">
        <v>54</v>
      </c>
      <c r="I299" s="26" t="s">
        <v>511</v>
      </c>
      <c r="J299" s="202"/>
      <c r="K299" s="18" t="s">
        <v>1237</v>
      </c>
      <c r="L299" s="47" t="s">
        <v>6</v>
      </c>
      <c r="M299" s="18" t="s">
        <v>1238</v>
      </c>
      <c r="N299" s="18" t="s">
        <v>1239</v>
      </c>
      <c r="O299" s="18" t="s">
        <v>5</v>
      </c>
      <c r="P299" s="18" t="s">
        <v>5</v>
      </c>
      <c r="Q299" s="18" t="s">
        <v>1240</v>
      </c>
      <c r="R299" s="19">
        <v>45777</v>
      </c>
      <c r="S299" s="20">
        <v>45960</v>
      </c>
      <c r="T299" s="20" t="s">
        <v>65</v>
      </c>
      <c r="U299" s="20"/>
      <c r="V299" s="20"/>
      <c r="W299" s="20"/>
      <c r="X299" s="20"/>
    </row>
    <row r="300" spans="2:29" ht="15.95" hidden="1">
      <c r="B300" s="18" t="s">
        <v>1241</v>
      </c>
      <c r="C300" s="18" t="s">
        <v>1242</v>
      </c>
      <c r="D300" s="18" t="s">
        <v>1243</v>
      </c>
      <c r="E300" s="18" t="s">
        <v>38</v>
      </c>
      <c r="F300" s="14">
        <v>1</v>
      </c>
      <c r="G300" s="14" t="str">
        <f>_xlfn.TEXTBEFORE(Table1[[#This Row],[Action By]], "/", 1)</f>
        <v>Vendor</v>
      </c>
      <c r="H300" s="26" t="s">
        <v>128</v>
      </c>
      <c r="I300" s="26" t="s">
        <v>40</v>
      </c>
      <c r="J300" s="202"/>
      <c r="K300" s="18" t="s">
        <v>1244</v>
      </c>
      <c r="L300" s="47" t="s">
        <v>6</v>
      </c>
      <c r="M300" s="77" t="s">
        <v>1245</v>
      </c>
      <c r="N300" s="18" t="s">
        <v>1246</v>
      </c>
      <c r="O300" s="18" t="s">
        <v>5</v>
      </c>
      <c r="P300" s="18" t="s">
        <v>5</v>
      </c>
      <c r="Q300" s="18" t="s">
        <v>99</v>
      </c>
      <c r="R300" s="19"/>
      <c r="S300" s="20">
        <v>45858</v>
      </c>
      <c r="T300" s="20" t="s">
        <v>45</v>
      </c>
      <c r="U300" s="20" t="s">
        <v>132</v>
      </c>
      <c r="V300" s="109"/>
      <c r="W300" s="20"/>
      <c r="X300" s="20"/>
    </row>
    <row r="301" spans="2:29" ht="29.1" hidden="1">
      <c r="B301" s="18" t="s">
        <v>1241</v>
      </c>
      <c r="C301" s="18" t="s">
        <v>1242</v>
      </c>
      <c r="D301" s="18" t="s">
        <v>1243</v>
      </c>
      <c r="E301" s="18" t="s">
        <v>38</v>
      </c>
      <c r="F301" s="14">
        <v>2</v>
      </c>
      <c r="G301" s="14" t="str">
        <f>_xlfn.TEXTBEFORE(Table1[[#This Row],[Action By]], "/", 1)</f>
        <v>Vendor</v>
      </c>
      <c r="H301" s="26" t="s">
        <v>1247</v>
      </c>
      <c r="I301" s="26" t="s">
        <v>40</v>
      </c>
      <c r="J301" s="202"/>
      <c r="K301" s="18" t="s">
        <v>1248</v>
      </c>
      <c r="L301" s="47" t="s">
        <v>4</v>
      </c>
      <c r="M301" s="18" t="s">
        <v>1249</v>
      </c>
      <c r="N301" s="18" t="s">
        <v>1250</v>
      </c>
      <c r="O301" s="18" t="s">
        <v>3</v>
      </c>
      <c r="P301" s="18" t="s">
        <v>3</v>
      </c>
      <c r="Q301" s="18" t="s">
        <v>99</v>
      </c>
      <c r="R301" s="19">
        <v>45746</v>
      </c>
      <c r="S301" s="20">
        <v>45868</v>
      </c>
      <c r="T301" s="20" t="s">
        <v>45</v>
      </c>
      <c r="U301" s="20" t="s">
        <v>1251</v>
      </c>
      <c r="V301" s="20"/>
      <c r="W301" s="20"/>
      <c r="X301" s="20"/>
    </row>
    <row r="302" spans="2:29" ht="15.95" hidden="1">
      <c r="B302" s="18" t="s">
        <v>1241</v>
      </c>
      <c r="C302" s="18" t="s">
        <v>1242</v>
      </c>
      <c r="D302" s="18" t="s">
        <v>1243</v>
      </c>
      <c r="E302" s="18" t="s">
        <v>38</v>
      </c>
      <c r="F302" s="14">
        <v>3</v>
      </c>
      <c r="G302" s="14" t="str">
        <f>_xlfn.TEXTBEFORE(Table1[[#This Row],[Action By]], "/", 1)</f>
        <v>Vendor</v>
      </c>
      <c r="H302" s="96" t="s">
        <v>1059</v>
      </c>
      <c r="I302" s="26" t="s">
        <v>40</v>
      </c>
      <c r="J302" s="202"/>
      <c r="K302" s="18" t="s">
        <v>1252</v>
      </c>
      <c r="L302" s="47" t="s">
        <v>9</v>
      </c>
      <c r="M302" s="18" t="s">
        <v>1253</v>
      </c>
      <c r="N302" s="18" t="s">
        <v>1254</v>
      </c>
      <c r="O302" s="18" t="s">
        <v>7</v>
      </c>
      <c r="P302" s="18" t="s">
        <v>7</v>
      </c>
      <c r="Q302" s="18" t="s">
        <v>99</v>
      </c>
      <c r="R302" s="19">
        <v>45757</v>
      </c>
      <c r="S302" s="20">
        <v>45858</v>
      </c>
      <c r="T302" s="20" t="s">
        <v>45</v>
      </c>
      <c r="U302" s="20" t="s">
        <v>132</v>
      </c>
      <c r="V302" s="20"/>
      <c r="W302" s="20"/>
      <c r="X302" s="20"/>
    </row>
    <row r="303" spans="2:29" ht="29.1" hidden="1">
      <c r="B303" s="18" t="s">
        <v>1241</v>
      </c>
      <c r="C303" s="18" t="s">
        <v>1242</v>
      </c>
      <c r="D303" s="18" t="s">
        <v>1243</v>
      </c>
      <c r="E303" s="18" t="s">
        <v>38</v>
      </c>
      <c r="F303" s="14">
        <v>4</v>
      </c>
      <c r="G303" s="14" t="str">
        <f>_xlfn.TEXTBEFORE(Table1[[#This Row],[Action By]], "/", 1)</f>
        <v>Vendor</v>
      </c>
      <c r="H303" s="26" t="s">
        <v>1255</v>
      </c>
      <c r="I303" s="26" t="s">
        <v>40</v>
      </c>
      <c r="J303" s="202"/>
      <c r="K303" s="18" t="s">
        <v>1256</v>
      </c>
      <c r="L303" s="47" t="s">
        <v>4</v>
      </c>
      <c r="M303" s="18" t="s">
        <v>1257</v>
      </c>
      <c r="N303" s="72" t="s">
        <v>1258</v>
      </c>
      <c r="O303" s="18" t="s">
        <v>3</v>
      </c>
      <c r="P303" s="18" t="s">
        <v>3</v>
      </c>
      <c r="Q303" s="18" t="s">
        <v>99</v>
      </c>
      <c r="R303" s="19">
        <v>45802</v>
      </c>
      <c r="S303" s="20">
        <v>45884</v>
      </c>
      <c r="T303" s="20" t="s">
        <v>45</v>
      </c>
      <c r="U303" s="20" t="s">
        <v>1259</v>
      </c>
      <c r="V303" s="20"/>
      <c r="W303" s="20"/>
      <c r="X303" s="20"/>
    </row>
    <row r="304" spans="2:29" ht="16.5" hidden="1">
      <c r="B304" s="18" t="s">
        <v>1241</v>
      </c>
      <c r="C304" s="18" t="s">
        <v>1242</v>
      </c>
      <c r="D304" s="18" t="s">
        <v>1243</v>
      </c>
      <c r="E304" s="18" t="s">
        <v>38</v>
      </c>
      <c r="F304" s="14">
        <v>5</v>
      </c>
      <c r="G304" s="14" t="str">
        <f>_xlfn.TEXTBEFORE(Table1[[#This Row],[Action By]], "/", 1)</f>
        <v>Vendor</v>
      </c>
      <c r="H304" s="26" t="s">
        <v>128</v>
      </c>
      <c r="I304" s="26" t="s">
        <v>40</v>
      </c>
      <c r="J304" s="202"/>
      <c r="K304" s="18" t="s">
        <v>1260</v>
      </c>
      <c r="L304" s="47" t="s">
        <v>8</v>
      </c>
      <c r="M304" s="103" t="s">
        <v>1261</v>
      </c>
      <c r="N304" s="95" t="s">
        <v>1262</v>
      </c>
      <c r="O304" s="18" t="s">
        <v>5</v>
      </c>
      <c r="P304" s="18" t="s">
        <v>5</v>
      </c>
      <c r="Q304" s="18" t="s">
        <v>99</v>
      </c>
      <c r="R304" s="19">
        <v>45802</v>
      </c>
      <c r="S304" s="20">
        <v>45848</v>
      </c>
      <c r="T304" s="20" t="s">
        <v>45</v>
      </c>
      <c r="U304" s="20" t="s">
        <v>132</v>
      </c>
      <c r="V304" s="20"/>
      <c r="W304" s="20"/>
      <c r="X304" s="20"/>
    </row>
    <row r="305" spans="2:29" ht="43.5" hidden="1">
      <c r="B305" s="18" t="s">
        <v>1241</v>
      </c>
      <c r="C305" s="18" t="s">
        <v>1242</v>
      </c>
      <c r="D305" s="18" t="s">
        <v>1243</v>
      </c>
      <c r="E305" s="18" t="s">
        <v>38</v>
      </c>
      <c r="F305" s="14">
        <v>6</v>
      </c>
      <c r="G305" s="14" t="str">
        <f>_xlfn.TEXTBEFORE(Table1[[#This Row],[Action By]], "/", 1)</f>
        <v>Vendor</v>
      </c>
      <c r="H305" s="26" t="s">
        <v>1247</v>
      </c>
      <c r="I305" s="26" t="s">
        <v>86</v>
      </c>
      <c r="J305" s="202"/>
      <c r="K305" s="18" t="s">
        <v>1263</v>
      </c>
      <c r="L305" s="47" t="s">
        <v>4</v>
      </c>
      <c r="M305" s="18" t="s">
        <v>1264</v>
      </c>
      <c r="N305" s="18" t="s">
        <v>1265</v>
      </c>
      <c r="O305" s="18" t="s">
        <v>3</v>
      </c>
      <c r="P305" s="18" t="s">
        <v>3</v>
      </c>
      <c r="Q305" s="18" t="s">
        <v>99</v>
      </c>
      <c r="R305" s="19">
        <v>45777</v>
      </c>
      <c r="S305" s="20">
        <v>45900</v>
      </c>
      <c r="T305" s="20" t="s">
        <v>45</v>
      </c>
      <c r="U305" s="20" t="s">
        <v>1259</v>
      </c>
      <c r="V305" s="20"/>
      <c r="W305" s="20"/>
      <c r="X305" s="20"/>
    </row>
    <row r="306" spans="2:29" ht="29.1" hidden="1">
      <c r="B306" s="18" t="s">
        <v>1241</v>
      </c>
      <c r="C306" s="18" t="s">
        <v>1242</v>
      </c>
      <c r="D306" s="18" t="s">
        <v>1243</v>
      </c>
      <c r="E306" s="18" t="s">
        <v>38</v>
      </c>
      <c r="F306" s="14">
        <v>7</v>
      </c>
      <c r="G306" s="14" t="s">
        <v>39</v>
      </c>
      <c r="H306" s="26" t="s">
        <v>166</v>
      </c>
      <c r="I306" s="26" t="s">
        <v>75</v>
      </c>
      <c r="J306" s="202"/>
      <c r="K306" s="18" t="s">
        <v>1266</v>
      </c>
      <c r="L306" s="47" t="s">
        <v>4</v>
      </c>
      <c r="M306" s="18" t="s">
        <v>1267</v>
      </c>
      <c r="N306" s="18" t="s">
        <v>1268</v>
      </c>
      <c r="O306" s="18" t="s">
        <v>3</v>
      </c>
      <c r="P306" s="18" t="s">
        <v>3</v>
      </c>
      <c r="Q306" s="18" t="s">
        <v>99</v>
      </c>
      <c r="R306" s="19">
        <v>46011</v>
      </c>
      <c r="S306" s="20">
        <v>45950</v>
      </c>
      <c r="T306" s="20" t="s">
        <v>45</v>
      </c>
      <c r="U306" s="20" t="s">
        <v>1251</v>
      </c>
      <c r="V306" s="20"/>
      <c r="W306" s="20"/>
      <c r="X306" s="20"/>
    </row>
    <row r="307" spans="2:29" ht="48" hidden="1">
      <c r="B307" s="18" t="s">
        <v>1269</v>
      </c>
      <c r="C307" s="18" t="s">
        <v>1270</v>
      </c>
      <c r="D307" s="18" t="s">
        <v>1271</v>
      </c>
      <c r="E307" s="18" t="s">
        <v>191</v>
      </c>
      <c r="F307" s="14">
        <v>1</v>
      </c>
      <c r="G307" s="14" t="s">
        <v>53</v>
      </c>
      <c r="H307" s="26" t="s">
        <v>54</v>
      </c>
      <c r="I307" s="26" t="s">
        <v>511</v>
      </c>
      <c r="J307" s="202">
        <v>45343</v>
      </c>
      <c r="K307" s="16" t="s">
        <v>1272</v>
      </c>
      <c r="L307" s="47" t="s">
        <v>4</v>
      </c>
      <c r="M307" s="16" t="s">
        <v>1273</v>
      </c>
      <c r="N307" s="16" t="s">
        <v>1274</v>
      </c>
      <c r="O307" s="18" t="s">
        <v>5</v>
      </c>
      <c r="P307" s="18" t="s">
        <v>3</v>
      </c>
      <c r="Q307" s="18" t="s">
        <v>940</v>
      </c>
      <c r="R307" s="19"/>
      <c r="S307" s="20">
        <v>45960</v>
      </c>
      <c r="T307" s="20" t="s">
        <v>65</v>
      </c>
      <c r="U307" s="20" t="s">
        <v>1275</v>
      </c>
      <c r="V307" s="20"/>
      <c r="W307" s="20" t="s">
        <v>1276</v>
      </c>
      <c r="X307" s="20"/>
    </row>
    <row r="308" spans="2:29" ht="32.1" hidden="1">
      <c r="B308" s="18" t="s">
        <v>1269</v>
      </c>
      <c r="C308" s="18" t="s">
        <v>1270</v>
      </c>
      <c r="D308" s="18" t="s">
        <v>1271</v>
      </c>
      <c r="E308" s="18" t="s">
        <v>191</v>
      </c>
      <c r="F308" s="14">
        <v>2</v>
      </c>
      <c r="G308" s="14" t="s">
        <v>445</v>
      </c>
      <c r="H308" s="26" t="s">
        <v>54</v>
      </c>
      <c r="I308" s="26" t="s">
        <v>46</v>
      </c>
      <c r="J308" s="202">
        <v>45503</v>
      </c>
      <c r="K308" s="16" t="s">
        <v>1277</v>
      </c>
      <c r="L308" s="47" t="s">
        <v>6</v>
      </c>
      <c r="M308" s="16" t="s">
        <v>1278</v>
      </c>
      <c r="N308" s="16" t="s">
        <v>1279</v>
      </c>
      <c r="O308" s="18" t="s">
        <v>5</v>
      </c>
      <c r="P308" s="18" t="s">
        <v>3</v>
      </c>
      <c r="Q308" s="18" t="s">
        <v>940</v>
      </c>
      <c r="R308" s="19"/>
      <c r="S308" s="20">
        <v>45960</v>
      </c>
      <c r="T308" s="20" t="s">
        <v>65</v>
      </c>
      <c r="U308" s="20" t="s">
        <v>1275</v>
      </c>
      <c r="V308" s="20"/>
      <c r="W308" s="20" t="s">
        <v>1280</v>
      </c>
      <c r="X308" s="20"/>
    </row>
    <row r="309" spans="2:29" ht="29.1" hidden="1">
      <c r="B309" s="18" t="s">
        <v>1269</v>
      </c>
      <c r="C309" s="18" t="s">
        <v>1270</v>
      </c>
      <c r="D309" s="18" t="s">
        <v>1271</v>
      </c>
      <c r="E309" s="18" t="s">
        <v>191</v>
      </c>
      <c r="F309" s="14">
        <v>3</v>
      </c>
      <c r="G309" s="14" t="s">
        <v>53</v>
      </c>
      <c r="H309" s="26" t="s">
        <v>54</v>
      </c>
      <c r="I309" s="26" t="s">
        <v>75</v>
      </c>
      <c r="J309" s="202"/>
      <c r="K309" s="16" t="s">
        <v>1281</v>
      </c>
      <c r="L309" s="47" t="s">
        <v>4</v>
      </c>
      <c r="M309" s="16" t="s">
        <v>1282</v>
      </c>
      <c r="N309" s="16" t="s">
        <v>1283</v>
      </c>
      <c r="O309" s="18"/>
      <c r="P309" s="18"/>
      <c r="Q309" s="18" t="s">
        <v>940</v>
      </c>
      <c r="R309" s="19"/>
      <c r="S309" s="20">
        <v>45952</v>
      </c>
      <c r="T309" s="20" t="s">
        <v>65</v>
      </c>
      <c r="U309" s="20" t="s">
        <v>969</v>
      </c>
      <c r="V309" s="20"/>
      <c r="W309" s="20"/>
      <c r="X309" s="20"/>
    </row>
    <row r="310" spans="2:29" ht="57.95" hidden="1">
      <c r="B310" s="18" t="s">
        <v>1269</v>
      </c>
      <c r="C310" s="18" t="s">
        <v>1270</v>
      </c>
      <c r="D310" s="18" t="s">
        <v>1271</v>
      </c>
      <c r="E310" s="18" t="s">
        <v>191</v>
      </c>
      <c r="F310" s="14">
        <v>4</v>
      </c>
      <c r="G310" s="14" t="s">
        <v>53</v>
      </c>
      <c r="H310" s="26" t="s">
        <v>54</v>
      </c>
      <c r="I310" s="26" t="s">
        <v>81</v>
      </c>
      <c r="J310" s="202"/>
      <c r="K310" s="16" t="s">
        <v>1284</v>
      </c>
      <c r="L310" s="47" t="s">
        <v>6</v>
      </c>
      <c r="M310" s="16" t="s">
        <v>1285</v>
      </c>
      <c r="N310" s="16" t="s">
        <v>1286</v>
      </c>
      <c r="O310" s="18"/>
      <c r="P310" s="18"/>
      <c r="Q310" s="158" t="s">
        <v>940</v>
      </c>
      <c r="R310" s="19"/>
      <c r="S310" s="20">
        <v>45960</v>
      </c>
      <c r="T310" s="20" t="s">
        <v>65</v>
      </c>
      <c r="U310" s="20" t="s">
        <v>1287</v>
      </c>
      <c r="V310" s="20"/>
      <c r="W310" s="20"/>
      <c r="X310" s="20"/>
    </row>
    <row r="311" spans="2:29" ht="29.1" hidden="1">
      <c r="B311" s="18" t="s">
        <v>1269</v>
      </c>
      <c r="C311" s="18" t="s">
        <v>1270</v>
      </c>
      <c r="D311" s="18" t="s">
        <v>1271</v>
      </c>
      <c r="E311" s="18" t="s">
        <v>191</v>
      </c>
      <c r="F311" s="14">
        <v>5</v>
      </c>
      <c r="G311" s="14" t="s">
        <v>69</v>
      </c>
      <c r="H311" s="26" t="s">
        <v>128</v>
      </c>
      <c r="I311" s="26" t="s">
        <v>40</v>
      </c>
      <c r="J311" s="202"/>
      <c r="K311" s="16" t="s">
        <v>1288</v>
      </c>
      <c r="L311" s="47" t="s">
        <v>4</v>
      </c>
      <c r="M311" s="16" t="s">
        <v>1289</v>
      </c>
      <c r="N311" s="16" t="s">
        <v>1290</v>
      </c>
      <c r="O311" s="18"/>
      <c r="P311" s="18"/>
      <c r="Q311" s="113" t="s">
        <v>795</v>
      </c>
      <c r="R311" s="19"/>
      <c r="S311" s="20">
        <v>45950</v>
      </c>
      <c r="T311" s="20" t="s">
        <v>65</v>
      </c>
      <c r="U311" s="20" t="s">
        <v>1291</v>
      </c>
      <c r="V311" s="20"/>
      <c r="W311" s="20"/>
      <c r="X311" s="20"/>
    </row>
    <row r="312" spans="2:29" ht="32.1" hidden="1">
      <c r="B312" s="18" t="s">
        <v>1269</v>
      </c>
      <c r="C312" s="18" t="s">
        <v>1270</v>
      </c>
      <c r="D312" s="18" t="s">
        <v>1271</v>
      </c>
      <c r="E312" s="18" t="s">
        <v>191</v>
      </c>
      <c r="F312" s="14">
        <v>5</v>
      </c>
      <c r="G312" s="14" t="s">
        <v>69</v>
      </c>
      <c r="H312" s="26" t="s">
        <v>70</v>
      </c>
      <c r="I312" s="26" t="s">
        <v>75</v>
      </c>
      <c r="J312" s="202">
        <v>45581</v>
      </c>
      <c r="K312" s="16" t="s">
        <v>1292</v>
      </c>
      <c r="L312" s="47" t="s">
        <v>4</v>
      </c>
      <c r="M312" s="16" t="s">
        <v>1293</v>
      </c>
      <c r="N312" s="16" t="s">
        <v>1294</v>
      </c>
      <c r="O312" s="18" t="s">
        <v>5</v>
      </c>
      <c r="P312" s="18" t="s">
        <v>5</v>
      </c>
      <c r="Q312" s="18" t="s">
        <v>1295</v>
      </c>
      <c r="R312" s="19">
        <v>45704</v>
      </c>
      <c r="S312" s="20"/>
      <c r="T312" s="20" t="s">
        <v>45</v>
      </c>
      <c r="U312" s="20" t="s">
        <v>1296</v>
      </c>
      <c r="V312" s="20"/>
      <c r="W312" s="20" t="s">
        <v>1297</v>
      </c>
      <c r="X312" s="20"/>
    </row>
    <row r="313" spans="2:29" ht="43.5" hidden="1">
      <c r="B313" s="18" t="s">
        <v>1269</v>
      </c>
      <c r="C313" s="18" t="s">
        <v>1270</v>
      </c>
      <c r="D313" s="18" t="s">
        <v>1271</v>
      </c>
      <c r="E313" s="18" t="s">
        <v>191</v>
      </c>
      <c r="F313" s="14">
        <v>6</v>
      </c>
      <c r="G313" s="14" t="s">
        <v>69</v>
      </c>
      <c r="H313" s="26" t="s">
        <v>70</v>
      </c>
      <c r="I313" s="26" t="s">
        <v>75</v>
      </c>
      <c r="J313" s="202">
        <v>45581</v>
      </c>
      <c r="K313" s="16" t="s">
        <v>1298</v>
      </c>
      <c r="L313" s="47" t="s">
        <v>4</v>
      </c>
      <c r="M313" s="16" t="s">
        <v>1299</v>
      </c>
      <c r="N313" s="16" t="s">
        <v>1300</v>
      </c>
      <c r="O313" s="18" t="s">
        <v>5</v>
      </c>
      <c r="P313" s="18" t="s">
        <v>5</v>
      </c>
      <c r="Q313" s="18" t="s">
        <v>59</v>
      </c>
      <c r="R313" s="19">
        <v>45713</v>
      </c>
      <c r="S313" s="20">
        <v>45806</v>
      </c>
      <c r="T313" s="20" t="s">
        <v>45</v>
      </c>
      <c r="U313" s="20" t="s">
        <v>1301</v>
      </c>
      <c r="V313" s="20"/>
      <c r="W313" s="20"/>
      <c r="X313" s="20"/>
      <c r="Y313" s="114"/>
      <c r="Z313" s="23"/>
      <c r="AA313" s="23"/>
      <c r="AB313" s="23"/>
      <c r="AC313" s="23"/>
    </row>
    <row r="314" spans="2:29" ht="15.95" hidden="1">
      <c r="B314" s="139" t="s">
        <v>1302</v>
      </c>
      <c r="C314" s="87" t="s">
        <v>1303</v>
      </c>
      <c r="D314" s="87" t="s">
        <v>799</v>
      </c>
      <c r="E314" s="87" t="s">
        <v>38</v>
      </c>
      <c r="F314" s="140">
        <v>1</v>
      </c>
      <c r="G314" s="141" t="s">
        <v>69</v>
      </c>
      <c r="H314" s="26" t="s">
        <v>70</v>
      </c>
      <c r="I314" s="142" t="s">
        <v>75</v>
      </c>
      <c r="J314" s="211"/>
      <c r="K314" s="87" t="s">
        <v>1304</v>
      </c>
      <c r="L314" s="18" t="s">
        <v>6</v>
      </c>
      <c r="M314" s="87" t="s">
        <v>1305</v>
      </c>
      <c r="N314" s="87" t="s">
        <v>1306</v>
      </c>
      <c r="O314" s="96" t="s">
        <v>5</v>
      </c>
      <c r="P314" s="96" t="s">
        <v>5</v>
      </c>
      <c r="Q314" s="18" t="s">
        <v>59</v>
      </c>
      <c r="R314" s="19"/>
      <c r="S314" s="20"/>
      <c r="T314" s="20" t="s">
        <v>352</v>
      </c>
      <c r="U314" s="20"/>
      <c r="V314" s="108"/>
      <c r="W314" s="18"/>
      <c r="X314" s="18"/>
    </row>
    <row r="315" spans="2:29" ht="29.1" hidden="1">
      <c r="B315" s="18" t="s">
        <v>1307</v>
      </c>
      <c r="C315" s="18" t="s">
        <v>1308</v>
      </c>
      <c r="D315" s="18" t="s">
        <v>1309</v>
      </c>
      <c r="E315" s="18" t="s">
        <v>191</v>
      </c>
      <c r="F315" s="14">
        <v>1</v>
      </c>
      <c r="G315" s="14" t="s">
        <v>53</v>
      </c>
      <c r="H315" s="26" t="s">
        <v>1310</v>
      </c>
      <c r="I315" s="26" t="s">
        <v>493</v>
      </c>
      <c r="J315" s="203"/>
      <c r="K315" s="16" t="s">
        <v>1311</v>
      </c>
      <c r="L315" s="47" t="s">
        <v>6</v>
      </c>
      <c r="M315" s="16" t="s">
        <v>1312</v>
      </c>
      <c r="N315" s="143" t="s">
        <v>1313</v>
      </c>
      <c r="O315" s="18"/>
      <c r="P315" s="18"/>
      <c r="Q315" s="18" t="s">
        <v>1143</v>
      </c>
      <c r="R315" s="19"/>
      <c r="S315" s="20"/>
      <c r="T315" s="20" t="s">
        <v>65</v>
      </c>
      <c r="U315" s="20"/>
      <c r="V315" s="20"/>
      <c r="W315" s="20"/>
      <c r="X315" s="20"/>
      <c r="Y315" s="114"/>
      <c r="Z315" s="23"/>
      <c r="AA315" s="23"/>
      <c r="AB315" s="23"/>
      <c r="AC315" s="23"/>
    </row>
    <row r="316" spans="2:29" ht="29.1" hidden="1">
      <c r="B316" s="18" t="s">
        <v>1307</v>
      </c>
      <c r="C316" s="18" t="s">
        <v>1308</v>
      </c>
      <c r="D316" s="18" t="s">
        <v>1309</v>
      </c>
      <c r="E316" s="18" t="s">
        <v>191</v>
      </c>
      <c r="F316" s="14">
        <v>2</v>
      </c>
      <c r="G316" s="14" t="s">
        <v>1314</v>
      </c>
      <c r="H316" s="26" t="s">
        <v>86</v>
      </c>
      <c r="I316" s="26" t="s">
        <v>86</v>
      </c>
      <c r="J316" s="202"/>
      <c r="K316" s="16" t="s">
        <v>1315</v>
      </c>
      <c r="L316" s="47" t="s">
        <v>8</v>
      </c>
      <c r="M316" s="16" t="s">
        <v>1316</v>
      </c>
      <c r="N316" s="16" t="s">
        <v>1317</v>
      </c>
      <c r="O316" s="18"/>
      <c r="P316" s="18"/>
      <c r="Q316" s="18" t="s">
        <v>59</v>
      </c>
      <c r="R316" s="19">
        <v>45878</v>
      </c>
      <c r="S316" s="20"/>
      <c r="T316" s="20" t="s">
        <v>65</v>
      </c>
      <c r="U316" s="20" t="s">
        <v>1318</v>
      </c>
      <c r="V316" s="20"/>
      <c r="W316" s="20"/>
      <c r="X316" s="20"/>
    </row>
    <row r="317" spans="2:29" ht="29.1" hidden="1">
      <c r="B317" s="18" t="s">
        <v>1307</v>
      </c>
      <c r="C317" s="18" t="s">
        <v>1308</v>
      </c>
      <c r="D317" s="18" t="s">
        <v>1309</v>
      </c>
      <c r="E317" s="18" t="s">
        <v>191</v>
      </c>
      <c r="F317" s="14">
        <v>3</v>
      </c>
      <c r="G317" s="14" t="s">
        <v>1314</v>
      </c>
      <c r="H317" s="26" t="s">
        <v>86</v>
      </c>
      <c r="I317" s="26" t="s">
        <v>86</v>
      </c>
      <c r="J317" s="202"/>
      <c r="K317" s="16" t="s">
        <v>1319</v>
      </c>
      <c r="L317" s="47" t="s">
        <v>8</v>
      </c>
      <c r="M317" s="86" t="s">
        <v>1320</v>
      </c>
      <c r="N317" s="16" t="s">
        <v>1321</v>
      </c>
      <c r="O317" s="18"/>
      <c r="P317" s="18"/>
      <c r="Q317" s="18" t="s">
        <v>59</v>
      </c>
      <c r="R317" s="19"/>
      <c r="S317" s="20"/>
      <c r="T317" s="20" t="s">
        <v>65</v>
      </c>
      <c r="U317" s="20" t="s">
        <v>1318</v>
      </c>
      <c r="V317" s="20"/>
      <c r="W317" s="20"/>
      <c r="X317" s="20"/>
    </row>
    <row r="318" spans="2:29" ht="43.5" hidden="1">
      <c r="B318" s="18" t="s">
        <v>1307</v>
      </c>
      <c r="C318" s="18" t="s">
        <v>1308</v>
      </c>
      <c r="D318" s="18" t="s">
        <v>1309</v>
      </c>
      <c r="E318" s="18" t="s">
        <v>191</v>
      </c>
      <c r="F318" s="14">
        <v>4</v>
      </c>
      <c r="G318" s="14" t="s">
        <v>1314</v>
      </c>
      <c r="H318" s="26" t="s">
        <v>86</v>
      </c>
      <c r="I318" s="26" t="s">
        <v>86</v>
      </c>
      <c r="J318" s="207"/>
      <c r="K318" s="16" t="s">
        <v>1322</v>
      </c>
      <c r="L318" s="47" t="s">
        <v>8</v>
      </c>
      <c r="M318" s="16" t="s">
        <v>1323</v>
      </c>
      <c r="N318" s="16" t="s">
        <v>1324</v>
      </c>
      <c r="O318" s="18"/>
      <c r="P318" s="18"/>
      <c r="Q318" s="18" t="s">
        <v>59</v>
      </c>
      <c r="R318" s="19"/>
      <c r="S318" s="20"/>
      <c r="T318" s="20" t="s">
        <v>65</v>
      </c>
      <c r="U318" s="20" t="s">
        <v>1318</v>
      </c>
      <c r="V318" s="20"/>
      <c r="W318" s="20"/>
      <c r="X318" s="20"/>
    </row>
    <row r="319" spans="2:29" ht="30.95" hidden="1">
      <c r="B319" s="18" t="s">
        <v>1307</v>
      </c>
      <c r="C319" s="18" t="s">
        <v>1308</v>
      </c>
      <c r="D319" s="18" t="s">
        <v>1309</v>
      </c>
      <c r="E319" s="18" t="s">
        <v>191</v>
      </c>
      <c r="F319" s="14">
        <v>5</v>
      </c>
      <c r="G319" s="14" t="s">
        <v>69</v>
      </c>
      <c r="H319" s="26" t="s">
        <v>95</v>
      </c>
      <c r="I319" s="26" t="s">
        <v>40</v>
      </c>
      <c r="J319" s="202"/>
      <c r="K319" s="16" t="s">
        <v>1325</v>
      </c>
      <c r="L319" s="47" t="s">
        <v>8</v>
      </c>
      <c r="M319" s="16" t="s">
        <v>1326</v>
      </c>
      <c r="N319" s="85" t="s">
        <v>1327</v>
      </c>
      <c r="O319" s="18"/>
      <c r="P319" s="18"/>
      <c r="Q319" s="18" t="s">
        <v>1328</v>
      </c>
      <c r="R319" s="19"/>
      <c r="S319" s="20"/>
      <c r="T319" s="20" t="s">
        <v>65</v>
      </c>
      <c r="U319" s="20" t="s">
        <v>1318</v>
      </c>
      <c r="V319" s="20"/>
      <c r="W319" s="20"/>
      <c r="X319" s="20"/>
    </row>
    <row r="320" spans="2:29" ht="43.5" hidden="1">
      <c r="B320" s="18" t="s">
        <v>1307</v>
      </c>
      <c r="C320" s="18" t="s">
        <v>1308</v>
      </c>
      <c r="D320" s="18" t="s">
        <v>1309</v>
      </c>
      <c r="E320" s="18" t="s">
        <v>191</v>
      </c>
      <c r="F320" s="14">
        <v>6</v>
      </c>
      <c r="G320" s="14" t="s">
        <v>69</v>
      </c>
      <c r="H320" s="26" t="s">
        <v>70</v>
      </c>
      <c r="I320" s="26" t="s">
        <v>167</v>
      </c>
      <c r="J320" s="202"/>
      <c r="K320" s="16" t="s">
        <v>1329</v>
      </c>
      <c r="L320" s="47" t="s">
        <v>8</v>
      </c>
      <c r="M320" s="85" t="s">
        <v>1330</v>
      </c>
      <c r="N320" s="85" t="s">
        <v>1331</v>
      </c>
      <c r="O320" s="18"/>
      <c r="P320" s="18"/>
      <c r="Q320" s="18" t="s">
        <v>59</v>
      </c>
      <c r="R320" s="19"/>
      <c r="S320" s="20"/>
      <c r="T320" s="20" t="s">
        <v>808</v>
      </c>
      <c r="U320" s="20" t="s">
        <v>1318</v>
      </c>
      <c r="V320" s="20"/>
      <c r="W320" s="20"/>
      <c r="X320" s="20"/>
    </row>
    <row r="321" spans="2:24" ht="72.75" hidden="1" customHeight="1">
      <c r="B321" s="18" t="s">
        <v>1307</v>
      </c>
      <c r="C321" s="18" t="s">
        <v>1308</v>
      </c>
      <c r="D321" s="18" t="s">
        <v>1309</v>
      </c>
      <c r="E321" s="18" t="s">
        <v>191</v>
      </c>
      <c r="F321" s="14">
        <v>7</v>
      </c>
      <c r="G321" s="14" t="s">
        <v>53</v>
      </c>
      <c r="H321" s="26" t="s">
        <v>1310</v>
      </c>
      <c r="I321" s="26" t="s">
        <v>153</v>
      </c>
      <c r="J321" s="202"/>
      <c r="K321" s="16" t="s">
        <v>1332</v>
      </c>
      <c r="L321" s="47" t="s">
        <v>8</v>
      </c>
      <c r="M321" s="144" t="s">
        <v>1333</v>
      </c>
      <c r="N321" s="16" t="s">
        <v>1334</v>
      </c>
      <c r="O321" s="18"/>
      <c r="P321" s="18"/>
      <c r="Q321" s="18" t="s">
        <v>59</v>
      </c>
      <c r="R321" s="19"/>
      <c r="S321" s="20"/>
      <c r="T321" s="20" t="s">
        <v>65</v>
      </c>
      <c r="U321" s="20" t="s">
        <v>1318</v>
      </c>
      <c r="V321" s="20"/>
      <c r="W321" s="20"/>
      <c r="X321" s="20"/>
    </row>
    <row r="322" spans="2:24" ht="43.5" hidden="1">
      <c r="B322" s="18" t="s">
        <v>1335</v>
      </c>
      <c r="C322" s="18" t="s">
        <v>1336</v>
      </c>
      <c r="D322" s="18" t="s">
        <v>1337</v>
      </c>
      <c r="E322" s="18" t="s">
        <v>38</v>
      </c>
      <c r="F322" s="96">
        <v>1</v>
      </c>
      <c r="G322" s="96" t="s">
        <v>53</v>
      </c>
      <c r="H322" s="18" t="s">
        <v>1338</v>
      </c>
      <c r="I322" s="26" t="s">
        <v>153</v>
      </c>
      <c r="J322" s="203">
        <v>45768</v>
      </c>
      <c r="K322" s="18" t="s">
        <v>1339</v>
      </c>
      <c r="L322" s="18" t="s">
        <v>8</v>
      </c>
      <c r="M322" s="18" t="s">
        <v>1340</v>
      </c>
      <c r="N322" s="18" t="s">
        <v>1341</v>
      </c>
      <c r="O322" s="96" t="s">
        <v>7</v>
      </c>
      <c r="P322" s="96" t="s">
        <v>5</v>
      </c>
      <c r="Q322" s="18" t="s">
        <v>1342</v>
      </c>
      <c r="R322" s="19">
        <v>45838</v>
      </c>
      <c r="S322" s="218"/>
      <c r="T322" s="96" t="s">
        <v>65</v>
      </c>
      <c r="U322" s="18" t="s">
        <v>1343</v>
      </c>
      <c r="V322" s="18"/>
      <c r="W322" s="18"/>
      <c r="X322" s="18"/>
    </row>
    <row r="323" spans="2:24" ht="32.1" hidden="1">
      <c r="B323" s="18" t="s">
        <v>1335</v>
      </c>
      <c r="C323" s="18" t="s">
        <v>1336</v>
      </c>
      <c r="D323" s="18" t="s">
        <v>1337</v>
      </c>
      <c r="E323" s="18" t="s">
        <v>38</v>
      </c>
      <c r="F323" s="96">
        <v>2</v>
      </c>
      <c r="G323" s="14" t="s">
        <v>53</v>
      </c>
      <c r="H323" s="26" t="s">
        <v>1344</v>
      </c>
      <c r="I323" s="26" t="s">
        <v>55</v>
      </c>
      <c r="J323" s="202">
        <v>45781</v>
      </c>
      <c r="K323" s="18" t="s">
        <v>1345</v>
      </c>
      <c r="L323" s="47" t="s">
        <v>6</v>
      </c>
      <c r="M323" s="18" t="s">
        <v>1346</v>
      </c>
      <c r="N323" s="18" t="s">
        <v>1347</v>
      </c>
      <c r="O323" s="18" t="s">
        <v>3</v>
      </c>
      <c r="P323" s="18" t="s">
        <v>3</v>
      </c>
      <c r="Q323" s="18" t="s">
        <v>1342</v>
      </c>
      <c r="R323" s="19">
        <v>45839</v>
      </c>
      <c r="S323" s="20"/>
      <c r="T323" s="20" t="s">
        <v>65</v>
      </c>
      <c r="U323" s="20" t="s">
        <v>1348</v>
      </c>
      <c r="V323" s="108"/>
      <c r="W323" s="18"/>
      <c r="X323" s="18" t="s">
        <v>1349</v>
      </c>
    </row>
    <row r="324" spans="2:24" ht="29.1" hidden="1">
      <c r="B324" s="18" t="s">
        <v>1335</v>
      </c>
      <c r="C324" s="18" t="s">
        <v>1336</v>
      </c>
      <c r="D324" s="18" t="s">
        <v>1337</v>
      </c>
      <c r="E324" s="18" t="s">
        <v>38</v>
      </c>
      <c r="F324" s="96">
        <v>3</v>
      </c>
      <c r="G324" s="96" t="s">
        <v>69</v>
      </c>
      <c r="H324" s="26" t="s">
        <v>70</v>
      </c>
      <c r="I324" s="26" t="s">
        <v>40</v>
      </c>
      <c r="J324" s="203">
        <v>46023</v>
      </c>
      <c r="K324" s="18" t="s">
        <v>1350</v>
      </c>
      <c r="L324" s="18" t="s">
        <v>4</v>
      </c>
      <c r="M324" s="18" t="s">
        <v>1351</v>
      </c>
      <c r="N324" s="18" t="s">
        <v>1352</v>
      </c>
      <c r="O324" s="96" t="s">
        <v>3</v>
      </c>
      <c r="P324" s="96" t="s">
        <v>3</v>
      </c>
      <c r="Q324" s="18" t="s">
        <v>1353</v>
      </c>
      <c r="R324" s="19">
        <v>46113</v>
      </c>
      <c r="S324" s="96"/>
      <c r="T324" s="96" t="s">
        <v>808</v>
      </c>
      <c r="U324" s="18" t="s">
        <v>1354</v>
      </c>
      <c r="V324" s="18"/>
      <c r="W324" s="18"/>
      <c r="X324" s="18"/>
    </row>
    <row r="325" spans="2:24" ht="144.94999999999999" hidden="1">
      <c r="B325" s="18" t="s">
        <v>1355</v>
      </c>
      <c r="C325" s="18" t="s">
        <v>1356</v>
      </c>
      <c r="D325" s="18" t="s">
        <v>1357</v>
      </c>
      <c r="E325" s="18" t="s">
        <v>191</v>
      </c>
      <c r="F325" s="14">
        <v>1</v>
      </c>
      <c r="G325" s="14" t="s">
        <v>53</v>
      </c>
      <c r="H325" s="26" t="s">
        <v>54</v>
      </c>
      <c r="I325" s="26" t="s">
        <v>153</v>
      </c>
      <c r="J325" s="202"/>
      <c r="K325" s="16" t="s">
        <v>1358</v>
      </c>
      <c r="L325" s="47" t="s">
        <v>6</v>
      </c>
      <c r="M325" s="120" t="s">
        <v>1359</v>
      </c>
      <c r="N325" s="16" t="s">
        <v>1360</v>
      </c>
      <c r="O325" s="18" t="s">
        <v>3</v>
      </c>
      <c r="P325" s="18" t="s">
        <v>3</v>
      </c>
      <c r="Q325" s="18" t="s">
        <v>59</v>
      </c>
      <c r="R325" s="19"/>
      <c r="S325" s="20"/>
      <c r="T325" s="20" t="s">
        <v>45</v>
      </c>
      <c r="U325" s="20"/>
      <c r="V325" s="20"/>
      <c r="W325" s="20"/>
      <c r="X325" s="20"/>
    </row>
    <row r="326" spans="2:24" ht="43.5" hidden="1">
      <c r="B326" s="18" t="s">
        <v>1355</v>
      </c>
      <c r="C326" s="18" t="s">
        <v>1356</v>
      </c>
      <c r="D326" s="18" t="s">
        <v>1357</v>
      </c>
      <c r="E326" s="18" t="s">
        <v>191</v>
      </c>
      <c r="F326" s="14">
        <v>2</v>
      </c>
      <c r="G326" s="14" t="s">
        <v>39</v>
      </c>
      <c r="H326" s="26" t="s">
        <v>86</v>
      </c>
      <c r="I326" s="26" t="s">
        <v>203</v>
      </c>
      <c r="J326" s="202"/>
      <c r="K326" s="66" t="s">
        <v>1361</v>
      </c>
      <c r="L326" s="47" t="s">
        <v>8</v>
      </c>
      <c r="M326" s="16" t="s">
        <v>1362</v>
      </c>
      <c r="N326" s="133" t="s">
        <v>1363</v>
      </c>
      <c r="O326" s="18" t="s">
        <v>5</v>
      </c>
      <c r="P326" s="18" t="s">
        <v>5</v>
      </c>
      <c r="Q326" s="18" t="s">
        <v>1364</v>
      </c>
      <c r="R326" s="19"/>
      <c r="S326" s="20"/>
      <c r="T326" s="20" t="s">
        <v>45</v>
      </c>
      <c r="U326" s="20"/>
      <c r="V326" s="20"/>
      <c r="W326" s="20"/>
      <c r="X326" s="20"/>
    </row>
    <row r="327" spans="2:24" ht="217.5" hidden="1">
      <c r="B327" s="18" t="s">
        <v>1355</v>
      </c>
      <c r="C327" s="18" t="s">
        <v>1356</v>
      </c>
      <c r="D327" s="18" t="s">
        <v>1357</v>
      </c>
      <c r="E327" s="18" t="s">
        <v>191</v>
      </c>
      <c r="F327" s="14">
        <v>3</v>
      </c>
      <c r="G327" s="14" t="s">
        <v>53</v>
      </c>
      <c r="H327" s="26" t="s">
        <v>54</v>
      </c>
      <c r="I327" s="26" t="s">
        <v>1365</v>
      </c>
      <c r="J327" s="202"/>
      <c r="K327" s="160" t="s">
        <v>1366</v>
      </c>
      <c r="L327" s="47" t="s">
        <v>4</v>
      </c>
      <c r="M327" s="133" t="s">
        <v>1367</v>
      </c>
      <c r="N327" s="120" t="s">
        <v>1368</v>
      </c>
      <c r="O327" s="18" t="s">
        <v>3</v>
      </c>
      <c r="P327" s="18" t="s">
        <v>3</v>
      </c>
      <c r="Q327" s="18" t="s">
        <v>59</v>
      </c>
      <c r="R327" s="19"/>
      <c r="S327" s="20"/>
      <c r="T327" s="20" t="s">
        <v>45</v>
      </c>
      <c r="U327" s="20"/>
      <c r="V327" s="20"/>
      <c r="W327" s="20"/>
      <c r="X327" s="20"/>
    </row>
    <row r="328" spans="2:24" ht="163.5" hidden="1">
      <c r="B328" s="18" t="s">
        <v>1355</v>
      </c>
      <c r="C328" s="18" t="s">
        <v>1356</v>
      </c>
      <c r="D328" s="18" t="s">
        <v>1357</v>
      </c>
      <c r="E328" s="18" t="s">
        <v>191</v>
      </c>
      <c r="F328" s="14">
        <v>4</v>
      </c>
      <c r="G328" s="14" t="s">
        <v>69</v>
      </c>
      <c r="H328" s="26" t="s">
        <v>128</v>
      </c>
      <c r="I328" s="26" t="s">
        <v>40</v>
      </c>
      <c r="J328" s="202"/>
      <c r="K328" s="66" t="s">
        <v>1369</v>
      </c>
      <c r="L328" s="47" t="s">
        <v>6</v>
      </c>
      <c r="M328" s="116" t="s">
        <v>1370</v>
      </c>
      <c r="N328" s="66" t="s">
        <v>1371</v>
      </c>
      <c r="O328" s="18" t="s">
        <v>5</v>
      </c>
      <c r="P328" s="18" t="s">
        <v>5</v>
      </c>
      <c r="Q328" s="18" t="s">
        <v>128</v>
      </c>
      <c r="R328" s="19"/>
      <c r="S328" s="20"/>
      <c r="T328" s="20" t="s">
        <v>45</v>
      </c>
      <c r="U328" s="20"/>
      <c r="V328" s="20"/>
      <c r="W328" s="20"/>
      <c r="X328" s="20"/>
    </row>
    <row r="329" spans="2:24" ht="56.25" hidden="1" customHeight="1">
      <c r="B329" s="18" t="s">
        <v>1355</v>
      </c>
      <c r="C329" s="18" t="s">
        <v>1356</v>
      </c>
      <c r="D329" s="18" t="s">
        <v>1357</v>
      </c>
      <c r="E329" s="18" t="s">
        <v>191</v>
      </c>
      <c r="F329" s="14">
        <v>5</v>
      </c>
      <c r="G329" s="14" t="s">
        <v>39</v>
      </c>
      <c r="H329" s="26" t="s">
        <v>195</v>
      </c>
      <c r="I329" s="26" t="s">
        <v>86</v>
      </c>
      <c r="J329" s="202"/>
      <c r="K329" s="16" t="s">
        <v>1372</v>
      </c>
      <c r="L329" s="47" t="s">
        <v>6</v>
      </c>
      <c r="M329" s="116" t="s">
        <v>1373</v>
      </c>
      <c r="N329" s="16" t="s">
        <v>1374</v>
      </c>
      <c r="O329" s="18" t="s">
        <v>5</v>
      </c>
      <c r="P329" s="18" t="s">
        <v>5</v>
      </c>
      <c r="Q329" s="18" t="s">
        <v>54</v>
      </c>
      <c r="R329" s="19"/>
      <c r="S329" s="20"/>
      <c r="T329" s="20" t="s">
        <v>45</v>
      </c>
      <c r="U329" s="20"/>
      <c r="V329" s="20"/>
      <c r="W329" s="20"/>
      <c r="X329" s="20"/>
    </row>
    <row r="330" spans="2:24" ht="56.25" hidden="1" customHeight="1">
      <c r="B330" s="18" t="s">
        <v>1355</v>
      </c>
      <c r="C330" s="18" t="s">
        <v>1356</v>
      </c>
      <c r="D330" s="18" t="s">
        <v>1357</v>
      </c>
      <c r="E330" s="18" t="s">
        <v>191</v>
      </c>
      <c r="F330" s="14">
        <v>6</v>
      </c>
      <c r="G330" s="14" t="s">
        <v>53</v>
      </c>
      <c r="H330" s="26" t="s">
        <v>54</v>
      </c>
      <c r="I330" s="26" t="s">
        <v>153</v>
      </c>
      <c r="J330" s="202"/>
      <c r="K330" s="16" t="s">
        <v>1375</v>
      </c>
      <c r="L330" s="47" t="s">
        <v>6</v>
      </c>
      <c r="M330" s="116" t="s">
        <v>1376</v>
      </c>
      <c r="N330" s="18"/>
      <c r="O330" s="18" t="s">
        <v>5</v>
      </c>
      <c r="P330" s="18" t="s">
        <v>3</v>
      </c>
      <c r="Q330" s="18" t="s">
        <v>54</v>
      </c>
      <c r="R330" s="19"/>
      <c r="S330" s="20"/>
      <c r="T330" s="20" t="s">
        <v>45</v>
      </c>
      <c r="U330" s="20"/>
      <c r="V330" s="20"/>
      <c r="W330" s="20"/>
      <c r="X330" s="20"/>
    </row>
    <row r="331" spans="2:24" ht="56.25" hidden="1" customHeight="1">
      <c r="B331" s="18" t="s">
        <v>1355</v>
      </c>
      <c r="C331" s="18" t="s">
        <v>1356</v>
      </c>
      <c r="D331" s="18" t="s">
        <v>1357</v>
      </c>
      <c r="E331" s="18" t="s">
        <v>191</v>
      </c>
      <c r="F331" s="14">
        <v>7</v>
      </c>
      <c r="G331" s="14" t="s">
        <v>53</v>
      </c>
      <c r="H331" s="26" t="s">
        <v>54</v>
      </c>
      <c r="I331" s="26" t="s">
        <v>153</v>
      </c>
      <c r="J331" s="202"/>
      <c r="K331" s="16" t="s">
        <v>1377</v>
      </c>
      <c r="L331" s="47" t="s">
        <v>6</v>
      </c>
      <c r="M331" s="116" t="s">
        <v>1378</v>
      </c>
      <c r="N331" s="18" t="s">
        <v>1379</v>
      </c>
      <c r="O331" s="18" t="s">
        <v>5</v>
      </c>
      <c r="P331" s="18" t="s">
        <v>3</v>
      </c>
      <c r="Q331" s="18"/>
      <c r="R331" s="19"/>
      <c r="S331" s="20"/>
      <c r="T331" s="20" t="s">
        <v>45</v>
      </c>
      <c r="U331" s="20"/>
      <c r="V331" s="20"/>
      <c r="W331" s="20"/>
      <c r="X331" s="20"/>
    </row>
    <row r="332" spans="2:24" ht="56.25" hidden="1" customHeight="1">
      <c r="B332" s="18" t="s">
        <v>1355</v>
      </c>
      <c r="C332" s="18" t="s">
        <v>1356</v>
      </c>
      <c r="D332" s="18" t="s">
        <v>1357</v>
      </c>
      <c r="E332" s="18" t="s">
        <v>191</v>
      </c>
      <c r="F332" s="14">
        <v>8</v>
      </c>
      <c r="G332" s="14" t="s">
        <v>53</v>
      </c>
      <c r="H332" s="26" t="s">
        <v>54</v>
      </c>
      <c r="I332" s="26" t="s">
        <v>203</v>
      </c>
      <c r="J332" s="202"/>
      <c r="K332" s="16" t="s">
        <v>1380</v>
      </c>
      <c r="L332" s="47" t="s">
        <v>6</v>
      </c>
      <c r="M332" s="116" t="s">
        <v>1381</v>
      </c>
      <c r="N332" s="18" t="s">
        <v>1382</v>
      </c>
      <c r="O332" s="18" t="s">
        <v>5</v>
      </c>
      <c r="P332" s="18" t="s">
        <v>5</v>
      </c>
      <c r="Q332" s="18" t="s">
        <v>54</v>
      </c>
      <c r="R332" s="19"/>
      <c r="S332" s="20"/>
      <c r="T332" s="20" t="s">
        <v>45</v>
      </c>
      <c r="U332" s="20"/>
      <c r="V332" s="20"/>
      <c r="W332" s="20"/>
      <c r="X332" s="20"/>
    </row>
    <row r="333" spans="2:24" ht="56.25" hidden="1" customHeight="1">
      <c r="B333" s="18" t="s">
        <v>1355</v>
      </c>
      <c r="C333" s="18" t="s">
        <v>1356</v>
      </c>
      <c r="D333" s="18" t="s">
        <v>1357</v>
      </c>
      <c r="E333" s="18" t="s">
        <v>191</v>
      </c>
      <c r="F333" s="14">
        <v>9</v>
      </c>
      <c r="G333" s="14" t="s">
        <v>53</v>
      </c>
      <c r="H333" s="26" t="s">
        <v>54</v>
      </c>
      <c r="I333" s="26" t="s">
        <v>153</v>
      </c>
      <c r="J333" s="202"/>
      <c r="K333" s="16" t="s">
        <v>1383</v>
      </c>
      <c r="L333" s="47" t="s">
        <v>6</v>
      </c>
      <c r="M333" s="76" t="s">
        <v>1384</v>
      </c>
      <c r="N333" s="16" t="s">
        <v>1385</v>
      </c>
      <c r="O333" s="18" t="s">
        <v>5</v>
      </c>
      <c r="P333" s="18" t="s">
        <v>5</v>
      </c>
      <c r="Q333" s="18" t="s">
        <v>54</v>
      </c>
      <c r="R333" s="19"/>
      <c r="S333" s="20"/>
      <c r="T333" s="20" t="s">
        <v>45</v>
      </c>
      <c r="U333" s="20"/>
      <c r="V333" s="20"/>
      <c r="W333" s="20"/>
      <c r="X333" s="20"/>
    </row>
    <row r="334" spans="2:24" ht="56.25" hidden="1" customHeight="1">
      <c r="B334" s="18" t="s">
        <v>1355</v>
      </c>
      <c r="C334" s="18" t="s">
        <v>1356</v>
      </c>
      <c r="D334" s="18" t="s">
        <v>1357</v>
      </c>
      <c r="E334" s="18" t="s">
        <v>191</v>
      </c>
      <c r="F334" s="14">
        <v>10</v>
      </c>
      <c r="G334" s="14" t="s">
        <v>39</v>
      </c>
      <c r="H334" s="26" t="s">
        <v>1386</v>
      </c>
      <c r="I334" s="26" t="s">
        <v>115</v>
      </c>
      <c r="J334" s="202"/>
      <c r="K334" s="16" t="s">
        <v>1387</v>
      </c>
      <c r="L334" s="18" t="s">
        <v>6</v>
      </c>
      <c r="M334" s="116" t="s">
        <v>1388</v>
      </c>
      <c r="N334" s="16" t="s">
        <v>1389</v>
      </c>
      <c r="O334" s="18" t="s">
        <v>3</v>
      </c>
      <c r="P334" s="18" t="s">
        <v>3</v>
      </c>
      <c r="Q334" s="18" t="s">
        <v>1390</v>
      </c>
      <c r="R334" s="19"/>
      <c r="S334" s="20">
        <v>46259</v>
      </c>
      <c r="T334" s="63" t="s">
        <v>65</v>
      </c>
      <c r="U334" s="20" t="s">
        <v>1391</v>
      </c>
      <c r="V334" s="20"/>
      <c r="W334" s="20"/>
      <c r="X334" s="20"/>
    </row>
    <row r="335" spans="2:24" ht="56.25" hidden="1" customHeight="1">
      <c r="B335" s="18" t="s">
        <v>1355</v>
      </c>
      <c r="C335" s="18" t="s">
        <v>1356</v>
      </c>
      <c r="D335" s="18" t="s">
        <v>1357</v>
      </c>
      <c r="E335" s="18" t="s">
        <v>191</v>
      </c>
      <c r="F335" s="14">
        <v>11</v>
      </c>
      <c r="G335" s="14" t="s">
        <v>39</v>
      </c>
      <c r="H335" s="26" t="s">
        <v>1386</v>
      </c>
      <c r="I335" s="26" t="s">
        <v>115</v>
      </c>
      <c r="J335" s="202"/>
      <c r="K335" s="16" t="s">
        <v>1392</v>
      </c>
      <c r="L335" s="18" t="s">
        <v>6</v>
      </c>
      <c r="M335" s="116" t="s">
        <v>1393</v>
      </c>
      <c r="N335" s="16" t="s">
        <v>1394</v>
      </c>
      <c r="O335" s="18" t="s">
        <v>3</v>
      </c>
      <c r="P335" s="18" t="s">
        <v>3</v>
      </c>
      <c r="Q335" s="18" t="s">
        <v>1390</v>
      </c>
      <c r="R335" s="19"/>
      <c r="S335" s="20"/>
      <c r="T335" s="63" t="s">
        <v>65</v>
      </c>
      <c r="U335" s="20" t="s">
        <v>1395</v>
      </c>
      <c r="V335" s="20"/>
      <c r="W335" s="20"/>
      <c r="X335" s="20"/>
    </row>
    <row r="336" spans="2:24" ht="56.25" hidden="1" customHeight="1">
      <c r="B336" s="18" t="s">
        <v>1355</v>
      </c>
      <c r="C336" s="18" t="s">
        <v>1356</v>
      </c>
      <c r="D336" s="18" t="s">
        <v>1357</v>
      </c>
      <c r="E336" s="18" t="s">
        <v>191</v>
      </c>
      <c r="F336" s="14">
        <v>12</v>
      </c>
      <c r="G336" s="14" t="s">
        <v>39</v>
      </c>
      <c r="H336" s="26" t="s">
        <v>86</v>
      </c>
      <c r="I336" s="26" t="s">
        <v>86</v>
      </c>
      <c r="J336" s="202"/>
      <c r="K336" s="16" t="s">
        <v>1396</v>
      </c>
      <c r="L336" s="47" t="s">
        <v>6</v>
      </c>
      <c r="M336" s="116" t="s">
        <v>1397</v>
      </c>
      <c r="N336" s="18" t="s">
        <v>1398</v>
      </c>
      <c r="O336" s="18" t="s">
        <v>3</v>
      </c>
      <c r="P336" s="18" t="s">
        <v>3</v>
      </c>
      <c r="Q336" s="18" t="s">
        <v>1399</v>
      </c>
      <c r="R336" s="19"/>
      <c r="S336" s="20"/>
      <c r="T336" s="63" t="s">
        <v>45</v>
      </c>
      <c r="U336" s="20"/>
      <c r="V336" s="20"/>
      <c r="W336" s="20"/>
      <c r="X336" s="20"/>
    </row>
    <row r="337" spans="2:24" ht="56.25" hidden="1" customHeight="1">
      <c r="B337" s="18" t="s">
        <v>1355</v>
      </c>
      <c r="C337" s="18" t="s">
        <v>1356</v>
      </c>
      <c r="D337" s="18" t="s">
        <v>1357</v>
      </c>
      <c r="E337" s="18" t="s">
        <v>191</v>
      </c>
      <c r="F337" s="14">
        <f t="shared" ref="F337:F343" si="0">F336+1</f>
        <v>13</v>
      </c>
      <c r="G337" s="14" t="s">
        <v>39</v>
      </c>
      <c r="H337" s="26" t="s">
        <v>1400</v>
      </c>
      <c r="I337" s="26" t="s">
        <v>115</v>
      </c>
      <c r="J337" s="202"/>
      <c r="K337" s="16" t="s">
        <v>1401</v>
      </c>
      <c r="L337" s="47" t="s">
        <v>6</v>
      </c>
      <c r="M337" s="116" t="s">
        <v>1402</v>
      </c>
      <c r="N337" s="18" t="s">
        <v>1403</v>
      </c>
      <c r="O337" s="18" t="s">
        <v>5</v>
      </c>
      <c r="P337" s="18" t="s">
        <v>3</v>
      </c>
      <c r="Q337" s="18" t="s">
        <v>1404</v>
      </c>
      <c r="R337" s="19"/>
      <c r="S337" s="20">
        <v>46254</v>
      </c>
      <c r="T337" s="63" t="s">
        <v>65</v>
      </c>
      <c r="U337" s="20" t="s">
        <v>1405</v>
      </c>
      <c r="V337" s="20"/>
      <c r="W337" s="20"/>
      <c r="X337" s="20"/>
    </row>
    <row r="338" spans="2:24" ht="56.25" hidden="1" customHeight="1">
      <c r="B338" s="18" t="s">
        <v>1355</v>
      </c>
      <c r="C338" s="18" t="s">
        <v>1356</v>
      </c>
      <c r="D338" s="18" t="s">
        <v>1357</v>
      </c>
      <c r="E338" s="18" t="s">
        <v>191</v>
      </c>
      <c r="F338" s="14">
        <f t="shared" si="0"/>
        <v>14</v>
      </c>
      <c r="G338" s="14" t="s">
        <v>39</v>
      </c>
      <c r="H338" s="26" t="s">
        <v>1400</v>
      </c>
      <c r="I338" s="26" t="s">
        <v>207</v>
      </c>
      <c r="J338" s="202"/>
      <c r="K338" s="16" t="s">
        <v>1406</v>
      </c>
      <c r="L338" s="47" t="s">
        <v>4</v>
      </c>
      <c r="M338" s="116" t="s">
        <v>1393</v>
      </c>
      <c r="N338" s="116" t="s">
        <v>1407</v>
      </c>
      <c r="O338" s="18" t="s">
        <v>5</v>
      </c>
      <c r="P338" s="18" t="s">
        <v>5</v>
      </c>
      <c r="Q338" s="18" t="s">
        <v>14</v>
      </c>
      <c r="R338" s="19"/>
      <c r="S338" s="20">
        <v>46264</v>
      </c>
      <c r="T338" s="63" t="s">
        <v>65</v>
      </c>
      <c r="U338" s="20" t="s">
        <v>1408</v>
      </c>
      <c r="V338" s="20"/>
      <c r="W338" s="20"/>
      <c r="X338" s="20"/>
    </row>
    <row r="339" spans="2:24" ht="56.25" hidden="1" customHeight="1">
      <c r="B339" s="18" t="s">
        <v>1355</v>
      </c>
      <c r="C339" s="18" t="s">
        <v>1356</v>
      </c>
      <c r="D339" s="18" t="s">
        <v>1357</v>
      </c>
      <c r="E339" s="18" t="s">
        <v>191</v>
      </c>
      <c r="F339" s="14">
        <f t="shared" si="0"/>
        <v>15</v>
      </c>
      <c r="G339" s="14" t="s">
        <v>39</v>
      </c>
      <c r="H339" s="26" t="s">
        <v>1400</v>
      </c>
      <c r="I339" s="26" t="s">
        <v>115</v>
      </c>
      <c r="J339" s="202"/>
      <c r="K339" s="16" t="s">
        <v>1409</v>
      </c>
      <c r="L339" s="47" t="s">
        <v>6</v>
      </c>
      <c r="M339" s="116"/>
      <c r="N339" s="18"/>
      <c r="O339" s="18" t="s">
        <v>5</v>
      </c>
      <c r="P339" s="18" t="s">
        <v>3</v>
      </c>
      <c r="Q339" s="18"/>
      <c r="R339" s="19"/>
      <c r="S339" s="20"/>
      <c r="T339" s="63" t="s">
        <v>45</v>
      </c>
      <c r="U339" s="20"/>
      <c r="V339" s="20"/>
      <c r="W339" s="20"/>
      <c r="X339" s="20"/>
    </row>
    <row r="340" spans="2:24" ht="56.25" hidden="1" customHeight="1">
      <c r="B340" s="18" t="s">
        <v>1355</v>
      </c>
      <c r="C340" s="18" t="s">
        <v>1356</v>
      </c>
      <c r="D340" s="18" t="s">
        <v>1357</v>
      </c>
      <c r="E340" s="18" t="s">
        <v>191</v>
      </c>
      <c r="F340" s="14">
        <f t="shared" si="0"/>
        <v>16</v>
      </c>
      <c r="G340" s="14" t="s">
        <v>39</v>
      </c>
      <c r="H340" s="26" t="s">
        <v>1400</v>
      </c>
      <c r="I340" s="26" t="s">
        <v>115</v>
      </c>
      <c r="J340" s="202"/>
      <c r="K340" s="16" t="s">
        <v>1410</v>
      </c>
      <c r="L340" s="47" t="s">
        <v>8</v>
      </c>
      <c r="M340" s="116" t="s">
        <v>1411</v>
      </c>
      <c r="N340" s="18" t="s">
        <v>1412</v>
      </c>
      <c r="O340" s="18" t="s">
        <v>5</v>
      </c>
      <c r="P340" s="18" t="s">
        <v>3</v>
      </c>
      <c r="Q340" s="18" t="s">
        <v>1404</v>
      </c>
      <c r="R340" s="19"/>
      <c r="S340" s="20">
        <v>46249</v>
      </c>
      <c r="T340" s="63" t="s">
        <v>45</v>
      </c>
      <c r="U340" s="20" t="s">
        <v>1413</v>
      </c>
      <c r="V340" s="20"/>
      <c r="W340" s="20"/>
      <c r="X340" s="20"/>
    </row>
    <row r="341" spans="2:24" ht="56.25" hidden="1" customHeight="1">
      <c r="B341" s="18" t="s">
        <v>1355</v>
      </c>
      <c r="C341" s="18" t="s">
        <v>1356</v>
      </c>
      <c r="D341" s="18" t="s">
        <v>1357</v>
      </c>
      <c r="E341" s="18" t="s">
        <v>191</v>
      </c>
      <c r="F341" s="14">
        <f t="shared" si="0"/>
        <v>17</v>
      </c>
      <c r="G341" s="14" t="s">
        <v>39</v>
      </c>
      <c r="H341" s="26" t="s">
        <v>1400</v>
      </c>
      <c r="I341" s="26" t="s">
        <v>207</v>
      </c>
      <c r="J341" s="202"/>
      <c r="K341" s="16" t="s">
        <v>1414</v>
      </c>
      <c r="L341" s="47" t="s">
        <v>6</v>
      </c>
      <c r="M341" s="116" t="s">
        <v>1415</v>
      </c>
      <c r="N341" s="18" t="s">
        <v>1416</v>
      </c>
      <c r="O341" s="18" t="s">
        <v>5</v>
      </c>
      <c r="P341" s="18" t="s">
        <v>3</v>
      </c>
      <c r="Q341" s="18" t="s">
        <v>1404</v>
      </c>
      <c r="R341" s="19"/>
      <c r="S341" s="20"/>
      <c r="T341" s="63" t="s">
        <v>45</v>
      </c>
      <c r="U341" s="20"/>
      <c r="V341" s="20"/>
      <c r="W341" s="20"/>
      <c r="X341" s="20"/>
    </row>
    <row r="342" spans="2:24" ht="56.25" hidden="1" customHeight="1">
      <c r="B342" s="18" t="s">
        <v>1355</v>
      </c>
      <c r="C342" s="18" t="s">
        <v>1356</v>
      </c>
      <c r="D342" s="18" t="s">
        <v>1357</v>
      </c>
      <c r="E342" s="18" t="s">
        <v>191</v>
      </c>
      <c r="F342" s="14">
        <f t="shared" si="0"/>
        <v>18</v>
      </c>
      <c r="G342" s="14" t="s">
        <v>39</v>
      </c>
      <c r="H342" s="26" t="s">
        <v>1400</v>
      </c>
      <c r="I342" s="26" t="s">
        <v>115</v>
      </c>
      <c r="J342" s="202"/>
      <c r="K342" s="16" t="s">
        <v>1417</v>
      </c>
      <c r="L342" s="47" t="s">
        <v>4</v>
      </c>
      <c r="M342" s="116" t="s">
        <v>1418</v>
      </c>
      <c r="N342" s="18" t="s">
        <v>1419</v>
      </c>
      <c r="O342" s="18" t="s">
        <v>3</v>
      </c>
      <c r="P342" s="18" t="s">
        <v>3</v>
      </c>
      <c r="Q342" s="18"/>
      <c r="R342" s="19"/>
      <c r="S342" s="20"/>
      <c r="T342" s="63" t="s">
        <v>45</v>
      </c>
      <c r="U342" s="20"/>
      <c r="V342" s="20"/>
      <c r="W342" s="20"/>
      <c r="X342" s="20"/>
    </row>
    <row r="343" spans="2:24" ht="56.25" hidden="1" customHeight="1">
      <c r="B343" s="18" t="s">
        <v>1355</v>
      </c>
      <c r="C343" s="18" t="s">
        <v>1356</v>
      </c>
      <c r="D343" s="18" t="s">
        <v>1357</v>
      </c>
      <c r="E343" s="18" t="s">
        <v>191</v>
      </c>
      <c r="F343" s="14">
        <f t="shared" si="0"/>
        <v>19</v>
      </c>
      <c r="G343" s="14" t="s">
        <v>39</v>
      </c>
      <c r="H343" s="26" t="s">
        <v>1400</v>
      </c>
      <c r="I343" s="26" t="s">
        <v>511</v>
      </c>
      <c r="J343" s="202"/>
      <c r="K343" s="16" t="s">
        <v>1420</v>
      </c>
      <c r="L343" s="47" t="s">
        <v>6</v>
      </c>
      <c r="M343" s="116" t="s">
        <v>1421</v>
      </c>
      <c r="N343" s="18" t="s">
        <v>1422</v>
      </c>
      <c r="O343" s="18" t="s">
        <v>5</v>
      </c>
      <c r="P343" s="18" t="s">
        <v>3</v>
      </c>
      <c r="Q343" s="18" t="s">
        <v>1390</v>
      </c>
      <c r="R343" s="19"/>
      <c r="S343" s="20" t="s">
        <v>1423</v>
      </c>
      <c r="T343" s="63" t="s">
        <v>65</v>
      </c>
      <c r="U343" s="20" t="s">
        <v>1424</v>
      </c>
      <c r="V343" s="20"/>
      <c r="W343" s="20"/>
      <c r="X343" s="20"/>
    </row>
    <row r="344" spans="2:24" ht="56.25" hidden="1" customHeight="1">
      <c r="B344" s="18" t="s">
        <v>1355</v>
      </c>
      <c r="C344" s="18" t="s">
        <v>1356</v>
      </c>
      <c r="D344" s="18" t="s">
        <v>1357</v>
      </c>
      <c r="E344" s="18" t="s">
        <v>191</v>
      </c>
      <c r="F344" s="14">
        <f>F343+1</f>
        <v>20</v>
      </c>
      <c r="G344" s="14" t="s">
        <v>39</v>
      </c>
      <c r="H344" s="26" t="s">
        <v>1400</v>
      </c>
      <c r="I344" s="26" t="s">
        <v>115</v>
      </c>
      <c r="J344" s="202"/>
      <c r="K344" s="16" t="s">
        <v>1425</v>
      </c>
      <c r="L344" s="47" t="s">
        <v>6</v>
      </c>
      <c r="M344" s="116" t="s">
        <v>1426</v>
      </c>
      <c r="N344" s="18" t="s">
        <v>1427</v>
      </c>
      <c r="O344" s="18" t="s">
        <v>5</v>
      </c>
      <c r="P344" s="18" t="s">
        <v>3</v>
      </c>
      <c r="Q344" s="18" t="s">
        <v>1428</v>
      </c>
      <c r="R344" s="19"/>
      <c r="S344" s="20"/>
      <c r="T344" s="63" t="s">
        <v>45</v>
      </c>
      <c r="U344" s="20"/>
      <c r="V344" s="20"/>
      <c r="W344" s="20"/>
      <c r="X344" s="20"/>
    </row>
    <row r="345" spans="2:24" ht="56.25" hidden="1" customHeight="1">
      <c r="B345" s="18" t="s">
        <v>1355</v>
      </c>
      <c r="C345" s="18" t="s">
        <v>1356</v>
      </c>
      <c r="D345" s="18" t="s">
        <v>1357</v>
      </c>
      <c r="E345" s="18" t="s">
        <v>191</v>
      </c>
      <c r="F345" s="14">
        <f>F344+1</f>
        <v>21</v>
      </c>
      <c r="G345" s="14" t="s">
        <v>39</v>
      </c>
      <c r="H345" s="26" t="s">
        <v>86</v>
      </c>
      <c r="I345" s="26" t="s">
        <v>86</v>
      </c>
      <c r="J345" s="202"/>
      <c r="K345" s="16" t="s">
        <v>1429</v>
      </c>
      <c r="L345" s="47" t="s">
        <v>6</v>
      </c>
      <c r="M345" s="116" t="s">
        <v>1430</v>
      </c>
      <c r="N345" s="18" t="s">
        <v>1431</v>
      </c>
      <c r="O345" s="18" t="s">
        <v>5</v>
      </c>
      <c r="P345" s="18" t="s">
        <v>3</v>
      </c>
      <c r="Q345" s="18" t="s">
        <v>1428</v>
      </c>
      <c r="R345" s="19"/>
      <c r="S345" s="20"/>
      <c r="T345" s="63" t="s">
        <v>65</v>
      </c>
      <c r="U345" s="20"/>
      <c r="V345" s="20"/>
      <c r="W345" s="20"/>
      <c r="X345" s="20"/>
    </row>
    <row r="346" spans="2:24" ht="56.25" hidden="1" customHeight="1">
      <c r="B346" s="18" t="s">
        <v>1355</v>
      </c>
      <c r="C346" s="18" t="s">
        <v>1356</v>
      </c>
      <c r="D346" s="18" t="s">
        <v>1357</v>
      </c>
      <c r="E346" s="18" t="s">
        <v>191</v>
      </c>
      <c r="F346" s="14">
        <f>F345+1</f>
        <v>22</v>
      </c>
      <c r="G346" s="14" t="s">
        <v>39</v>
      </c>
      <c r="H346" s="26" t="s">
        <v>86</v>
      </c>
      <c r="I346" s="26" t="s">
        <v>86</v>
      </c>
      <c r="J346" s="202"/>
      <c r="K346" s="18" t="s">
        <v>1432</v>
      </c>
      <c r="L346" s="47" t="s">
        <v>6</v>
      </c>
      <c r="M346" s="76" t="s">
        <v>1433</v>
      </c>
      <c r="N346" s="18" t="s">
        <v>1434</v>
      </c>
      <c r="O346" s="18" t="s">
        <v>5</v>
      </c>
      <c r="P346" s="18" t="s">
        <v>3</v>
      </c>
      <c r="Q346" s="18" t="s">
        <v>1428</v>
      </c>
      <c r="R346" s="19"/>
      <c r="S346" s="20"/>
      <c r="T346" s="63" t="s">
        <v>65</v>
      </c>
      <c r="U346" s="20"/>
      <c r="V346" s="20"/>
      <c r="W346" s="20"/>
      <c r="X346" s="20"/>
    </row>
    <row r="347" spans="2:24" ht="29.1" hidden="1">
      <c r="B347" s="18" t="s">
        <v>1435</v>
      </c>
      <c r="C347" s="126" t="s">
        <v>1436</v>
      </c>
      <c r="D347" s="72" t="s">
        <v>499</v>
      </c>
      <c r="E347" s="18" t="s">
        <v>38</v>
      </c>
      <c r="F347" s="14">
        <v>1</v>
      </c>
      <c r="G347" s="14" t="s">
        <v>69</v>
      </c>
      <c r="H347" s="26" t="s">
        <v>128</v>
      </c>
      <c r="I347" s="26" t="s">
        <v>167</v>
      </c>
      <c r="J347" s="202"/>
      <c r="K347" s="18" t="s">
        <v>1437</v>
      </c>
      <c r="L347" s="47" t="s">
        <v>6</v>
      </c>
      <c r="M347" s="18" t="s">
        <v>1438</v>
      </c>
      <c r="N347" s="18" t="s">
        <v>1439</v>
      </c>
      <c r="O347" s="18" t="s">
        <v>7</v>
      </c>
      <c r="P347" s="18" t="s">
        <v>7</v>
      </c>
      <c r="Q347" s="18" t="s">
        <v>99</v>
      </c>
      <c r="R347" s="19">
        <v>45716</v>
      </c>
      <c r="S347" s="20">
        <v>45736</v>
      </c>
      <c r="T347" s="63" t="s">
        <v>45</v>
      </c>
      <c r="U347" s="20"/>
      <c r="V347" s="20"/>
      <c r="W347" s="20"/>
      <c r="X347" s="20"/>
    </row>
    <row r="348" spans="2:24" ht="32.1" hidden="1">
      <c r="B348" s="18" t="s">
        <v>1435</v>
      </c>
      <c r="C348" s="126" t="s">
        <v>1436</v>
      </c>
      <c r="D348" s="72" t="s">
        <v>499</v>
      </c>
      <c r="E348" s="18" t="s">
        <v>38</v>
      </c>
      <c r="F348" s="14"/>
      <c r="G348" s="14" t="s">
        <v>53</v>
      </c>
      <c r="H348" s="26" t="s">
        <v>1440</v>
      </c>
      <c r="I348" s="26" t="s">
        <v>153</v>
      </c>
      <c r="J348" s="202"/>
      <c r="K348" s="18" t="s">
        <v>1441</v>
      </c>
      <c r="L348" s="47" t="s">
        <v>4</v>
      </c>
      <c r="M348" s="18" t="s">
        <v>1442</v>
      </c>
      <c r="N348" s="18" t="s">
        <v>1443</v>
      </c>
      <c r="O348" s="18" t="s">
        <v>3</v>
      </c>
      <c r="P348" s="18" t="s">
        <v>3</v>
      </c>
      <c r="Q348" s="18" t="s">
        <v>1440</v>
      </c>
      <c r="R348" s="19"/>
      <c r="S348" s="20">
        <v>46041</v>
      </c>
      <c r="T348" s="63" t="s">
        <v>65</v>
      </c>
      <c r="U348" s="20"/>
      <c r="V348" s="20"/>
      <c r="W348" s="20"/>
      <c r="X348" s="20"/>
    </row>
    <row r="349" spans="2:24" ht="72.599999999999994" hidden="1">
      <c r="B349" s="18" t="s">
        <v>1435</v>
      </c>
      <c r="C349" s="126" t="s">
        <v>1436</v>
      </c>
      <c r="D349" s="72" t="s">
        <v>499</v>
      </c>
      <c r="E349" s="18" t="s">
        <v>38</v>
      </c>
      <c r="F349" s="14">
        <v>2</v>
      </c>
      <c r="G349" s="14" t="s">
        <v>53</v>
      </c>
      <c r="H349" s="26" t="s">
        <v>54</v>
      </c>
      <c r="I349" s="26" t="s">
        <v>55</v>
      </c>
      <c r="J349" s="202"/>
      <c r="K349" s="18" t="s">
        <v>1444</v>
      </c>
      <c r="L349" s="47" t="s">
        <v>4</v>
      </c>
      <c r="M349" s="18" t="s">
        <v>1445</v>
      </c>
      <c r="N349" s="18" t="s">
        <v>1446</v>
      </c>
      <c r="O349" s="18" t="s">
        <v>7</v>
      </c>
      <c r="P349" s="18" t="s">
        <v>7</v>
      </c>
      <c r="Q349" s="18" t="s">
        <v>112</v>
      </c>
      <c r="R349" s="19">
        <v>45656</v>
      </c>
      <c r="S349" s="20">
        <v>45809</v>
      </c>
      <c r="T349" s="20" t="s">
        <v>65</v>
      </c>
      <c r="U349" s="20" t="s">
        <v>613</v>
      </c>
      <c r="V349" s="20"/>
      <c r="W349" s="20"/>
      <c r="X349" s="20" t="s">
        <v>1447</v>
      </c>
    </row>
    <row r="350" spans="2:24" ht="29.1" hidden="1">
      <c r="B350" s="18" t="s">
        <v>1448</v>
      </c>
      <c r="C350" s="18" t="s">
        <v>1449</v>
      </c>
      <c r="D350" s="18" t="s">
        <v>1103</v>
      </c>
      <c r="E350" s="18" t="s">
        <v>38</v>
      </c>
      <c r="F350" s="14">
        <v>1</v>
      </c>
      <c r="G350" s="14" t="s">
        <v>53</v>
      </c>
      <c r="H350" s="26" t="s">
        <v>54</v>
      </c>
      <c r="I350" s="26" t="s">
        <v>55</v>
      </c>
      <c r="J350" s="202"/>
      <c r="K350" s="18" t="s">
        <v>1450</v>
      </c>
      <c r="L350" s="47" t="s">
        <v>6</v>
      </c>
      <c r="M350" s="18" t="s">
        <v>1451</v>
      </c>
      <c r="N350" s="18" t="s">
        <v>1452</v>
      </c>
      <c r="O350" s="18" t="s">
        <v>5</v>
      </c>
      <c r="P350" s="18" t="s">
        <v>3</v>
      </c>
      <c r="Q350" s="18" t="s">
        <v>1240</v>
      </c>
      <c r="R350" s="19"/>
      <c r="S350" s="20"/>
      <c r="T350" s="20" t="s">
        <v>65</v>
      </c>
      <c r="U350" s="20"/>
      <c r="V350" s="20"/>
      <c r="W350" s="20"/>
      <c r="X350" s="20"/>
    </row>
    <row r="351" spans="2:24" ht="80.099999999999994" hidden="1">
      <c r="B351" s="18" t="s">
        <v>1453</v>
      </c>
      <c r="C351" s="18" t="s">
        <v>1454</v>
      </c>
      <c r="D351" s="18" t="s">
        <v>1455</v>
      </c>
      <c r="E351" s="18" t="s">
        <v>781</v>
      </c>
      <c r="F351" s="96"/>
      <c r="G351" s="14" t="s">
        <v>69</v>
      </c>
      <c r="H351" s="26" t="s">
        <v>70</v>
      </c>
      <c r="I351" s="26" t="s">
        <v>40</v>
      </c>
      <c r="J351" s="202"/>
      <c r="K351" s="18" t="s">
        <v>1456</v>
      </c>
      <c r="L351" s="47" t="s">
        <v>4</v>
      </c>
      <c r="M351" s="18" t="s">
        <v>1457</v>
      </c>
      <c r="N351" s="18" t="s">
        <v>1458</v>
      </c>
      <c r="O351" s="96"/>
      <c r="P351" s="96"/>
      <c r="Q351" s="18" t="s">
        <v>685</v>
      </c>
      <c r="R351" s="19">
        <v>45870</v>
      </c>
      <c r="S351" s="18"/>
      <c r="T351" s="18" t="s">
        <v>65</v>
      </c>
      <c r="U351" s="20" t="s">
        <v>1459</v>
      </c>
      <c r="V351" s="108"/>
      <c r="W351" s="18"/>
      <c r="X351" s="18"/>
    </row>
    <row r="352" spans="2:24" ht="144" hidden="1">
      <c r="B352" s="18" t="s">
        <v>1460</v>
      </c>
      <c r="C352" s="18" t="s">
        <v>1461</v>
      </c>
      <c r="D352" s="18" t="s">
        <v>1462</v>
      </c>
      <c r="E352" s="18" t="s">
        <v>191</v>
      </c>
      <c r="F352" s="14">
        <v>1</v>
      </c>
      <c r="G352" s="14" t="s">
        <v>69</v>
      </c>
      <c r="H352" s="26" t="s">
        <v>128</v>
      </c>
      <c r="I352" s="26" t="s">
        <v>203</v>
      </c>
      <c r="J352" s="202">
        <v>45656</v>
      </c>
      <c r="K352" s="16" t="s">
        <v>1463</v>
      </c>
      <c r="L352" s="47" t="s">
        <v>4</v>
      </c>
      <c r="M352" s="16" t="s">
        <v>1464</v>
      </c>
      <c r="N352" s="120" t="s">
        <v>1465</v>
      </c>
      <c r="O352" s="18" t="s">
        <v>3</v>
      </c>
      <c r="P352" s="18" t="s">
        <v>3</v>
      </c>
      <c r="Q352" s="18" t="s">
        <v>953</v>
      </c>
      <c r="R352" s="19">
        <v>45904</v>
      </c>
      <c r="S352" s="20">
        <v>45960</v>
      </c>
      <c r="T352" s="20" t="s">
        <v>352</v>
      </c>
      <c r="U352" s="20" t="s">
        <v>973</v>
      </c>
      <c r="V352" s="20" t="s">
        <v>1466</v>
      </c>
      <c r="W352" s="20" t="s">
        <v>1467</v>
      </c>
      <c r="X352" s="20" t="s">
        <v>1468</v>
      </c>
    </row>
    <row r="353" spans="2:29" ht="57.95" hidden="1">
      <c r="B353" s="18" t="s">
        <v>1460</v>
      </c>
      <c r="C353" s="18" t="s">
        <v>1461</v>
      </c>
      <c r="D353" s="18" t="s">
        <v>1462</v>
      </c>
      <c r="E353" s="18" t="s">
        <v>191</v>
      </c>
      <c r="F353" s="14">
        <v>2</v>
      </c>
      <c r="G353" s="14" t="s">
        <v>53</v>
      </c>
      <c r="H353" s="26" t="s">
        <v>54</v>
      </c>
      <c r="I353" s="26" t="s">
        <v>203</v>
      </c>
      <c r="J353" s="202">
        <v>45623</v>
      </c>
      <c r="K353" s="16" t="s">
        <v>1469</v>
      </c>
      <c r="L353" s="47" t="s">
        <v>8</v>
      </c>
      <c r="M353" s="16" t="s">
        <v>1470</v>
      </c>
      <c r="N353" s="16" t="s">
        <v>1471</v>
      </c>
      <c r="O353" s="18" t="s">
        <v>3</v>
      </c>
      <c r="P353" s="18" t="s">
        <v>3</v>
      </c>
      <c r="Q353" s="18" t="s">
        <v>1472</v>
      </c>
      <c r="R353" s="19"/>
      <c r="S353" s="20">
        <v>45882</v>
      </c>
      <c r="T353" s="20" t="s">
        <v>45</v>
      </c>
      <c r="U353" s="20" t="s">
        <v>1473</v>
      </c>
      <c r="V353" s="20"/>
      <c r="W353" s="20"/>
      <c r="X353" s="20"/>
    </row>
    <row r="354" spans="2:29" ht="186" hidden="1" customHeight="1">
      <c r="B354" s="18" t="s">
        <v>1460</v>
      </c>
      <c r="C354" s="18" t="s">
        <v>1461</v>
      </c>
      <c r="D354" s="18" t="s">
        <v>1462</v>
      </c>
      <c r="E354" s="18" t="s">
        <v>191</v>
      </c>
      <c r="F354" s="14">
        <v>3</v>
      </c>
      <c r="G354" s="14" t="s">
        <v>69</v>
      </c>
      <c r="H354" s="26" t="s">
        <v>1474</v>
      </c>
      <c r="I354" s="26" t="s">
        <v>115</v>
      </c>
      <c r="J354" s="202">
        <v>45651</v>
      </c>
      <c r="K354" s="16" t="s">
        <v>1475</v>
      </c>
      <c r="L354" s="47" t="s">
        <v>4</v>
      </c>
      <c r="M354" s="16" t="s">
        <v>1476</v>
      </c>
      <c r="N354" s="16" t="s">
        <v>1477</v>
      </c>
      <c r="O354" s="18" t="s">
        <v>3</v>
      </c>
      <c r="P354" s="18" t="s">
        <v>3</v>
      </c>
      <c r="Q354" s="18" t="s">
        <v>1478</v>
      </c>
      <c r="R354" s="19">
        <v>45753</v>
      </c>
      <c r="S354" s="20">
        <v>46173</v>
      </c>
      <c r="T354" s="20" t="s">
        <v>45</v>
      </c>
      <c r="U354" s="20" t="s">
        <v>1479</v>
      </c>
      <c r="V354" s="20" t="s">
        <v>1480</v>
      </c>
      <c r="W354" s="20"/>
      <c r="X354" s="20" t="s">
        <v>1481</v>
      </c>
    </row>
    <row r="355" spans="2:29" ht="115.5" hidden="1" customHeight="1">
      <c r="B355" s="18" t="s">
        <v>1460</v>
      </c>
      <c r="C355" s="18" t="s">
        <v>1461</v>
      </c>
      <c r="D355" s="18" t="s">
        <v>1462</v>
      </c>
      <c r="E355" s="18" t="s">
        <v>191</v>
      </c>
      <c r="F355" s="14">
        <v>4</v>
      </c>
      <c r="G355" s="14" t="s">
        <v>39</v>
      </c>
      <c r="H355" s="26" t="s">
        <v>86</v>
      </c>
      <c r="I355" s="26" t="s">
        <v>86</v>
      </c>
      <c r="J355" s="202"/>
      <c r="K355" s="16" t="s">
        <v>1482</v>
      </c>
      <c r="L355" s="47" t="s">
        <v>4</v>
      </c>
      <c r="M355" s="16" t="s">
        <v>1483</v>
      </c>
      <c r="N355" s="16" t="s">
        <v>1484</v>
      </c>
      <c r="O355" s="18"/>
      <c r="P355" s="18"/>
      <c r="Q355" s="18" t="s">
        <v>988</v>
      </c>
      <c r="R355" s="19"/>
      <c r="S355" s="20">
        <v>46022</v>
      </c>
      <c r="T355" s="20" t="s">
        <v>352</v>
      </c>
      <c r="U355" s="20" t="s">
        <v>1485</v>
      </c>
      <c r="V355" s="20"/>
      <c r="W355" s="20"/>
      <c r="X355" s="20"/>
    </row>
    <row r="356" spans="2:29" ht="156" hidden="1" customHeight="1">
      <c r="B356" s="18" t="s">
        <v>1460</v>
      </c>
      <c r="C356" s="18" t="s">
        <v>1461</v>
      </c>
      <c r="D356" s="18" t="s">
        <v>1462</v>
      </c>
      <c r="E356" s="18" t="s">
        <v>191</v>
      </c>
      <c r="F356" s="14">
        <v>5</v>
      </c>
      <c r="G356" s="14" t="s">
        <v>445</v>
      </c>
      <c r="H356" s="26" t="s">
        <v>54</v>
      </c>
      <c r="I356" s="26" t="s">
        <v>46</v>
      </c>
      <c r="J356" s="202"/>
      <c r="K356" s="16" t="s">
        <v>1486</v>
      </c>
      <c r="L356" s="47" t="s">
        <v>6</v>
      </c>
      <c r="M356" s="16" t="s">
        <v>1487</v>
      </c>
      <c r="N356" s="16" t="s">
        <v>1488</v>
      </c>
      <c r="O356" s="18" t="s">
        <v>3</v>
      </c>
      <c r="P356" s="18" t="s">
        <v>5</v>
      </c>
      <c r="Q356" s="18" t="s">
        <v>59</v>
      </c>
      <c r="R356" s="19"/>
      <c r="S356" s="20">
        <v>46173</v>
      </c>
      <c r="T356" s="20" t="s">
        <v>45</v>
      </c>
      <c r="U356" s="20" t="s">
        <v>1485</v>
      </c>
      <c r="V356" s="20"/>
      <c r="W356" s="20"/>
      <c r="X356" s="20"/>
    </row>
    <row r="357" spans="2:29" ht="41.25" hidden="1" customHeight="1">
      <c r="B357" s="18" t="s">
        <v>1460</v>
      </c>
      <c r="C357" s="18" t="s">
        <v>1461</v>
      </c>
      <c r="D357" s="18" t="s">
        <v>1462</v>
      </c>
      <c r="E357" s="18" t="s">
        <v>191</v>
      </c>
      <c r="F357" s="14">
        <v>6</v>
      </c>
      <c r="G357" s="14" t="s">
        <v>53</v>
      </c>
      <c r="H357" s="26" t="s">
        <v>54</v>
      </c>
      <c r="I357" s="26" t="s">
        <v>46</v>
      </c>
      <c r="J357" s="202">
        <v>45870</v>
      </c>
      <c r="K357" s="16" t="s">
        <v>1489</v>
      </c>
      <c r="L357" s="47" t="s">
        <v>6</v>
      </c>
      <c r="M357" s="16" t="s">
        <v>1490</v>
      </c>
      <c r="N357" s="16" t="s">
        <v>1491</v>
      </c>
      <c r="O357" s="18" t="s">
        <v>3</v>
      </c>
      <c r="P357" s="18" t="s">
        <v>3</v>
      </c>
      <c r="Q357" s="18" t="s">
        <v>286</v>
      </c>
      <c r="R357" s="19"/>
      <c r="S357" s="20">
        <v>45951</v>
      </c>
      <c r="T357" s="20" t="s">
        <v>45</v>
      </c>
      <c r="U357" s="20" t="s">
        <v>33</v>
      </c>
      <c r="V357" s="20"/>
      <c r="W357" s="20"/>
      <c r="X357" s="20"/>
    </row>
    <row r="358" spans="2:29" ht="56.25" hidden="1" customHeight="1">
      <c r="B358" s="18" t="s">
        <v>1460</v>
      </c>
      <c r="C358" s="18" t="s">
        <v>1461</v>
      </c>
      <c r="D358" s="18" t="s">
        <v>1462</v>
      </c>
      <c r="E358" s="18" t="s">
        <v>191</v>
      </c>
      <c r="F358" s="14">
        <v>7</v>
      </c>
      <c r="G358" s="14" t="s">
        <v>53</v>
      </c>
      <c r="H358" s="26" t="s">
        <v>54</v>
      </c>
      <c r="I358" s="26" t="s">
        <v>115</v>
      </c>
      <c r="J358" s="202">
        <v>45614</v>
      </c>
      <c r="K358" s="16" t="s">
        <v>1492</v>
      </c>
      <c r="L358" s="47" t="s">
        <v>8</v>
      </c>
      <c r="M358" s="16" t="s">
        <v>1493</v>
      </c>
      <c r="N358" s="16" t="s">
        <v>1494</v>
      </c>
      <c r="O358" s="18" t="s">
        <v>3</v>
      </c>
      <c r="P358" s="18" t="s">
        <v>3</v>
      </c>
      <c r="Q358" s="18" t="s">
        <v>53</v>
      </c>
      <c r="R358" s="19"/>
      <c r="S358" s="20">
        <v>45894</v>
      </c>
      <c r="T358" s="20" t="s">
        <v>45</v>
      </c>
      <c r="U358" s="20" t="s">
        <v>1473</v>
      </c>
      <c r="V358" s="20"/>
      <c r="W358" s="20"/>
      <c r="X358" s="20"/>
    </row>
    <row r="359" spans="2:29" ht="150.75" hidden="1" customHeight="1">
      <c r="B359" s="18" t="s">
        <v>1460</v>
      </c>
      <c r="C359" s="18" t="s">
        <v>1461</v>
      </c>
      <c r="D359" s="18" t="s">
        <v>1462</v>
      </c>
      <c r="E359" s="18" t="s">
        <v>191</v>
      </c>
      <c r="F359" s="14">
        <v>8</v>
      </c>
      <c r="G359" s="14" t="s">
        <v>53</v>
      </c>
      <c r="H359" s="26" t="s">
        <v>54</v>
      </c>
      <c r="I359" s="26" t="s">
        <v>55</v>
      </c>
      <c r="J359" s="202">
        <v>45703</v>
      </c>
      <c r="K359" s="16" t="s">
        <v>1495</v>
      </c>
      <c r="L359" s="47" t="s">
        <v>8</v>
      </c>
      <c r="M359" s="16" t="s">
        <v>1496</v>
      </c>
      <c r="N359" s="16" t="s">
        <v>1497</v>
      </c>
      <c r="O359" s="18" t="s">
        <v>3</v>
      </c>
      <c r="P359" s="18" t="s">
        <v>3</v>
      </c>
      <c r="Q359" s="18" t="s">
        <v>53</v>
      </c>
      <c r="R359" s="19"/>
      <c r="S359" s="20">
        <v>45950</v>
      </c>
      <c r="T359" s="20" t="s">
        <v>45</v>
      </c>
      <c r="U359" s="20" t="s">
        <v>1498</v>
      </c>
      <c r="V359" s="20"/>
      <c r="W359" s="20"/>
      <c r="X359" s="20"/>
    </row>
    <row r="360" spans="2:29" ht="29.1" hidden="1">
      <c r="B360" s="18" t="s">
        <v>1460</v>
      </c>
      <c r="C360" s="18" t="s">
        <v>1461</v>
      </c>
      <c r="D360" s="18" t="s">
        <v>1462</v>
      </c>
      <c r="E360" s="18" t="s">
        <v>191</v>
      </c>
      <c r="F360" s="14">
        <v>9</v>
      </c>
      <c r="G360" s="14" t="s">
        <v>39</v>
      </c>
      <c r="H360" s="26" t="s">
        <v>1499</v>
      </c>
      <c r="I360" s="26" t="s">
        <v>1365</v>
      </c>
      <c r="J360" s="202"/>
      <c r="K360" s="16" t="s">
        <v>1500</v>
      </c>
      <c r="L360" s="47" t="s">
        <v>6</v>
      </c>
      <c r="M360" s="16" t="s">
        <v>1501</v>
      </c>
      <c r="N360" s="16" t="s">
        <v>1502</v>
      </c>
      <c r="O360" s="18" t="s">
        <v>3</v>
      </c>
      <c r="P360" s="18" t="s">
        <v>5</v>
      </c>
      <c r="Q360" s="18" t="s">
        <v>1503</v>
      </c>
      <c r="R360" s="19"/>
      <c r="S360" s="20">
        <v>45950</v>
      </c>
      <c r="T360" s="20" t="s">
        <v>352</v>
      </c>
      <c r="U360" s="20"/>
      <c r="V360" s="20"/>
      <c r="W360" s="20"/>
      <c r="X360" s="20"/>
    </row>
    <row r="361" spans="2:29" ht="32.1" hidden="1">
      <c r="B361" s="18" t="s">
        <v>1460</v>
      </c>
      <c r="C361" s="18" t="s">
        <v>1461</v>
      </c>
      <c r="D361" s="18" t="s">
        <v>1462</v>
      </c>
      <c r="E361" s="18" t="s">
        <v>191</v>
      </c>
      <c r="F361" s="14">
        <v>10</v>
      </c>
      <c r="G361" s="14" t="s">
        <v>39</v>
      </c>
      <c r="H361" s="26" t="s">
        <v>1</v>
      </c>
      <c r="I361" s="26" t="s">
        <v>153</v>
      </c>
      <c r="J361" s="202"/>
      <c r="K361" s="16" t="s">
        <v>1504</v>
      </c>
      <c r="L361" s="47" t="s">
        <v>6</v>
      </c>
      <c r="M361" s="16" t="s">
        <v>1505</v>
      </c>
      <c r="N361" s="16" t="s">
        <v>1506</v>
      </c>
      <c r="O361" s="18" t="s">
        <v>3</v>
      </c>
      <c r="P361" s="18" t="s">
        <v>3</v>
      </c>
      <c r="Q361" s="18" t="s">
        <v>1</v>
      </c>
      <c r="R361" s="19"/>
      <c r="S361" s="20">
        <v>45911</v>
      </c>
      <c r="T361" s="20" t="s">
        <v>45</v>
      </c>
      <c r="U361" s="20"/>
      <c r="V361" s="20"/>
      <c r="W361" s="20"/>
      <c r="X361" s="20"/>
    </row>
    <row r="362" spans="2:29" ht="90.75" hidden="1" customHeight="1">
      <c r="B362" s="18" t="s">
        <v>1460</v>
      </c>
      <c r="C362" s="18" t="s">
        <v>1461</v>
      </c>
      <c r="D362" s="18" t="s">
        <v>1462</v>
      </c>
      <c r="E362" s="18" t="s">
        <v>191</v>
      </c>
      <c r="F362" s="14">
        <v>11</v>
      </c>
      <c r="G362" s="14" t="s">
        <v>69</v>
      </c>
      <c r="H362" s="26" t="s">
        <v>278</v>
      </c>
      <c r="I362" s="26" t="s">
        <v>40</v>
      </c>
      <c r="J362" s="202">
        <v>45615</v>
      </c>
      <c r="K362" s="16" t="s">
        <v>1507</v>
      </c>
      <c r="L362" s="47" t="s">
        <v>8</v>
      </c>
      <c r="M362" s="16" t="s">
        <v>1508</v>
      </c>
      <c r="N362" s="16" t="s">
        <v>1509</v>
      </c>
      <c r="O362" s="18" t="s">
        <v>3</v>
      </c>
      <c r="P362" s="18" t="s">
        <v>5</v>
      </c>
      <c r="Q362" s="18" t="s">
        <v>795</v>
      </c>
      <c r="R362" s="19">
        <v>45868</v>
      </c>
      <c r="S362" s="20">
        <v>45960</v>
      </c>
      <c r="T362" s="20" t="s">
        <v>45</v>
      </c>
      <c r="U362" s="20" t="s">
        <v>1473</v>
      </c>
      <c r="V362" s="20"/>
      <c r="W362" s="20" t="s">
        <v>1510</v>
      </c>
      <c r="X362" s="20" t="s">
        <v>1511</v>
      </c>
    </row>
    <row r="363" spans="2:29" ht="84.75" hidden="1" customHeight="1">
      <c r="B363" s="18" t="s">
        <v>1460</v>
      </c>
      <c r="C363" s="18" t="s">
        <v>1461</v>
      </c>
      <c r="D363" s="18" t="s">
        <v>1462</v>
      </c>
      <c r="E363" s="18" t="s">
        <v>191</v>
      </c>
      <c r="F363" s="14">
        <v>12</v>
      </c>
      <c r="G363" s="14" t="s">
        <v>39</v>
      </c>
      <c r="H363" s="26" t="s">
        <v>1</v>
      </c>
      <c r="I363" s="26" t="s">
        <v>167</v>
      </c>
      <c r="J363" s="202">
        <v>45595</v>
      </c>
      <c r="K363" s="16" t="s">
        <v>1512</v>
      </c>
      <c r="L363" s="47" t="s">
        <v>8</v>
      </c>
      <c r="M363" s="16" t="s">
        <v>1513</v>
      </c>
      <c r="N363" s="16" t="s">
        <v>1514</v>
      </c>
      <c r="O363" s="18" t="s">
        <v>3</v>
      </c>
      <c r="P363" s="18" t="s">
        <v>5</v>
      </c>
      <c r="Q363" s="18" t="s">
        <v>1515</v>
      </c>
      <c r="R363" s="19"/>
      <c r="S363" s="20"/>
      <c r="T363" s="20" t="s">
        <v>45</v>
      </c>
      <c r="U363" s="20"/>
      <c r="V363" s="20"/>
      <c r="W363" s="20"/>
      <c r="X363" s="20"/>
    </row>
    <row r="364" spans="2:29" ht="80.25" hidden="1" customHeight="1">
      <c r="B364" s="18" t="s">
        <v>1460</v>
      </c>
      <c r="C364" s="18" t="s">
        <v>1461</v>
      </c>
      <c r="D364" s="18" t="s">
        <v>1462</v>
      </c>
      <c r="E364" s="18" t="s">
        <v>191</v>
      </c>
      <c r="F364" s="14">
        <v>13</v>
      </c>
      <c r="G364" s="14" t="s">
        <v>53</v>
      </c>
      <c r="H364" s="26" t="s">
        <v>54</v>
      </c>
      <c r="I364" s="26" t="s">
        <v>153</v>
      </c>
      <c r="J364" s="202">
        <v>45617</v>
      </c>
      <c r="K364" s="16" t="s">
        <v>1516</v>
      </c>
      <c r="L364" s="47" t="s">
        <v>8</v>
      </c>
      <c r="M364" s="16" t="s">
        <v>1517</v>
      </c>
      <c r="N364" s="16" t="s">
        <v>1518</v>
      </c>
      <c r="O364" s="18" t="s">
        <v>3</v>
      </c>
      <c r="P364" s="18" t="s">
        <v>5</v>
      </c>
      <c r="Q364" s="18" t="s">
        <v>53</v>
      </c>
      <c r="R364" s="19"/>
      <c r="S364" s="20">
        <v>45947</v>
      </c>
      <c r="T364" s="20" t="s">
        <v>45</v>
      </c>
      <c r="U364" s="20" t="s">
        <v>1519</v>
      </c>
      <c r="V364" s="20"/>
      <c r="W364" s="20"/>
      <c r="X364" s="20"/>
    </row>
    <row r="365" spans="2:29" ht="71.25" hidden="1" customHeight="1">
      <c r="B365" s="18" t="s">
        <v>1460</v>
      </c>
      <c r="C365" s="18" t="s">
        <v>1461</v>
      </c>
      <c r="D365" s="18" t="s">
        <v>1462</v>
      </c>
      <c r="E365" s="18" t="s">
        <v>191</v>
      </c>
      <c r="F365" s="14">
        <v>14</v>
      </c>
      <c r="G365" s="14" t="s">
        <v>53</v>
      </c>
      <c r="H365" s="26" t="s">
        <v>54</v>
      </c>
      <c r="I365" s="26" t="s">
        <v>153</v>
      </c>
      <c r="J365" s="202">
        <v>45603</v>
      </c>
      <c r="K365" s="16" t="s">
        <v>1520</v>
      </c>
      <c r="L365" s="47" t="s">
        <v>8</v>
      </c>
      <c r="M365" s="16" t="s">
        <v>1521</v>
      </c>
      <c r="N365" s="16" t="s">
        <v>1522</v>
      </c>
      <c r="O365" s="18" t="s">
        <v>3</v>
      </c>
      <c r="P365" s="18" t="s">
        <v>5</v>
      </c>
      <c r="Q365" s="18" t="s">
        <v>53</v>
      </c>
      <c r="R365" s="19"/>
      <c r="S365" s="20"/>
      <c r="T365" s="20" t="s">
        <v>45</v>
      </c>
      <c r="U365" s="20"/>
      <c r="V365" s="20"/>
      <c r="W365" s="20"/>
      <c r="X365" s="20"/>
      <c r="Y365" s="82"/>
      <c r="Z365" s="82"/>
      <c r="AA365" s="82"/>
      <c r="AB365" s="82"/>
      <c r="AC365" s="82"/>
    </row>
    <row r="366" spans="2:29" ht="99.75" hidden="1" customHeight="1">
      <c r="B366" s="18" t="s">
        <v>1460</v>
      </c>
      <c r="C366" s="18" t="s">
        <v>1461</v>
      </c>
      <c r="D366" s="18" t="s">
        <v>1462</v>
      </c>
      <c r="E366" s="18" t="s">
        <v>191</v>
      </c>
      <c r="F366" s="14">
        <v>15</v>
      </c>
      <c r="G366" s="14" t="s">
        <v>53</v>
      </c>
      <c r="H366" s="26" t="s">
        <v>54</v>
      </c>
      <c r="I366" s="26" t="s">
        <v>115</v>
      </c>
      <c r="J366" s="202">
        <v>45588</v>
      </c>
      <c r="K366" s="16" t="s">
        <v>1523</v>
      </c>
      <c r="L366" s="47" t="s">
        <v>8</v>
      </c>
      <c r="M366" s="16" t="s">
        <v>1524</v>
      </c>
      <c r="N366" s="16" t="s">
        <v>1525</v>
      </c>
      <c r="O366" s="18"/>
      <c r="P366" s="18"/>
      <c r="Q366" s="18" t="s">
        <v>53</v>
      </c>
      <c r="R366" s="19"/>
      <c r="S366" s="20"/>
      <c r="T366" s="20" t="s">
        <v>45</v>
      </c>
      <c r="U366" s="20" t="s">
        <v>1473</v>
      </c>
      <c r="V366" s="20"/>
      <c r="W366" s="20"/>
      <c r="X366" s="20"/>
    </row>
    <row r="367" spans="2:29" ht="45.75" hidden="1" customHeight="1">
      <c r="B367" s="18" t="s">
        <v>1460</v>
      </c>
      <c r="C367" s="18" t="s">
        <v>1461</v>
      </c>
      <c r="D367" s="18" t="s">
        <v>1462</v>
      </c>
      <c r="E367" s="18" t="s">
        <v>191</v>
      </c>
      <c r="F367" s="14">
        <v>16</v>
      </c>
      <c r="G367" s="14" t="s">
        <v>53</v>
      </c>
      <c r="H367" s="26" t="s">
        <v>54</v>
      </c>
      <c r="I367" s="26" t="s">
        <v>203</v>
      </c>
      <c r="J367" s="202">
        <v>45587</v>
      </c>
      <c r="K367" s="16" t="s">
        <v>1526</v>
      </c>
      <c r="L367" s="47" t="s">
        <v>9</v>
      </c>
      <c r="M367" s="16" t="s">
        <v>1527</v>
      </c>
      <c r="N367" s="16" t="s">
        <v>1528</v>
      </c>
      <c r="O367" s="18"/>
      <c r="P367" s="18"/>
      <c r="Q367" s="18" t="s">
        <v>59</v>
      </c>
      <c r="R367" s="19"/>
      <c r="S367" s="20">
        <v>45947</v>
      </c>
      <c r="T367" s="20" t="s">
        <v>45</v>
      </c>
      <c r="U367" s="20"/>
      <c r="V367" s="20"/>
      <c r="W367" s="20"/>
      <c r="X367" s="20"/>
    </row>
    <row r="368" spans="2:29" ht="43.5" hidden="1">
      <c r="B368" s="18" t="s">
        <v>1460</v>
      </c>
      <c r="C368" s="18" t="s">
        <v>1461</v>
      </c>
      <c r="D368" s="18" t="s">
        <v>1462</v>
      </c>
      <c r="E368" s="18" t="s">
        <v>191</v>
      </c>
      <c r="F368" s="14">
        <v>17</v>
      </c>
      <c r="G368" s="14" t="s">
        <v>53</v>
      </c>
      <c r="H368" s="26" t="s">
        <v>54</v>
      </c>
      <c r="I368" s="26" t="s">
        <v>115</v>
      </c>
      <c r="J368" s="202"/>
      <c r="K368" s="16" t="s">
        <v>1529</v>
      </c>
      <c r="L368" s="47" t="s">
        <v>4</v>
      </c>
      <c r="M368" s="16" t="s">
        <v>1530</v>
      </c>
      <c r="N368" s="16" t="s">
        <v>1531</v>
      </c>
      <c r="O368" s="18" t="s">
        <v>3</v>
      </c>
      <c r="P368" s="18" t="s">
        <v>3</v>
      </c>
      <c r="Q368" s="18" t="s">
        <v>59</v>
      </c>
      <c r="R368" s="19"/>
      <c r="S368" s="20"/>
      <c r="T368" s="20" t="s">
        <v>45</v>
      </c>
      <c r="U368" s="20"/>
      <c r="V368" s="20"/>
      <c r="W368" s="20"/>
      <c r="X368" s="20"/>
    </row>
    <row r="369" spans="2:24" ht="63" hidden="1" customHeight="1">
      <c r="B369" s="18" t="s">
        <v>1460</v>
      </c>
      <c r="C369" s="18" t="s">
        <v>1461</v>
      </c>
      <c r="D369" s="18" t="s">
        <v>1462</v>
      </c>
      <c r="E369" s="18" t="s">
        <v>191</v>
      </c>
      <c r="F369" s="14">
        <v>18</v>
      </c>
      <c r="G369" s="14" t="s">
        <v>39</v>
      </c>
      <c r="H369" s="26" t="s">
        <v>0</v>
      </c>
      <c r="I369" s="26" t="s">
        <v>207</v>
      </c>
      <c r="J369" s="202"/>
      <c r="K369" s="16" t="s">
        <v>1532</v>
      </c>
      <c r="L369" s="47" t="s">
        <v>6</v>
      </c>
      <c r="M369" s="16" t="s">
        <v>1533</v>
      </c>
      <c r="N369" s="16" t="s">
        <v>1534</v>
      </c>
      <c r="O369" s="18"/>
      <c r="P369" s="18"/>
      <c r="Q369" s="18" t="s">
        <v>59</v>
      </c>
      <c r="R369" s="19"/>
      <c r="S369" s="20">
        <v>45960</v>
      </c>
      <c r="T369" s="20" t="s">
        <v>352</v>
      </c>
      <c r="U369" s="20" t="s">
        <v>1287</v>
      </c>
      <c r="V369" s="20"/>
      <c r="W369" s="20"/>
      <c r="X369" s="20"/>
    </row>
    <row r="370" spans="2:24" ht="63" hidden="1" customHeight="1">
      <c r="B370" s="18" t="s">
        <v>1460</v>
      </c>
      <c r="C370" s="18" t="s">
        <v>1535</v>
      </c>
      <c r="D370" s="18" t="s">
        <v>1536</v>
      </c>
      <c r="E370" s="18" t="s">
        <v>191</v>
      </c>
      <c r="F370" s="14">
        <v>19</v>
      </c>
      <c r="G370" s="14" t="s">
        <v>69</v>
      </c>
      <c r="H370" s="26" t="s">
        <v>128</v>
      </c>
      <c r="I370" s="26" t="s">
        <v>40</v>
      </c>
      <c r="J370" s="202"/>
      <c r="K370" s="16" t="s">
        <v>1537</v>
      </c>
      <c r="L370" s="47" t="s">
        <v>6</v>
      </c>
      <c r="M370" s="16" t="s">
        <v>1538</v>
      </c>
      <c r="N370" s="16" t="s">
        <v>1539</v>
      </c>
      <c r="O370" s="18" t="s">
        <v>3</v>
      </c>
      <c r="P370" s="18" t="s">
        <v>3</v>
      </c>
      <c r="Q370" s="18" t="s">
        <v>59</v>
      </c>
      <c r="R370" s="19">
        <v>46037</v>
      </c>
      <c r="S370" s="20">
        <v>46068</v>
      </c>
      <c r="T370" s="20" t="s">
        <v>352</v>
      </c>
      <c r="U370" s="20" t="s">
        <v>1540</v>
      </c>
      <c r="V370" s="20"/>
      <c r="W370" s="20"/>
      <c r="X370" s="20"/>
    </row>
    <row r="371" spans="2:24" ht="63" hidden="1" customHeight="1">
      <c r="B371" s="18" t="s">
        <v>1460</v>
      </c>
      <c r="C371" s="18" t="s">
        <v>1535</v>
      </c>
      <c r="D371" s="18" t="s">
        <v>1536</v>
      </c>
      <c r="E371" s="18" t="s">
        <v>191</v>
      </c>
      <c r="F371" s="14">
        <v>20</v>
      </c>
      <c r="G371" s="14" t="s">
        <v>69</v>
      </c>
      <c r="H371" s="26" t="s">
        <v>278</v>
      </c>
      <c r="I371" s="26" t="s">
        <v>40</v>
      </c>
      <c r="J371" s="202"/>
      <c r="K371" s="16" t="s">
        <v>1541</v>
      </c>
      <c r="L371" s="47" t="s">
        <v>4</v>
      </c>
      <c r="M371" s="16" t="s">
        <v>1542</v>
      </c>
      <c r="N371" s="16" t="s">
        <v>1543</v>
      </c>
      <c r="O371" s="18" t="s">
        <v>3</v>
      </c>
      <c r="P371" s="18" t="s">
        <v>3</v>
      </c>
      <c r="Q371" s="18" t="s">
        <v>59</v>
      </c>
      <c r="R371" s="19">
        <v>46006</v>
      </c>
      <c r="S371" s="20">
        <v>46201</v>
      </c>
      <c r="T371" s="20" t="s">
        <v>352</v>
      </c>
      <c r="U371" s="20" t="s">
        <v>1544</v>
      </c>
      <c r="V371" s="20"/>
      <c r="W371" s="20"/>
      <c r="X371" s="20"/>
    </row>
    <row r="372" spans="2:24" ht="63" hidden="1" customHeight="1">
      <c r="B372" s="18" t="s">
        <v>1460</v>
      </c>
      <c r="C372" s="18" t="s">
        <v>1535</v>
      </c>
      <c r="D372" s="18" t="s">
        <v>1536</v>
      </c>
      <c r="E372" s="18" t="s">
        <v>191</v>
      </c>
      <c r="F372" s="14">
        <v>21</v>
      </c>
      <c r="G372" s="14" t="s">
        <v>69</v>
      </c>
      <c r="H372" s="26" t="s">
        <v>128</v>
      </c>
      <c r="I372" s="26" t="s">
        <v>40</v>
      </c>
      <c r="J372" s="202"/>
      <c r="K372" s="16" t="s">
        <v>1545</v>
      </c>
      <c r="L372" s="47" t="s">
        <v>4</v>
      </c>
      <c r="M372" s="16" t="s">
        <v>1546</v>
      </c>
      <c r="N372" s="16" t="s">
        <v>1547</v>
      </c>
      <c r="O372" s="18" t="s">
        <v>3</v>
      </c>
      <c r="P372" s="18" t="s">
        <v>3</v>
      </c>
      <c r="Q372" s="18" t="s">
        <v>59</v>
      </c>
      <c r="R372" s="19">
        <v>46265</v>
      </c>
      <c r="S372" s="20">
        <v>46265</v>
      </c>
      <c r="T372" s="20" t="s">
        <v>65</v>
      </c>
      <c r="U372" s="20"/>
      <c r="V372" s="20"/>
      <c r="W372" s="20"/>
      <c r="X372" s="20"/>
    </row>
    <row r="373" spans="2:24" ht="63" hidden="1" customHeight="1">
      <c r="B373" s="18" t="s">
        <v>1460</v>
      </c>
      <c r="C373" s="18" t="s">
        <v>1535</v>
      </c>
      <c r="D373" s="18" t="s">
        <v>1536</v>
      </c>
      <c r="E373" s="18" t="s">
        <v>191</v>
      </c>
      <c r="F373" s="14">
        <v>22</v>
      </c>
      <c r="G373" s="14" t="s">
        <v>69</v>
      </c>
      <c r="H373" s="26" t="s">
        <v>1548</v>
      </c>
      <c r="I373" s="26" t="s">
        <v>40</v>
      </c>
      <c r="J373" s="202"/>
      <c r="K373" s="16" t="s">
        <v>1549</v>
      </c>
      <c r="L373" s="47" t="s">
        <v>4</v>
      </c>
      <c r="M373" s="16" t="s">
        <v>1546</v>
      </c>
      <c r="N373" s="35" t="s">
        <v>1550</v>
      </c>
      <c r="O373" s="18" t="s">
        <v>3</v>
      </c>
      <c r="P373" s="18" t="s">
        <v>3</v>
      </c>
      <c r="Q373" s="18" t="s">
        <v>59</v>
      </c>
      <c r="R373" s="19">
        <v>46265</v>
      </c>
      <c r="S373" s="19">
        <v>46265</v>
      </c>
      <c r="T373" s="20" t="s">
        <v>65</v>
      </c>
      <c r="U373" s="20"/>
      <c r="V373" s="20"/>
      <c r="W373" s="20"/>
      <c r="X373" s="20"/>
    </row>
    <row r="374" spans="2:24" ht="63" hidden="1" customHeight="1">
      <c r="B374" s="18" t="s">
        <v>1460</v>
      </c>
      <c r="C374" s="18" t="s">
        <v>1535</v>
      </c>
      <c r="D374" s="18" t="s">
        <v>1536</v>
      </c>
      <c r="E374" s="18" t="s">
        <v>191</v>
      </c>
      <c r="F374" s="14">
        <v>23</v>
      </c>
      <c r="G374" s="14" t="s">
        <v>39</v>
      </c>
      <c r="H374" s="26" t="s">
        <v>86</v>
      </c>
      <c r="I374" s="26" t="s">
        <v>153</v>
      </c>
      <c r="J374" s="202"/>
      <c r="K374" s="16" t="s">
        <v>1551</v>
      </c>
      <c r="L374" s="47" t="s">
        <v>4</v>
      </c>
      <c r="M374" s="16" t="s">
        <v>1552</v>
      </c>
      <c r="N374" s="16" t="s">
        <v>1553</v>
      </c>
      <c r="O374" s="18" t="s">
        <v>3</v>
      </c>
      <c r="P374" s="18" t="s">
        <v>3</v>
      </c>
      <c r="Q374" s="18" t="s">
        <v>59</v>
      </c>
      <c r="R374" s="19">
        <v>46265</v>
      </c>
      <c r="S374" s="19">
        <v>46265</v>
      </c>
      <c r="T374" s="20" t="s">
        <v>65</v>
      </c>
      <c r="U374" s="20"/>
      <c r="V374" s="20"/>
      <c r="W374" s="20"/>
      <c r="X374" s="20"/>
    </row>
    <row r="375" spans="2:24" ht="63" hidden="1" customHeight="1">
      <c r="B375" s="18" t="s">
        <v>1460</v>
      </c>
      <c r="C375" s="18" t="s">
        <v>1535</v>
      </c>
      <c r="D375" s="18" t="s">
        <v>1536</v>
      </c>
      <c r="E375" s="18" t="s">
        <v>191</v>
      </c>
      <c r="F375" s="14">
        <v>24</v>
      </c>
      <c r="G375" s="14" t="s">
        <v>69</v>
      </c>
      <c r="H375" s="26" t="s">
        <v>1554</v>
      </c>
      <c r="I375" s="26" t="s">
        <v>40</v>
      </c>
      <c r="J375" s="202"/>
      <c r="K375" s="16" t="s">
        <v>1555</v>
      </c>
      <c r="L375" s="47" t="s">
        <v>4</v>
      </c>
      <c r="M375" s="16" t="s">
        <v>1546</v>
      </c>
      <c r="N375" s="16" t="s">
        <v>1556</v>
      </c>
      <c r="O375" s="18" t="s">
        <v>3</v>
      </c>
      <c r="P375" s="18" t="s">
        <v>3</v>
      </c>
      <c r="Q375" s="18" t="s">
        <v>59</v>
      </c>
      <c r="R375" s="19">
        <v>46265</v>
      </c>
      <c r="S375" s="19">
        <v>46265</v>
      </c>
      <c r="T375" s="20" t="s">
        <v>65</v>
      </c>
      <c r="U375" s="20"/>
      <c r="V375" s="20"/>
      <c r="W375" s="20"/>
      <c r="X375" s="20"/>
    </row>
    <row r="376" spans="2:24" ht="15.95" hidden="1">
      <c r="B376" s="18" t="s">
        <v>1557</v>
      </c>
      <c r="C376" s="18" t="s">
        <v>1558</v>
      </c>
      <c r="D376" s="72" t="s">
        <v>499</v>
      </c>
      <c r="E376" s="18" t="s">
        <v>38</v>
      </c>
      <c r="F376" s="14">
        <v>1</v>
      </c>
      <c r="G376" s="14" t="s">
        <v>69</v>
      </c>
      <c r="H376" s="26" t="s">
        <v>128</v>
      </c>
      <c r="I376" s="26" t="s">
        <v>167</v>
      </c>
      <c r="J376" s="202"/>
      <c r="K376" s="18" t="s">
        <v>1437</v>
      </c>
      <c r="L376" s="47" t="s">
        <v>6</v>
      </c>
      <c r="M376" s="18"/>
      <c r="N376" s="18" t="s">
        <v>1559</v>
      </c>
      <c r="O376" s="18" t="s">
        <v>7</v>
      </c>
      <c r="P376" s="18" t="s">
        <v>7</v>
      </c>
      <c r="Q376" s="18" t="s">
        <v>99</v>
      </c>
      <c r="R376" s="19">
        <v>45716</v>
      </c>
      <c r="S376" s="20">
        <v>45736</v>
      </c>
      <c r="T376" s="63" t="s">
        <v>45</v>
      </c>
      <c r="U376" s="20"/>
      <c r="V376" s="20"/>
      <c r="W376" s="20"/>
      <c r="X376" s="20"/>
    </row>
    <row r="377" spans="2:24" ht="43.5" hidden="1">
      <c r="B377" s="18" t="s">
        <v>1557</v>
      </c>
      <c r="C377" s="18" t="s">
        <v>1558</v>
      </c>
      <c r="D377" s="72" t="s">
        <v>499</v>
      </c>
      <c r="E377" s="18" t="s">
        <v>38</v>
      </c>
      <c r="F377" s="14">
        <v>2</v>
      </c>
      <c r="G377" s="14" t="s">
        <v>53</v>
      </c>
      <c r="H377" s="26" t="s">
        <v>54</v>
      </c>
      <c r="I377" s="26" t="s">
        <v>55</v>
      </c>
      <c r="J377" s="202"/>
      <c r="K377" s="18" t="s">
        <v>1560</v>
      </c>
      <c r="L377" s="47" t="s">
        <v>4</v>
      </c>
      <c r="M377" s="18" t="s">
        <v>1445</v>
      </c>
      <c r="N377" s="18" t="s">
        <v>1446</v>
      </c>
      <c r="O377" s="18" t="s">
        <v>7</v>
      </c>
      <c r="P377" s="18" t="s">
        <v>7</v>
      </c>
      <c r="Q377" s="18" t="s">
        <v>112</v>
      </c>
      <c r="R377" s="19">
        <v>45656</v>
      </c>
      <c r="S377" s="20">
        <v>45809</v>
      </c>
      <c r="T377" s="20" t="s">
        <v>65</v>
      </c>
      <c r="U377" s="20" t="s">
        <v>613</v>
      </c>
      <c r="V377" s="20"/>
      <c r="W377" s="20"/>
      <c r="X377" s="20"/>
    </row>
    <row r="378" spans="2:24" ht="43.5" hidden="1">
      <c r="B378" s="18" t="s">
        <v>1561</v>
      </c>
      <c r="C378" s="18" t="s">
        <v>1562</v>
      </c>
      <c r="D378" s="123" t="s">
        <v>1563</v>
      </c>
      <c r="E378" s="18" t="s">
        <v>38</v>
      </c>
      <c r="F378" s="14">
        <v>1</v>
      </c>
      <c r="G378" s="14" t="s">
        <v>39</v>
      </c>
      <c r="H378" s="26" t="s">
        <v>86</v>
      </c>
      <c r="I378" s="26" t="s">
        <v>81</v>
      </c>
      <c r="J378" s="202"/>
      <c r="K378" s="151" t="s">
        <v>1564</v>
      </c>
      <c r="L378" s="47" t="s">
        <v>4</v>
      </c>
      <c r="M378" s="152" t="s">
        <v>1565</v>
      </c>
      <c r="N378" s="152" t="s">
        <v>1566</v>
      </c>
      <c r="O378" s="18" t="s">
        <v>3</v>
      </c>
      <c r="P378" s="18" t="s">
        <v>3</v>
      </c>
      <c r="Q378" s="18" t="s">
        <v>1567</v>
      </c>
      <c r="R378" s="19"/>
      <c r="S378" s="20"/>
      <c r="T378" s="20" t="s">
        <v>65</v>
      </c>
      <c r="U378" s="20"/>
      <c r="V378" s="20"/>
      <c r="W378" s="20"/>
      <c r="X378" s="20"/>
    </row>
    <row r="379" spans="2:24" ht="29.1" hidden="1">
      <c r="B379" s="18" t="s">
        <v>1561</v>
      </c>
      <c r="C379" s="18" t="s">
        <v>1562</v>
      </c>
      <c r="D379" s="123" t="s">
        <v>1563</v>
      </c>
      <c r="E379" s="18" t="s">
        <v>38</v>
      </c>
      <c r="F379" s="14">
        <v>2</v>
      </c>
      <c r="G379" s="14" t="s">
        <v>39</v>
      </c>
      <c r="H379" s="26" t="s">
        <v>86</v>
      </c>
      <c r="I379" s="26" t="s">
        <v>86</v>
      </c>
      <c r="J379" s="202"/>
      <c r="K379" s="157" t="s">
        <v>1568</v>
      </c>
      <c r="L379" s="47" t="s">
        <v>8</v>
      </c>
      <c r="M379" s="152" t="s">
        <v>1569</v>
      </c>
      <c r="N379" s="154" t="s">
        <v>1570</v>
      </c>
      <c r="O379" s="18" t="s">
        <v>5</v>
      </c>
      <c r="P379" s="18" t="s">
        <v>5</v>
      </c>
      <c r="Q379" s="18" t="s">
        <v>39</v>
      </c>
      <c r="R379" s="19"/>
      <c r="S379" s="20"/>
      <c r="T379" s="20" t="s">
        <v>65</v>
      </c>
      <c r="U379" s="20"/>
      <c r="V379" s="20"/>
      <c r="W379" s="20"/>
      <c r="X379" s="20"/>
    </row>
    <row r="380" spans="2:24" ht="43.5" hidden="1">
      <c r="B380" s="18" t="s">
        <v>1561</v>
      </c>
      <c r="C380" s="18" t="s">
        <v>1562</v>
      </c>
      <c r="D380" s="123" t="s">
        <v>1563</v>
      </c>
      <c r="E380" s="18" t="s">
        <v>38</v>
      </c>
      <c r="F380" s="14">
        <v>3</v>
      </c>
      <c r="G380" s="14" t="s">
        <v>53</v>
      </c>
      <c r="H380" s="26" t="s">
        <v>1571</v>
      </c>
      <c r="I380" s="26" t="s">
        <v>203</v>
      </c>
      <c r="J380" s="202"/>
      <c r="K380" s="151" t="s">
        <v>1572</v>
      </c>
      <c r="L380" s="47" t="s">
        <v>6</v>
      </c>
      <c r="M380" s="152" t="s">
        <v>1573</v>
      </c>
      <c r="N380" s="152" t="s">
        <v>1574</v>
      </c>
      <c r="O380" s="18" t="s">
        <v>3</v>
      </c>
      <c r="P380" s="18" t="s">
        <v>3</v>
      </c>
      <c r="Q380" s="18" t="s">
        <v>39</v>
      </c>
      <c r="R380" s="19"/>
      <c r="S380" s="20"/>
      <c r="T380" s="20" t="s">
        <v>65</v>
      </c>
      <c r="U380" s="20"/>
      <c r="V380" s="20"/>
      <c r="W380" s="20"/>
      <c r="X380" s="20"/>
    </row>
    <row r="381" spans="2:24" ht="29.1" hidden="1">
      <c r="B381" s="18" t="s">
        <v>1561</v>
      </c>
      <c r="C381" s="18" t="s">
        <v>1562</v>
      </c>
      <c r="D381" s="123" t="s">
        <v>1563</v>
      </c>
      <c r="E381" s="18" t="s">
        <v>38</v>
      </c>
      <c r="F381" s="14">
        <v>4</v>
      </c>
      <c r="G381" s="14" t="s">
        <v>69</v>
      </c>
      <c r="H381" s="26" t="s">
        <v>1575</v>
      </c>
      <c r="I381" s="26" t="s">
        <v>207</v>
      </c>
      <c r="J381" s="202"/>
      <c r="K381" s="157" t="s">
        <v>1576</v>
      </c>
      <c r="L381" s="47" t="s">
        <v>4</v>
      </c>
      <c r="M381" s="152" t="s">
        <v>1577</v>
      </c>
      <c r="N381" s="153" t="s">
        <v>1578</v>
      </c>
      <c r="O381" s="18" t="s">
        <v>3</v>
      </c>
      <c r="P381" s="18" t="s">
        <v>3</v>
      </c>
      <c r="Q381" s="18" t="s">
        <v>39</v>
      </c>
      <c r="R381" s="19"/>
      <c r="S381" s="20"/>
      <c r="T381" s="20" t="s">
        <v>65</v>
      </c>
      <c r="U381" s="20"/>
      <c r="V381" s="20"/>
      <c r="W381" s="20"/>
      <c r="X381" s="20"/>
    </row>
    <row r="382" spans="2:24" ht="29.1" hidden="1">
      <c r="B382" s="18" t="s">
        <v>1561</v>
      </c>
      <c r="C382" s="18" t="s">
        <v>1562</v>
      </c>
      <c r="D382" s="123" t="s">
        <v>1563</v>
      </c>
      <c r="E382" s="18" t="s">
        <v>38</v>
      </c>
      <c r="F382" s="14">
        <v>5</v>
      </c>
      <c r="G382" s="14" t="s">
        <v>39</v>
      </c>
      <c r="H382" s="26" t="s">
        <v>86</v>
      </c>
      <c r="I382" s="26" t="s">
        <v>86</v>
      </c>
      <c r="J382" s="202"/>
      <c r="K382" s="151" t="s">
        <v>1579</v>
      </c>
      <c r="L382" s="47" t="s">
        <v>6</v>
      </c>
      <c r="M382" s="153" t="s">
        <v>1580</v>
      </c>
      <c r="N382" s="153"/>
      <c r="O382" s="18" t="s">
        <v>3</v>
      </c>
      <c r="P382" s="18" t="s">
        <v>3</v>
      </c>
      <c r="Q382" s="18" t="s">
        <v>39</v>
      </c>
      <c r="R382" s="19"/>
      <c r="S382" s="20"/>
      <c r="T382" s="20" t="s">
        <v>65</v>
      </c>
      <c r="U382" s="20"/>
      <c r="V382" s="20"/>
      <c r="W382" s="20"/>
      <c r="X382" s="20"/>
    </row>
    <row r="383" spans="2:24" ht="32.1" hidden="1">
      <c r="B383" s="18" t="s">
        <v>1581</v>
      </c>
      <c r="C383" s="18" t="s">
        <v>1562</v>
      </c>
      <c r="D383" s="123" t="s">
        <v>1563</v>
      </c>
      <c r="E383" s="18" t="s">
        <v>38</v>
      </c>
      <c r="F383" s="14">
        <v>2</v>
      </c>
      <c r="G383" s="14" t="s">
        <v>53</v>
      </c>
      <c r="H383" s="26" t="s">
        <v>54</v>
      </c>
      <c r="I383" s="26" t="s">
        <v>115</v>
      </c>
      <c r="J383" s="202"/>
      <c r="K383" s="18" t="s">
        <v>1582</v>
      </c>
      <c r="L383" s="47" t="s">
        <v>4</v>
      </c>
      <c r="M383" s="18" t="s">
        <v>1583</v>
      </c>
      <c r="N383" s="18" t="s">
        <v>1584</v>
      </c>
      <c r="O383" s="18" t="s">
        <v>3</v>
      </c>
      <c r="P383" s="18" t="s">
        <v>3</v>
      </c>
      <c r="Q383" s="18" t="s">
        <v>53</v>
      </c>
      <c r="R383" s="19"/>
      <c r="S383" s="20"/>
      <c r="T383" s="52" t="s">
        <v>45</v>
      </c>
      <c r="U383" s="20"/>
      <c r="V383" s="20"/>
      <c r="W383" s="20"/>
      <c r="X383" s="20"/>
    </row>
    <row r="384" spans="2:24" ht="29.1" hidden="1">
      <c r="B384" s="18" t="s">
        <v>1585</v>
      </c>
      <c r="C384" s="18" t="s">
        <v>1562</v>
      </c>
      <c r="D384" s="76" t="s">
        <v>1563</v>
      </c>
      <c r="E384" s="18" t="s">
        <v>38</v>
      </c>
      <c r="F384" s="14">
        <v>1</v>
      </c>
      <c r="G384" s="14" t="s">
        <v>39</v>
      </c>
      <c r="H384" s="26" t="s">
        <v>86</v>
      </c>
      <c r="I384" s="26" t="s">
        <v>81</v>
      </c>
      <c r="J384" s="202"/>
      <c r="K384" s="151" t="s">
        <v>1586</v>
      </c>
      <c r="L384" s="47" t="s">
        <v>6</v>
      </c>
      <c r="M384" s="152" t="s">
        <v>1587</v>
      </c>
      <c r="N384" s="152" t="s">
        <v>1588</v>
      </c>
      <c r="O384" s="18" t="s">
        <v>3</v>
      </c>
      <c r="P384" s="18" t="s">
        <v>3</v>
      </c>
      <c r="Q384" s="18" t="s">
        <v>1567</v>
      </c>
      <c r="R384" s="19"/>
      <c r="S384" s="20"/>
      <c r="T384" s="20" t="s">
        <v>45</v>
      </c>
      <c r="U384" s="20"/>
      <c r="V384" s="20"/>
      <c r="W384" s="20"/>
      <c r="X384" s="20"/>
    </row>
    <row r="385" spans="2:24" ht="32.1" hidden="1">
      <c r="B385" s="18" t="s">
        <v>1585</v>
      </c>
      <c r="C385" s="18" t="s">
        <v>1562</v>
      </c>
      <c r="D385" s="76" t="s">
        <v>1563</v>
      </c>
      <c r="E385" s="18" t="s">
        <v>38</v>
      </c>
      <c r="F385" s="14">
        <v>2</v>
      </c>
      <c r="G385" s="14" t="s">
        <v>53</v>
      </c>
      <c r="H385" s="26" t="s">
        <v>1571</v>
      </c>
      <c r="I385" s="26" t="s">
        <v>153</v>
      </c>
      <c r="J385" s="202"/>
      <c r="K385" s="16" t="s">
        <v>1589</v>
      </c>
      <c r="L385" s="47" t="s">
        <v>6</v>
      </c>
      <c r="M385" s="18"/>
      <c r="N385" s="18"/>
      <c r="O385" s="18" t="s">
        <v>3</v>
      </c>
      <c r="P385" s="18" t="s">
        <v>3</v>
      </c>
      <c r="Q385" s="18" t="s">
        <v>1567</v>
      </c>
      <c r="R385" s="19"/>
      <c r="S385" s="20"/>
      <c r="T385" s="20" t="s">
        <v>65</v>
      </c>
      <c r="U385" s="20"/>
      <c r="V385" s="20"/>
      <c r="W385" s="20"/>
      <c r="X385" s="20"/>
    </row>
    <row r="386" spans="2:24" ht="29.1" hidden="1">
      <c r="B386" s="18" t="s">
        <v>1585</v>
      </c>
      <c r="C386" s="18" t="s">
        <v>1562</v>
      </c>
      <c r="D386" s="76" t="s">
        <v>1563</v>
      </c>
      <c r="E386" s="18" t="s">
        <v>38</v>
      </c>
      <c r="F386" s="14">
        <v>3</v>
      </c>
      <c r="G386" s="14" t="s">
        <v>39</v>
      </c>
      <c r="H386" s="26" t="s">
        <v>86</v>
      </c>
      <c r="I386" s="26" t="s">
        <v>81</v>
      </c>
      <c r="J386" s="202"/>
      <c r="K386" s="16" t="s">
        <v>1590</v>
      </c>
      <c r="L386" s="47" t="s">
        <v>4</v>
      </c>
      <c r="M386" s="18" t="s">
        <v>1591</v>
      </c>
      <c r="N386" s="18"/>
      <c r="O386" s="18" t="s">
        <v>3</v>
      </c>
      <c r="P386" s="18" t="s">
        <v>3</v>
      </c>
      <c r="Q386" s="18" t="s">
        <v>39</v>
      </c>
      <c r="R386" s="19"/>
      <c r="S386" s="20"/>
      <c r="T386" s="20" t="s">
        <v>65</v>
      </c>
      <c r="U386" s="20"/>
      <c r="V386" s="20"/>
      <c r="W386" s="20"/>
      <c r="X386" s="20"/>
    </row>
    <row r="387" spans="2:24" ht="29.1" hidden="1">
      <c r="B387" s="18" t="s">
        <v>1581</v>
      </c>
      <c r="C387" s="18" t="s">
        <v>1562</v>
      </c>
      <c r="D387" s="123" t="s">
        <v>1563</v>
      </c>
      <c r="E387" s="18" t="s">
        <v>38</v>
      </c>
      <c r="F387" s="14">
        <v>4</v>
      </c>
      <c r="G387" s="14" t="s">
        <v>53</v>
      </c>
      <c r="H387" s="26" t="s">
        <v>54</v>
      </c>
      <c r="I387" s="26" t="s">
        <v>55</v>
      </c>
      <c r="J387" s="202"/>
      <c r="K387" s="18" t="s">
        <v>1592</v>
      </c>
      <c r="L387" s="47" t="s">
        <v>4</v>
      </c>
      <c r="M387" s="18" t="s">
        <v>1593</v>
      </c>
      <c r="N387" s="18"/>
      <c r="O387" s="18" t="s">
        <v>3</v>
      </c>
      <c r="P387" s="18" t="s">
        <v>3</v>
      </c>
      <c r="Q387" s="18" t="s">
        <v>53</v>
      </c>
      <c r="R387" s="19"/>
      <c r="S387" s="20"/>
      <c r="T387" s="52" t="s">
        <v>45</v>
      </c>
      <c r="U387" s="20"/>
      <c r="V387" s="20"/>
      <c r="W387" s="20"/>
      <c r="X387" s="20"/>
    </row>
    <row r="388" spans="2:24" ht="29.1" hidden="1">
      <c r="B388" s="18" t="s">
        <v>1594</v>
      </c>
      <c r="C388" s="18" t="s">
        <v>1562</v>
      </c>
      <c r="D388" s="123" t="s">
        <v>1563</v>
      </c>
      <c r="E388" s="18" t="s">
        <v>38</v>
      </c>
      <c r="F388" s="14">
        <v>1</v>
      </c>
      <c r="G388" s="14" t="s">
        <v>39</v>
      </c>
      <c r="H388" s="26" t="s">
        <v>86</v>
      </c>
      <c r="I388" s="26" t="s">
        <v>81</v>
      </c>
      <c r="J388" s="212"/>
      <c r="K388" s="151" t="s">
        <v>1586</v>
      </c>
      <c r="L388" s="47" t="s">
        <v>6</v>
      </c>
      <c r="M388" s="152" t="s">
        <v>1587</v>
      </c>
      <c r="N388" s="152" t="s">
        <v>1588</v>
      </c>
      <c r="O388" s="18" t="s">
        <v>3</v>
      </c>
      <c r="P388" s="18" t="s">
        <v>3</v>
      </c>
      <c r="Q388" s="18" t="s">
        <v>1567</v>
      </c>
      <c r="R388" s="19"/>
      <c r="S388" s="20"/>
      <c r="T388" s="20" t="s">
        <v>45</v>
      </c>
      <c r="U388" s="20"/>
      <c r="V388" s="20"/>
      <c r="W388" s="20"/>
      <c r="X388" s="20"/>
    </row>
    <row r="389" spans="2:24" ht="32.1" hidden="1">
      <c r="B389" s="18" t="s">
        <v>1594</v>
      </c>
      <c r="C389" s="18" t="s">
        <v>1562</v>
      </c>
      <c r="D389" s="123" t="s">
        <v>1563</v>
      </c>
      <c r="E389" s="18" t="s">
        <v>38</v>
      </c>
      <c r="F389" s="14">
        <v>2</v>
      </c>
      <c r="G389" s="14" t="s">
        <v>53</v>
      </c>
      <c r="H389" s="26" t="s">
        <v>1571</v>
      </c>
      <c r="I389" s="26" t="s">
        <v>153</v>
      </c>
      <c r="J389" s="202"/>
      <c r="K389" s="18" t="s">
        <v>1589</v>
      </c>
      <c r="L389" s="47" t="s">
        <v>6</v>
      </c>
      <c r="M389" s="18"/>
      <c r="N389" s="18"/>
      <c r="O389" s="18" t="s">
        <v>3</v>
      </c>
      <c r="P389" s="18" t="s">
        <v>3</v>
      </c>
      <c r="Q389" s="18" t="s">
        <v>1567</v>
      </c>
      <c r="R389" s="19"/>
      <c r="S389" s="20"/>
      <c r="T389" s="20" t="s">
        <v>65</v>
      </c>
      <c r="U389" s="20"/>
      <c r="V389" s="20"/>
      <c r="W389" s="20"/>
      <c r="X389" s="20"/>
    </row>
    <row r="390" spans="2:24" ht="29.1" hidden="1">
      <c r="B390" s="18" t="s">
        <v>1594</v>
      </c>
      <c r="C390" s="18" t="s">
        <v>1562</v>
      </c>
      <c r="D390" s="123" t="s">
        <v>1563</v>
      </c>
      <c r="E390" s="18" t="s">
        <v>38</v>
      </c>
      <c r="F390" s="14">
        <v>3</v>
      </c>
      <c r="G390" s="14" t="s">
        <v>39</v>
      </c>
      <c r="H390" s="26" t="s">
        <v>86</v>
      </c>
      <c r="I390" s="26" t="s">
        <v>81</v>
      </c>
      <c r="J390" s="202"/>
      <c r="K390" s="18" t="s">
        <v>1590</v>
      </c>
      <c r="L390" s="47" t="s">
        <v>4</v>
      </c>
      <c r="M390" s="18" t="s">
        <v>1591</v>
      </c>
      <c r="N390" s="18"/>
      <c r="O390" s="18" t="s">
        <v>3</v>
      </c>
      <c r="P390" s="18" t="s">
        <v>3</v>
      </c>
      <c r="Q390" s="18" t="s">
        <v>39</v>
      </c>
      <c r="R390" s="19"/>
      <c r="S390" s="20"/>
      <c r="T390" s="20" t="s">
        <v>65</v>
      </c>
      <c r="U390" s="20"/>
      <c r="V390" s="20"/>
      <c r="W390" s="20"/>
      <c r="X390" s="20"/>
    </row>
    <row r="391" spans="2:24" ht="29.1" hidden="1">
      <c r="B391" s="18" t="s">
        <v>1595</v>
      </c>
      <c r="C391" s="18" t="s">
        <v>1562</v>
      </c>
      <c r="D391" s="18" t="s">
        <v>1563</v>
      </c>
      <c r="E391" s="18" t="s">
        <v>38</v>
      </c>
      <c r="F391" s="14">
        <v>1</v>
      </c>
      <c r="G391" s="14" t="s">
        <v>39</v>
      </c>
      <c r="H391" s="26" t="s">
        <v>86</v>
      </c>
      <c r="I391" s="26" t="s">
        <v>81</v>
      </c>
      <c r="J391" s="202"/>
      <c r="K391" s="151" t="s">
        <v>1564</v>
      </c>
      <c r="L391" s="47" t="s">
        <v>6</v>
      </c>
      <c r="M391" s="152" t="s">
        <v>1596</v>
      </c>
      <c r="N391" s="152"/>
      <c r="O391" s="18" t="s">
        <v>3</v>
      </c>
      <c r="P391" s="18" t="s">
        <v>3</v>
      </c>
      <c r="Q391" s="18" t="s">
        <v>1567</v>
      </c>
      <c r="R391" s="19"/>
      <c r="S391" s="20"/>
      <c r="T391" s="20" t="s">
        <v>45</v>
      </c>
      <c r="U391" s="20"/>
      <c r="V391" s="145"/>
      <c r="W391" s="20"/>
      <c r="X391" s="20"/>
    </row>
    <row r="392" spans="2:24" ht="29.1" hidden="1">
      <c r="B392" s="18" t="s">
        <v>1595</v>
      </c>
      <c r="C392" s="18" t="s">
        <v>1562</v>
      </c>
      <c r="D392" s="18" t="s">
        <v>1563</v>
      </c>
      <c r="E392" s="18" t="s">
        <v>38</v>
      </c>
      <c r="F392" s="14">
        <v>2</v>
      </c>
      <c r="G392" s="14" t="s">
        <v>39</v>
      </c>
      <c r="H392" s="26" t="s">
        <v>86</v>
      </c>
      <c r="I392" s="26" t="s">
        <v>86</v>
      </c>
      <c r="J392" s="202"/>
      <c r="K392" s="157" t="s">
        <v>1568</v>
      </c>
      <c r="L392" s="47" t="s">
        <v>6</v>
      </c>
      <c r="M392" s="152" t="s">
        <v>1569</v>
      </c>
      <c r="N392" s="154" t="s">
        <v>1570</v>
      </c>
      <c r="O392" s="18" t="s">
        <v>5</v>
      </c>
      <c r="P392" s="18" t="s">
        <v>5</v>
      </c>
      <c r="Q392" s="18" t="s">
        <v>39</v>
      </c>
      <c r="R392" s="19"/>
      <c r="S392" s="20"/>
      <c r="T392" s="20" t="s">
        <v>65</v>
      </c>
      <c r="U392" s="20"/>
      <c r="V392" s="108"/>
      <c r="W392" s="20"/>
      <c r="X392" s="20"/>
    </row>
    <row r="393" spans="2:24" ht="43.5" hidden="1">
      <c r="B393" s="18" t="s">
        <v>1595</v>
      </c>
      <c r="C393" s="18" t="s">
        <v>1562</v>
      </c>
      <c r="D393" s="18" t="s">
        <v>1563</v>
      </c>
      <c r="E393" s="18" t="s">
        <v>38</v>
      </c>
      <c r="F393" s="14">
        <v>3</v>
      </c>
      <c r="G393" s="14" t="s">
        <v>53</v>
      </c>
      <c r="H393" s="26" t="s">
        <v>1571</v>
      </c>
      <c r="I393" s="26" t="s">
        <v>203</v>
      </c>
      <c r="J393" s="202"/>
      <c r="K393" s="151" t="s">
        <v>1572</v>
      </c>
      <c r="L393" s="47" t="s">
        <v>6</v>
      </c>
      <c r="M393" s="152" t="s">
        <v>1573</v>
      </c>
      <c r="N393" s="152" t="s">
        <v>1574</v>
      </c>
      <c r="O393" s="18" t="s">
        <v>3</v>
      </c>
      <c r="P393" s="18" t="s">
        <v>3</v>
      </c>
      <c r="Q393" s="18" t="s">
        <v>39</v>
      </c>
      <c r="R393" s="19"/>
      <c r="S393" s="20"/>
      <c r="T393" s="20" t="s">
        <v>65</v>
      </c>
      <c r="U393" s="20"/>
      <c r="V393" s="108"/>
      <c r="W393" s="20"/>
      <c r="X393" s="20"/>
    </row>
    <row r="394" spans="2:24" ht="29.1" hidden="1">
      <c r="B394" s="18" t="s">
        <v>1595</v>
      </c>
      <c r="C394" s="18" t="s">
        <v>1562</v>
      </c>
      <c r="D394" s="18" t="s">
        <v>1563</v>
      </c>
      <c r="E394" s="18" t="s">
        <v>38</v>
      </c>
      <c r="F394" s="14">
        <v>4</v>
      </c>
      <c r="G394" s="14" t="s">
        <v>69</v>
      </c>
      <c r="H394" s="26" t="s">
        <v>1575</v>
      </c>
      <c r="I394" s="26" t="s">
        <v>207</v>
      </c>
      <c r="J394" s="202"/>
      <c r="K394" s="157" t="s">
        <v>1576</v>
      </c>
      <c r="L394" s="47" t="s">
        <v>6</v>
      </c>
      <c r="M394" s="152" t="s">
        <v>1577</v>
      </c>
      <c r="N394" s="153" t="s">
        <v>1578</v>
      </c>
      <c r="O394" s="18" t="s">
        <v>3</v>
      </c>
      <c r="P394" s="18" t="s">
        <v>3</v>
      </c>
      <c r="Q394" s="18" t="s">
        <v>39</v>
      </c>
      <c r="R394" s="19"/>
      <c r="S394" s="20"/>
      <c r="T394" s="20" t="s">
        <v>65</v>
      </c>
      <c r="U394" s="20"/>
      <c r="V394" s="108"/>
      <c r="W394" s="20"/>
      <c r="X394" s="20"/>
    </row>
    <row r="395" spans="2:24" ht="29.1" hidden="1">
      <c r="B395" s="18" t="s">
        <v>1595</v>
      </c>
      <c r="C395" s="18" t="s">
        <v>1562</v>
      </c>
      <c r="D395" s="18" t="s">
        <v>1563</v>
      </c>
      <c r="E395" s="18" t="s">
        <v>38</v>
      </c>
      <c r="F395" s="14">
        <v>5</v>
      </c>
      <c r="G395" s="14" t="s">
        <v>39</v>
      </c>
      <c r="H395" s="26" t="s">
        <v>86</v>
      </c>
      <c r="I395" s="26" t="s">
        <v>86</v>
      </c>
      <c r="J395" s="202"/>
      <c r="K395" s="151" t="s">
        <v>1579</v>
      </c>
      <c r="L395" s="47" t="s">
        <v>6</v>
      </c>
      <c r="M395" s="153" t="s">
        <v>1580</v>
      </c>
      <c r="N395" s="153"/>
      <c r="O395" s="18" t="s">
        <v>3</v>
      </c>
      <c r="P395" s="18" t="s">
        <v>3</v>
      </c>
      <c r="Q395" s="18" t="s">
        <v>39</v>
      </c>
      <c r="R395" s="19"/>
      <c r="S395" s="20"/>
      <c r="T395" s="20" t="s">
        <v>65</v>
      </c>
      <c r="U395" s="20"/>
      <c r="V395" s="108"/>
      <c r="W395" s="20"/>
      <c r="X395" s="20"/>
    </row>
    <row r="396" spans="2:24" ht="32.1" hidden="1">
      <c r="B396" s="18" t="s">
        <v>1581</v>
      </c>
      <c r="C396" s="18" t="s">
        <v>1562</v>
      </c>
      <c r="D396" s="123" t="s">
        <v>1563</v>
      </c>
      <c r="E396" s="18" t="s">
        <v>38</v>
      </c>
      <c r="F396" s="14">
        <v>8</v>
      </c>
      <c r="G396" s="14" t="s">
        <v>53</v>
      </c>
      <c r="H396" s="26" t="s">
        <v>54</v>
      </c>
      <c r="I396" s="26" t="s">
        <v>153</v>
      </c>
      <c r="J396" s="202"/>
      <c r="K396" s="18" t="s">
        <v>1597</v>
      </c>
      <c r="L396" s="47" t="s">
        <v>6</v>
      </c>
      <c r="M396" s="16" t="s">
        <v>1598</v>
      </c>
      <c r="N396" s="18"/>
      <c r="O396" s="18" t="s">
        <v>3</v>
      </c>
      <c r="P396" s="18" t="s">
        <v>3</v>
      </c>
      <c r="Q396" s="18" t="s">
        <v>53</v>
      </c>
      <c r="R396" s="19"/>
      <c r="S396" s="20"/>
      <c r="T396" s="20" t="s">
        <v>45</v>
      </c>
      <c r="U396" s="20"/>
      <c r="V396" s="138"/>
      <c r="W396" s="20"/>
      <c r="X396" s="20"/>
    </row>
    <row r="397" spans="2:24" ht="32.1" hidden="1">
      <c r="B397" s="14" t="s">
        <v>1581</v>
      </c>
      <c r="C397" s="14" t="s">
        <v>1562</v>
      </c>
      <c r="D397" s="14" t="s">
        <v>1563</v>
      </c>
      <c r="E397" s="14" t="s">
        <v>38</v>
      </c>
      <c r="F397" s="14">
        <v>9</v>
      </c>
      <c r="G397" s="14" t="s">
        <v>69</v>
      </c>
      <c r="H397" s="14" t="s">
        <v>1474</v>
      </c>
      <c r="I397" s="14" t="s">
        <v>115</v>
      </c>
      <c r="J397" s="202"/>
      <c r="K397" s="14" t="s">
        <v>1599</v>
      </c>
      <c r="L397" s="47" t="s">
        <v>6</v>
      </c>
      <c r="M397" s="26" t="s">
        <v>1600</v>
      </c>
      <c r="N397" s="26" t="s">
        <v>1601</v>
      </c>
      <c r="O397" s="14" t="s">
        <v>3</v>
      </c>
      <c r="P397" s="14" t="s">
        <v>3</v>
      </c>
      <c r="Q397" s="14" t="s">
        <v>99</v>
      </c>
      <c r="R397" s="14"/>
      <c r="S397" s="20">
        <v>45777</v>
      </c>
      <c r="T397" s="14" t="s">
        <v>65</v>
      </c>
      <c r="U397" s="14"/>
      <c r="V397" s="14"/>
      <c r="W397" s="14"/>
      <c r="X397" s="14"/>
    </row>
    <row r="398" spans="2:24" ht="32.1" hidden="1">
      <c r="B398" s="18" t="s">
        <v>1581</v>
      </c>
      <c r="C398" s="18" t="s">
        <v>1562</v>
      </c>
      <c r="D398" s="123" t="s">
        <v>1563</v>
      </c>
      <c r="E398" s="18" t="s">
        <v>38</v>
      </c>
      <c r="F398" s="14">
        <v>10</v>
      </c>
      <c r="G398" s="14" t="s">
        <v>53</v>
      </c>
      <c r="H398" s="26" t="s">
        <v>54</v>
      </c>
      <c r="I398" s="26" t="s">
        <v>153</v>
      </c>
      <c r="J398" s="202"/>
      <c r="K398" s="18" t="s">
        <v>1602</v>
      </c>
      <c r="L398" s="47" t="s">
        <v>6</v>
      </c>
      <c r="M398" s="16"/>
      <c r="N398" s="18" t="s">
        <v>1603</v>
      </c>
      <c r="O398" s="18" t="s">
        <v>3</v>
      </c>
      <c r="P398" s="18" t="s">
        <v>3</v>
      </c>
      <c r="Q398" s="18" t="s">
        <v>53</v>
      </c>
      <c r="R398" s="19"/>
      <c r="S398" s="20"/>
      <c r="T398" s="20" t="s">
        <v>65</v>
      </c>
      <c r="U398" s="20"/>
      <c r="V398" s="138"/>
      <c r="W398" s="20"/>
      <c r="X398" s="20"/>
    </row>
    <row r="399" spans="2:24" ht="32.1" hidden="1">
      <c r="B399" s="14" t="s">
        <v>1581</v>
      </c>
      <c r="C399" s="14" t="s">
        <v>1562</v>
      </c>
      <c r="D399" s="14" t="s">
        <v>1563</v>
      </c>
      <c r="E399" s="14" t="s">
        <v>38</v>
      </c>
      <c r="F399" s="14">
        <v>11</v>
      </c>
      <c r="G399" s="14" t="s">
        <v>53</v>
      </c>
      <c r="H399" s="14" t="s">
        <v>54</v>
      </c>
      <c r="I399" s="26" t="s">
        <v>115</v>
      </c>
      <c r="J399" s="202"/>
      <c r="K399" s="26" t="s">
        <v>1604</v>
      </c>
      <c r="L399" s="47" t="s">
        <v>6</v>
      </c>
      <c r="M399" s="14"/>
      <c r="N399" s="26" t="s">
        <v>1605</v>
      </c>
      <c r="O399" s="14" t="s">
        <v>5</v>
      </c>
      <c r="P399" s="14" t="s">
        <v>5</v>
      </c>
      <c r="Q399" s="14" t="s">
        <v>53</v>
      </c>
      <c r="R399" s="14"/>
      <c r="S399" s="14"/>
      <c r="T399" s="14" t="s">
        <v>65</v>
      </c>
      <c r="U399" s="14"/>
      <c r="V399" s="14"/>
      <c r="W399" s="14"/>
      <c r="X399" s="14"/>
    </row>
    <row r="400" spans="2:24" ht="43.5" hidden="1">
      <c r="B400" s="18" t="s">
        <v>1606</v>
      </c>
      <c r="C400" s="18" t="s">
        <v>1562</v>
      </c>
      <c r="D400" s="123" t="s">
        <v>1563</v>
      </c>
      <c r="E400" s="18" t="s">
        <v>38</v>
      </c>
      <c r="F400" s="14">
        <v>1</v>
      </c>
      <c r="G400" s="14" t="s">
        <v>53</v>
      </c>
      <c r="H400" s="26" t="s">
        <v>1571</v>
      </c>
      <c r="I400" s="26" t="s">
        <v>203</v>
      </c>
      <c r="J400" s="202"/>
      <c r="K400" s="66" t="s">
        <v>1572</v>
      </c>
      <c r="L400" s="47" t="s">
        <v>6</v>
      </c>
      <c r="M400" s="152" t="s">
        <v>1573</v>
      </c>
      <c r="N400" s="152" t="s">
        <v>1574</v>
      </c>
      <c r="O400" s="18" t="s">
        <v>3</v>
      </c>
      <c r="P400" s="18" t="s">
        <v>3</v>
      </c>
      <c r="Q400" s="18" t="s">
        <v>39</v>
      </c>
      <c r="R400" s="19"/>
      <c r="S400" s="20"/>
      <c r="T400" s="20" t="s">
        <v>65</v>
      </c>
      <c r="U400" s="20"/>
      <c r="V400" s="138"/>
      <c r="W400" s="20"/>
      <c r="X400" s="20"/>
    </row>
    <row r="401" spans="2:24" ht="29.1" hidden="1">
      <c r="B401" s="18" t="s">
        <v>1606</v>
      </c>
      <c r="C401" s="18" t="s">
        <v>1562</v>
      </c>
      <c r="D401" s="123" t="s">
        <v>1563</v>
      </c>
      <c r="E401" s="18" t="s">
        <v>38</v>
      </c>
      <c r="F401" s="14">
        <v>2</v>
      </c>
      <c r="G401" s="14" t="s">
        <v>69</v>
      </c>
      <c r="H401" s="26" t="s">
        <v>1575</v>
      </c>
      <c r="I401" s="26" t="s">
        <v>207</v>
      </c>
      <c r="J401" s="202"/>
      <c r="K401" s="66" t="s">
        <v>1576</v>
      </c>
      <c r="L401" s="47" t="s">
        <v>6</v>
      </c>
      <c r="M401" s="152" t="s">
        <v>1577</v>
      </c>
      <c r="N401" s="153" t="s">
        <v>1578</v>
      </c>
      <c r="O401" s="18" t="s">
        <v>3</v>
      </c>
      <c r="P401" s="18" t="s">
        <v>3</v>
      </c>
      <c r="Q401" s="18" t="s">
        <v>39</v>
      </c>
      <c r="R401" s="19"/>
      <c r="S401" s="20"/>
      <c r="T401" s="20" t="s">
        <v>65</v>
      </c>
      <c r="U401" s="20"/>
      <c r="V401" s="108"/>
      <c r="W401" s="20"/>
      <c r="X401" s="20"/>
    </row>
    <row r="402" spans="2:24" ht="29.1" hidden="1">
      <c r="B402" s="18" t="s">
        <v>1606</v>
      </c>
      <c r="C402" s="18" t="s">
        <v>1562</v>
      </c>
      <c r="D402" s="76" t="s">
        <v>1563</v>
      </c>
      <c r="E402" s="18" t="s">
        <v>38</v>
      </c>
      <c r="F402" s="14">
        <v>3</v>
      </c>
      <c r="G402" s="14" t="s">
        <v>39</v>
      </c>
      <c r="H402" s="26" t="s">
        <v>86</v>
      </c>
      <c r="I402" s="26" t="s">
        <v>86</v>
      </c>
      <c r="J402" s="202"/>
      <c r="K402" s="66" t="s">
        <v>1579</v>
      </c>
      <c r="L402" s="47" t="s">
        <v>6</v>
      </c>
      <c r="M402" s="153" t="s">
        <v>1580</v>
      </c>
      <c r="N402" s="153"/>
      <c r="O402" s="18" t="s">
        <v>3</v>
      </c>
      <c r="P402" s="18" t="s">
        <v>3</v>
      </c>
      <c r="Q402" s="18" t="s">
        <v>39</v>
      </c>
      <c r="R402" s="19"/>
      <c r="S402" s="20"/>
      <c r="T402" s="20" t="s">
        <v>65</v>
      </c>
      <c r="U402" s="20"/>
      <c r="V402" s="108"/>
      <c r="W402" s="20"/>
      <c r="X402" s="20"/>
    </row>
    <row r="403" spans="2:24" ht="57.95" hidden="1">
      <c r="B403" s="18" t="s">
        <v>1581</v>
      </c>
      <c r="C403" s="18" t="s">
        <v>1562</v>
      </c>
      <c r="D403" s="123" t="s">
        <v>1563</v>
      </c>
      <c r="E403" s="18" t="s">
        <v>38</v>
      </c>
      <c r="F403" s="14">
        <v>13</v>
      </c>
      <c r="G403" s="14" t="s">
        <v>53</v>
      </c>
      <c r="H403" s="26" t="s">
        <v>1607</v>
      </c>
      <c r="I403" s="26" t="s">
        <v>153</v>
      </c>
      <c r="J403" s="202"/>
      <c r="K403" s="26" t="s">
        <v>1608</v>
      </c>
      <c r="L403" s="47" t="s">
        <v>6</v>
      </c>
      <c r="M403" s="18"/>
      <c r="N403" s="18" t="s">
        <v>1609</v>
      </c>
      <c r="O403" s="18" t="s">
        <v>3</v>
      </c>
      <c r="P403" s="18" t="s">
        <v>3</v>
      </c>
      <c r="Q403" s="18" t="s">
        <v>53</v>
      </c>
      <c r="R403" s="19"/>
      <c r="S403" s="20"/>
      <c r="T403" s="14" t="s">
        <v>65</v>
      </c>
      <c r="U403" s="20"/>
      <c r="V403" s="108"/>
      <c r="W403" s="20"/>
      <c r="X403" s="20"/>
    </row>
    <row r="404" spans="2:24" ht="29.1" hidden="1">
      <c r="B404" s="18" t="s">
        <v>1581</v>
      </c>
      <c r="C404" s="18" t="s">
        <v>1562</v>
      </c>
      <c r="D404" s="123" t="s">
        <v>1563</v>
      </c>
      <c r="E404" s="18" t="s">
        <v>38</v>
      </c>
      <c r="F404" s="14">
        <v>14</v>
      </c>
      <c r="G404" s="14" t="s">
        <v>53</v>
      </c>
      <c r="H404" s="26" t="s">
        <v>54</v>
      </c>
      <c r="I404" s="26" t="s">
        <v>493</v>
      </c>
      <c r="J404" s="202"/>
      <c r="K404" s="26" t="s">
        <v>1610</v>
      </c>
      <c r="L404" s="47" t="s">
        <v>6</v>
      </c>
      <c r="M404" s="16" t="s">
        <v>1611</v>
      </c>
      <c r="N404" s="18" t="s">
        <v>1612</v>
      </c>
      <c r="O404" s="18" t="s">
        <v>3</v>
      </c>
      <c r="P404" s="18" t="s">
        <v>3</v>
      </c>
      <c r="Q404" s="18" t="s">
        <v>53</v>
      </c>
      <c r="R404" s="19"/>
      <c r="S404" s="20"/>
      <c r="T404" s="20" t="s">
        <v>65</v>
      </c>
      <c r="U404" s="20"/>
      <c r="V404" s="108"/>
      <c r="W404" s="20"/>
      <c r="X404" s="20"/>
    </row>
    <row r="405" spans="2:24" ht="188.45" hidden="1">
      <c r="B405" s="18" t="s">
        <v>1581</v>
      </c>
      <c r="C405" s="18" t="s">
        <v>1562</v>
      </c>
      <c r="D405" s="76" t="s">
        <v>1563</v>
      </c>
      <c r="E405" s="18" t="s">
        <v>38</v>
      </c>
      <c r="F405" s="14">
        <v>15</v>
      </c>
      <c r="G405" s="14" t="s">
        <v>53</v>
      </c>
      <c r="H405" s="26" t="s">
        <v>54</v>
      </c>
      <c r="I405" s="127" t="s">
        <v>115</v>
      </c>
      <c r="J405" s="202"/>
      <c r="K405" s="26" t="s">
        <v>1613</v>
      </c>
      <c r="L405" s="47" t="s">
        <v>6</v>
      </c>
      <c r="M405" s="18" t="s">
        <v>1614</v>
      </c>
      <c r="N405" s="18" t="s">
        <v>1615</v>
      </c>
      <c r="O405" s="18"/>
      <c r="P405" s="18"/>
      <c r="Q405" s="18"/>
      <c r="R405" s="19"/>
      <c r="S405" s="20"/>
      <c r="T405" s="20" t="s">
        <v>65</v>
      </c>
      <c r="U405" s="20"/>
      <c r="V405" s="108"/>
      <c r="W405" s="20"/>
      <c r="X405" s="20"/>
    </row>
    <row r="406" spans="2:24" ht="29.1" hidden="1">
      <c r="B406" s="18" t="s">
        <v>1616</v>
      </c>
      <c r="C406" s="18" t="s">
        <v>1617</v>
      </c>
      <c r="D406" s="18" t="s">
        <v>1108</v>
      </c>
      <c r="E406" s="18" t="s">
        <v>38</v>
      </c>
      <c r="F406" s="14">
        <v>1</v>
      </c>
      <c r="G406" s="14" t="s">
        <v>69</v>
      </c>
      <c r="H406" s="26" t="s">
        <v>1618</v>
      </c>
      <c r="I406" s="26" t="s">
        <v>86</v>
      </c>
      <c r="J406" s="202"/>
      <c r="K406" s="18" t="s">
        <v>1619</v>
      </c>
      <c r="L406" s="47" t="s">
        <v>6</v>
      </c>
      <c r="M406" s="18" t="s">
        <v>1620</v>
      </c>
      <c r="N406" s="18" t="s">
        <v>1621</v>
      </c>
      <c r="O406" s="18" t="s">
        <v>3</v>
      </c>
      <c r="P406" s="18" t="s">
        <v>3</v>
      </c>
      <c r="Q406" s="18" t="s">
        <v>99</v>
      </c>
      <c r="R406" s="19">
        <v>45708</v>
      </c>
      <c r="S406" s="20">
        <v>45736</v>
      </c>
      <c r="T406" s="20" t="s">
        <v>352</v>
      </c>
      <c r="U406" s="20"/>
      <c r="V406" s="20"/>
      <c r="W406" s="20"/>
      <c r="X406" s="20"/>
    </row>
    <row r="407" spans="2:24" ht="130.5" hidden="1">
      <c r="B407" s="18" t="s">
        <v>1616</v>
      </c>
      <c r="C407" s="18" t="s">
        <v>1617</v>
      </c>
      <c r="D407" s="18" t="s">
        <v>1108</v>
      </c>
      <c r="E407" s="18" t="s">
        <v>38</v>
      </c>
      <c r="F407" s="14">
        <v>2</v>
      </c>
      <c r="G407" s="14" t="s">
        <v>69</v>
      </c>
      <c r="H407" s="26" t="s">
        <v>128</v>
      </c>
      <c r="I407" s="26" t="s">
        <v>40</v>
      </c>
      <c r="J407" s="202"/>
      <c r="K407" s="18" t="s">
        <v>1622</v>
      </c>
      <c r="L407" s="47" t="s">
        <v>6</v>
      </c>
      <c r="M407" s="18" t="s">
        <v>1114</v>
      </c>
      <c r="N407" s="18" t="s">
        <v>1623</v>
      </c>
      <c r="O407" s="18" t="s">
        <v>3</v>
      </c>
      <c r="P407" s="18" t="s">
        <v>3</v>
      </c>
      <c r="Q407" s="18" t="s">
        <v>164</v>
      </c>
      <c r="R407" s="19">
        <v>45716</v>
      </c>
      <c r="S407" s="20">
        <v>45868</v>
      </c>
      <c r="T407" s="20" t="s">
        <v>352</v>
      </c>
      <c r="U407" s="20"/>
      <c r="V407" s="20"/>
      <c r="W407" s="20"/>
      <c r="X407" s="20"/>
    </row>
    <row r="408" spans="2:24" ht="72.599999999999994" hidden="1">
      <c r="B408" s="18" t="s">
        <v>1624</v>
      </c>
      <c r="C408" s="18" t="s">
        <v>1625</v>
      </c>
      <c r="D408" s="18" t="s">
        <v>1626</v>
      </c>
      <c r="E408" s="18" t="s">
        <v>191</v>
      </c>
      <c r="F408" s="14">
        <v>2</v>
      </c>
      <c r="G408" s="14" t="s">
        <v>53</v>
      </c>
      <c r="H408" s="26" t="s">
        <v>1627</v>
      </c>
      <c r="I408" s="26" t="s">
        <v>55</v>
      </c>
      <c r="J408" s="202">
        <v>45463</v>
      </c>
      <c r="K408" s="16" t="s">
        <v>1628</v>
      </c>
      <c r="L408" s="47" t="s">
        <v>4</v>
      </c>
      <c r="M408" s="16" t="s">
        <v>1629</v>
      </c>
      <c r="N408" s="16" t="s">
        <v>1630</v>
      </c>
      <c r="O408" s="18" t="s">
        <v>5</v>
      </c>
      <c r="P408" s="18" t="s">
        <v>3</v>
      </c>
      <c r="Q408" s="18" t="s">
        <v>1631</v>
      </c>
      <c r="R408" s="19">
        <v>45657</v>
      </c>
      <c r="S408" s="20">
        <v>45736</v>
      </c>
      <c r="T408" s="20" t="s">
        <v>65</v>
      </c>
      <c r="U408" s="20" t="s">
        <v>1632</v>
      </c>
      <c r="V408" s="20"/>
      <c r="W408" s="20" t="s">
        <v>1633</v>
      </c>
      <c r="X408" s="20"/>
    </row>
    <row r="409" spans="2:24" ht="72.599999999999994" hidden="1">
      <c r="B409" s="18" t="s">
        <v>1624</v>
      </c>
      <c r="C409" s="18" t="s">
        <v>1625</v>
      </c>
      <c r="D409" s="18" t="s">
        <v>1626</v>
      </c>
      <c r="E409" s="18" t="s">
        <v>191</v>
      </c>
      <c r="F409" s="14">
        <v>2</v>
      </c>
      <c r="G409" s="14" t="s">
        <v>53</v>
      </c>
      <c r="H409" s="26" t="s">
        <v>1627</v>
      </c>
      <c r="I409" s="26" t="s">
        <v>55</v>
      </c>
      <c r="J409" s="202">
        <v>46068</v>
      </c>
      <c r="K409" s="16" t="s">
        <v>1634</v>
      </c>
      <c r="L409" s="47" t="s">
        <v>4</v>
      </c>
      <c r="M409" s="16" t="s">
        <v>1629</v>
      </c>
      <c r="N409" s="175" t="s">
        <v>1635</v>
      </c>
      <c r="O409" s="18" t="s">
        <v>5</v>
      </c>
      <c r="P409" s="18" t="s">
        <v>3</v>
      </c>
      <c r="Q409" s="18" t="s">
        <v>1631</v>
      </c>
      <c r="R409" s="19">
        <v>46081</v>
      </c>
      <c r="S409" s="19">
        <v>46081</v>
      </c>
      <c r="T409" s="20" t="s">
        <v>65</v>
      </c>
      <c r="U409" s="20" t="s">
        <v>1636</v>
      </c>
      <c r="V409" s="20"/>
      <c r="W409" s="20" t="s">
        <v>1637</v>
      </c>
      <c r="X409" s="20"/>
    </row>
    <row r="410" spans="2:24" ht="29.1" hidden="1">
      <c r="B410" s="18" t="s">
        <v>1624</v>
      </c>
      <c r="C410" s="18" t="s">
        <v>1625</v>
      </c>
      <c r="D410" s="18" t="s">
        <v>1626</v>
      </c>
      <c r="E410" s="18" t="s">
        <v>191</v>
      </c>
      <c r="F410" s="14">
        <v>2</v>
      </c>
      <c r="G410" s="14" t="s">
        <v>53</v>
      </c>
      <c r="H410" s="26" t="s">
        <v>1627</v>
      </c>
      <c r="I410" s="26" t="s">
        <v>55</v>
      </c>
      <c r="J410" s="202">
        <v>46204</v>
      </c>
      <c r="K410" s="16" t="s">
        <v>1638</v>
      </c>
      <c r="L410" s="47" t="s">
        <v>4</v>
      </c>
      <c r="M410" s="16" t="s">
        <v>1639</v>
      </c>
      <c r="N410" s="175" t="s">
        <v>1640</v>
      </c>
      <c r="O410" s="18" t="s">
        <v>3</v>
      </c>
      <c r="P410" s="18" t="s">
        <v>3</v>
      </c>
      <c r="Q410" s="18" t="s">
        <v>1631</v>
      </c>
      <c r="R410" s="19">
        <v>46081</v>
      </c>
      <c r="S410" s="19">
        <v>46233</v>
      </c>
      <c r="T410" s="20" t="s">
        <v>65</v>
      </c>
      <c r="U410" s="20" t="s">
        <v>1641</v>
      </c>
      <c r="V410" s="20"/>
      <c r="W410" s="20" t="s">
        <v>1637</v>
      </c>
      <c r="X410" s="20"/>
    </row>
    <row r="411" spans="2:24" ht="204" hidden="1" customHeight="1">
      <c r="B411" s="18" t="s">
        <v>1624</v>
      </c>
      <c r="C411" s="18" t="s">
        <v>1625</v>
      </c>
      <c r="D411" s="18" t="s">
        <v>1626</v>
      </c>
      <c r="E411" s="18" t="s">
        <v>191</v>
      </c>
      <c r="F411" s="14">
        <v>3</v>
      </c>
      <c r="G411" s="14" t="s">
        <v>69</v>
      </c>
      <c r="H411" s="26" t="s">
        <v>128</v>
      </c>
      <c r="I411" s="26" t="s">
        <v>40</v>
      </c>
      <c r="J411" s="202">
        <v>45671</v>
      </c>
      <c r="K411" s="16" t="s">
        <v>1642</v>
      </c>
      <c r="L411" s="47" t="s">
        <v>4</v>
      </c>
      <c r="M411" s="16" t="s">
        <v>1643</v>
      </c>
      <c r="N411" s="16" t="s">
        <v>1644</v>
      </c>
      <c r="O411" s="18" t="s">
        <v>5</v>
      </c>
      <c r="P411" s="18" t="s">
        <v>5</v>
      </c>
      <c r="Q411" s="18" t="s">
        <v>59</v>
      </c>
      <c r="R411" s="19">
        <v>45732</v>
      </c>
      <c r="S411" s="20">
        <v>45736</v>
      </c>
      <c r="T411" s="20" t="s">
        <v>45</v>
      </c>
      <c r="U411" s="20" t="s">
        <v>1645</v>
      </c>
      <c r="V411" s="20"/>
      <c r="W411" s="20" t="s">
        <v>1646</v>
      </c>
      <c r="X411" s="20"/>
    </row>
    <row r="412" spans="2:24" ht="29.1" hidden="1">
      <c r="B412" s="18" t="s">
        <v>1624</v>
      </c>
      <c r="C412" s="18" t="s">
        <v>1625</v>
      </c>
      <c r="D412" s="18" t="s">
        <v>1626</v>
      </c>
      <c r="E412" s="18" t="s">
        <v>191</v>
      </c>
      <c r="F412" s="14">
        <v>6</v>
      </c>
      <c r="G412" s="14" t="s">
        <v>69</v>
      </c>
      <c r="H412" s="26" t="s">
        <v>70</v>
      </c>
      <c r="I412" s="26" t="s">
        <v>203</v>
      </c>
      <c r="J412" s="202"/>
      <c r="K412" s="16" t="s">
        <v>1647</v>
      </c>
      <c r="L412" s="47" t="s">
        <v>8</v>
      </c>
      <c r="M412" s="16" t="s">
        <v>1648</v>
      </c>
      <c r="N412" s="16" t="s">
        <v>1649</v>
      </c>
      <c r="O412" s="18" t="s">
        <v>5</v>
      </c>
      <c r="P412" s="18" t="s">
        <v>7</v>
      </c>
      <c r="Q412" s="18" t="s">
        <v>59</v>
      </c>
      <c r="R412" s="19">
        <v>45839</v>
      </c>
      <c r="S412" s="20">
        <v>45899</v>
      </c>
      <c r="T412" s="20" t="s">
        <v>45</v>
      </c>
      <c r="U412" s="20"/>
      <c r="V412" s="20"/>
      <c r="W412" s="20" t="s">
        <v>1650</v>
      </c>
      <c r="X412" s="20">
        <v>45560</v>
      </c>
    </row>
    <row r="413" spans="2:24" ht="43.5" hidden="1">
      <c r="B413" s="18" t="s">
        <v>1651</v>
      </c>
      <c r="C413" s="18" t="s">
        <v>1652</v>
      </c>
      <c r="D413" s="18" t="s">
        <v>1653</v>
      </c>
      <c r="E413" s="18" t="s">
        <v>38</v>
      </c>
      <c r="F413" s="96">
        <v>1</v>
      </c>
      <c r="G413" s="96" t="s">
        <v>53</v>
      </c>
      <c r="H413" s="18" t="s">
        <v>54</v>
      </c>
      <c r="I413" s="26" t="s">
        <v>153</v>
      </c>
      <c r="J413" s="203">
        <v>45692</v>
      </c>
      <c r="K413" s="18" t="s">
        <v>1654</v>
      </c>
      <c r="L413" s="18" t="s">
        <v>6</v>
      </c>
      <c r="M413" s="18" t="s">
        <v>1655</v>
      </c>
      <c r="N413" s="18" t="s">
        <v>1656</v>
      </c>
      <c r="O413" s="96" t="s">
        <v>3</v>
      </c>
      <c r="P413" s="96" t="s">
        <v>3</v>
      </c>
      <c r="Q413" s="18" t="s">
        <v>112</v>
      </c>
      <c r="R413" s="19"/>
      <c r="S413" s="96"/>
      <c r="T413" s="96" t="s">
        <v>65</v>
      </c>
      <c r="U413" s="18"/>
      <c r="V413" s="108" t="s">
        <v>1657</v>
      </c>
      <c r="W413" s="18"/>
      <c r="X413" s="20"/>
    </row>
    <row r="414" spans="2:24" ht="29.1" hidden="1">
      <c r="B414" s="18" t="s">
        <v>1651</v>
      </c>
      <c r="C414" s="18" t="s">
        <v>1652</v>
      </c>
      <c r="D414" s="18" t="s">
        <v>1653</v>
      </c>
      <c r="E414" s="18" t="s">
        <v>38</v>
      </c>
      <c r="F414" s="96">
        <v>2</v>
      </c>
      <c r="G414" s="96" t="s">
        <v>53</v>
      </c>
      <c r="H414" s="18" t="s">
        <v>54</v>
      </c>
      <c r="I414" s="26" t="s">
        <v>203</v>
      </c>
      <c r="J414" s="203">
        <v>45694</v>
      </c>
      <c r="K414" s="18" t="s">
        <v>1658</v>
      </c>
      <c r="L414" s="18" t="s">
        <v>6</v>
      </c>
      <c r="M414" s="18" t="s">
        <v>1659</v>
      </c>
      <c r="N414" s="18"/>
      <c r="O414" s="96" t="s">
        <v>3</v>
      </c>
      <c r="P414" s="96" t="s">
        <v>3</v>
      </c>
      <c r="Q414" s="18" t="s">
        <v>53</v>
      </c>
      <c r="R414" s="19"/>
      <c r="S414" s="96"/>
      <c r="T414" s="96" t="s">
        <v>45</v>
      </c>
      <c r="U414" s="18"/>
      <c r="V414" s="18" t="s">
        <v>1660</v>
      </c>
      <c r="W414" s="18"/>
      <c r="X414" s="18"/>
    </row>
    <row r="415" spans="2:24" ht="32.1" hidden="1">
      <c r="B415" s="18" t="s">
        <v>1651</v>
      </c>
      <c r="C415" s="18" t="s">
        <v>1652</v>
      </c>
      <c r="D415" s="18" t="s">
        <v>1653</v>
      </c>
      <c r="E415" s="18" t="s">
        <v>38</v>
      </c>
      <c r="F415" s="96">
        <v>3</v>
      </c>
      <c r="G415" s="96" t="s">
        <v>53</v>
      </c>
      <c r="H415" s="18" t="s">
        <v>54</v>
      </c>
      <c r="I415" s="26" t="s">
        <v>153</v>
      </c>
      <c r="J415" s="203">
        <v>45712</v>
      </c>
      <c r="K415" s="18" t="s">
        <v>1661</v>
      </c>
      <c r="L415" s="18" t="s">
        <v>6</v>
      </c>
      <c r="M415" s="18" t="s">
        <v>1662</v>
      </c>
      <c r="N415" s="18" t="s">
        <v>1663</v>
      </c>
      <c r="O415" s="96" t="s">
        <v>3</v>
      </c>
      <c r="P415" s="96" t="s">
        <v>3</v>
      </c>
      <c r="Q415" s="18" t="s">
        <v>53</v>
      </c>
      <c r="R415" s="19"/>
      <c r="S415" s="96"/>
      <c r="T415" s="96" t="s">
        <v>65</v>
      </c>
      <c r="U415" s="18"/>
      <c r="V415" s="18"/>
      <c r="W415" s="18"/>
      <c r="X415" s="18"/>
    </row>
    <row r="416" spans="2:24" ht="43.5" hidden="1">
      <c r="B416" s="18" t="s">
        <v>1651</v>
      </c>
      <c r="C416" s="18" t="s">
        <v>1652</v>
      </c>
      <c r="D416" s="18" t="s">
        <v>1653</v>
      </c>
      <c r="E416" s="18" t="s">
        <v>38</v>
      </c>
      <c r="F416" s="96">
        <v>4</v>
      </c>
      <c r="G416" s="96" t="s">
        <v>53</v>
      </c>
      <c r="H416" s="18" t="s">
        <v>54</v>
      </c>
      <c r="I416" s="26" t="s">
        <v>153</v>
      </c>
      <c r="J416" s="203">
        <v>45715</v>
      </c>
      <c r="K416" s="18" t="s">
        <v>1664</v>
      </c>
      <c r="L416" s="18" t="s">
        <v>6</v>
      </c>
      <c r="M416" s="18" t="s">
        <v>1665</v>
      </c>
      <c r="N416" s="18" t="s">
        <v>1666</v>
      </c>
      <c r="O416" s="96" t="s">
        <v>3</v>
      </c>
      <c r="P416" s="96" t="s">
        <v>3</v>
      </c>
      <c r="Q416" s="18" t="s">
        <v>112</v>
      </c>
      <c r="R416" s="19"/>
      <c r="S416" s="96"/>
      <c r="T416" s="96" t="s">
        <v>65</v>
      </c>
      <c r="U416" s="18"/>
      <c r="V416" s="124" t="s">
        <v>1667</v>
      </c>
      <c r="W416" s="18"/>
      <c r="X416" s="20"/>
    </row>
    <row r="417" spans="1:29" ht="43.5" hidden="1">
      <c r="B417" s="18" t="s">
        <v>1651</v>
      </c>
      <c r="C417" s="18" t="s">
        <v>1652</v>
      </c>
      <c r="D417" s="18" t="s">
        <v>1653</v>
      </c>
      <c r="E417" s="18" t="s">
        <v>38</v>
      </c>
      <c r="F417" s="96">
        <v>5</v>
      </c>
      <c r="G417" s="96" t="s">
        <v>69</v>
      </c>
      <c r="H417" s="18" t="s">
        <v>114</v>
      </c>
      <c r="I417" s="26" t="s">
        <v>115</v>
      </c>
      <c r="J417" s="203">
        <v>45726</v>
      </c>
      <c r="K417" s="18" t="s">
        <v>1668</v>
      </c>
      <c r="L417" s="18" t="s">
        <v>6</v>
      </c>
      <c r="M417" s="18" t="s">
        <v>1669</v>
      </c>
      <c r="N417" s="18" t="s">
        <v>1670</v>
      </c>
      <c r="O417" s="96" t="s">
        <v>3</v>
      </c>
      <c r="P417" s="96" t="s">
        <v>3</v>
      </c>
      <c r="Q417" s="18" t="s">
        <v>59</v>
      </c>
      <c r="R417" s="19"/>
      <c r="S417" s="96"/>
      <c r="T417" s="96" t="s">
        <v>352</v>
      </c>
      <c r="U417" s="18"/>
      <c r="V417" s="108" t="s">
        <v>1671</v>
      </c>
      <c r="W417" s="146"/>
      <c r="X417" s="18"/>
    </row>
    <row r="418" spans="1:29" ht="29.1" hidden="1">
      <c r="B418" s="18" t="s">
        <v>1651</v>
      </c>
      <c r="C418" s="18" t="s">
        <v>1652</v>
      </c>
      <c r="D418" s="18" t="s">
        <v>1653</v>
      </c>
      <c r="E418" s="18" t="s">
        <v>38</v>
      </c>
      <c r="F418" s="96">
        <v>6</v>
      </c>
      <c r="G418" s="96" t="s">
        <v>53</v>
      </c>
      <c r="H418" s="18" t="s">
        <v>54</v>
      </c>
      <c r="I418" s="26" t="s">
        <v>46</v>
      </c>
      <c r="J418" s="203">
        <v>45753</v>
      </c>
      <c r="K418" s="18" t="s">
        <v>1672</v>
      </c>
      <c r="L418" s="18" t="s">
        <v>8</v>
      </c>
      <c r="M418" s="18" t="s">
        <v>1673</v>
      </c>
      <c r="N418" s="18" t="s">
        <v>1674</v>
      </c>
      <c r="O418" s="96" t="s">
        <v>5</v>
      </c>
      <c r="P418" s="96" t="s">
        <v>3</v>
      </c>
      <c r="Q418" s="18" t="s">
        <v>59</v>
      </c>
      <c r="R418" s="19"/>
      <c r="S418" s="96"/>
      <c r="T418" s="96" t="s">
        <v>808</v>
      </c>
      <c r="U418" s="18" t="s">
        <v>1227</v>
      </c>
      <c r="V418" s="18" t="s">
        <v>1675</v>
      </c>
      <c r="W418" s="146">
        <v>13556452</v>
      </c>
      <c r="X418" s="18"/>
    </row>
    <row r="419" spans="1:29" s="64" customFormat="1" ht="29.1" hidden="1">
      <c r="A419" s="99"/>
      <c r="B419" s="18" t="s">
        <v>1651</v>
      </c>
      <c r="C419" s="18" t="s">
        <v>1652</v>
      </c>
      <c r="D419" s="18" t="s">
        <v>1653</v>
      </c>
      <c r="E419" s="18" t="s">
        <v>38</v>
      </c>
      <c r="F419" s="96">
        <v>7</v>
      </c>
      <c r="G419" s="96" t="s">
        <v>53</v>
      </c>
      <c r="H419" s="18" t="s">
        <v>54</v>
      </c>
      <c r="I419" s="26" t="s">
        <v>86</v>
      </c>
      <c r="J419" s="203"/>
      <c r="K419" s="18" t="s">
        <v>1676</v>
      </c>
      <c r="L419" s="18" t="s">
        <v>8</v>
      </c>
      <c r="M419" s="18" t="s">
        <v>1677</v>
      </c>
      <c r="N419" s="18" t="s">
        <v>1678</v>
      </c>
      <c r="O419" s="96" t="s">
        <v>3</v>
      </c>
      <c r="P419" s="96" t="s">
        <v>3</v>
      </c>
      <c r="Q419" s="18" t="s">
        <v>112</v>
      </c>
      <c r="R419" s="19"/>
      <c r="S419" s="96"/>
      <c r="T419" s="96" t="s">
        <v>65</v>
      </c>
      <c r="U419" s="18"/>
      <c r="V419" s="124" t="s">
        <v>1679</v>
      </c>
      <c r="W419" s="146"/>
      <c r="X419" s="18"/>
      <c r="Y419" s="45"/>
      <c r="Z419" s="45"/>
      <c r="AA419" s="45"/>
      <c r="AB419" s="45"/>
      <c r="AC419" s="45"/>
    </row>
    <row r="420" spans="1:29" ht="29.1" hidden="1">
      <c r="B420" s="18" t="s">
        <v>1651</v>
      </c>
      <c r="C420" s="18" t="s">
        <v>1652</v>
      </c>
      <c r="D420" s="18" t="s">
        <v>1653</v>
      </c>
      <c r="E420" s="18" t="s">
        <v>38</v>
      </c>
      <c r="F420" s="96">
        <v>8</v>
      </c>
      <c r="G420" s="96" t="s">
        <v>53</v>
      </c>
      <c r="H420" s="18" t="s">
        <v>54</v>
      </c>
      <c r="I420" s="26" t="s">
        <v>40</v>
      </c>
      <c r="J420" s="203"/>
      <c r="K420" s="18" t="s">
        <v>1680</v>
      </c>
      <c r="L420" s="18" t="s">
        <v>8</v>
      </c>
      <c r="M420" s="18" t="s">
        <v>1681</v>
      </c>
      <c r="N420" s="18" t="s">
        <v>1682</v>
      </c>
      <c r="O420" s="96" t="s">
        <v>3</v>
      </c>
      <c r="P420" s="96" t="s">
        <v>3</v>
      </c>
      <c r="Q420" s="18" t="s">
        <v>112</v>
      </c>
      <c r="R420" s="19"/>
      <c r="S420" s="96"/>
      <c r="T420" s="96" t="s">
        <v>808</v>
      </c>
      <c r="U420" s="18"/>
      <c r="V420" s="108"/>
      <c r="W420" s="146"/>
      <c r="X420" s="18"/>
    </row>
    <row r="421" spans="1:29" ht="29.1" hidden="1">
      <c r="B421" s="18" t="s">
        <v>1683</v>
      </c>
      <c r="C421" s="18" t="s">
        <v>1684</v>
      </c>
      <c r="D421" s="18" t="s">
        <v>1685</v>
      </c>
      <c r="E421" s="18" t="s">
        <v>38</v>
      </c>
      <c r="F421" s="14">
        <v>1</v>
      </c>
      <c r="G421" s="14" t="s">
        <v>53</v>
      </c>
      <c r="H421" s="26" t="s">
        <v>54</v>
      </c>
      <c r="I421" s="26" t="s">
        <v>75</v>
      </c>
      <c r="J421" s="202"/>
      <c r="K421" s="18" t="s">
        <v>1686</v>
      </c>
      <c r="L421" s="47" t="s">
        <v>4</v>
      </c>
      <c r="M421" s="96" t="s">
        <v>1687</v>
      </c>
      <c r="N421" s="18" t="s">
        <v>1688</v>
      </c>
      <c r="O421" s="18" t="s">
        <v>5</v>
      </c>
      <c r="P421" s="18" t="s">
        <v>3</v>
      </c>
      <c r="Q421" s="18" t="s">
        <v>112</v>
      </c>
      <c r="R421" s="19"/>
      <c r="S421" s="20"/>
      <c r="T421" s="20" t="s">
        <v>65</v>
      </c>
      <c r="U421" s="20"/>
      <c r="V421" s="20"/>
      <c r="W421" s="20"/>
      <c r="X421" s="20"/>
    </row>
    <row r="422" spans="1:29" ht="29.1" hidden="1">
      <c r="B422" s="18" t="s">
        <v>1683</v>
      </c>
      <c r="C422" s="18" t="s">
        <v>1684</v>
      </c>
      <c r="D422" s="18" t="s">
        <v>1685</v>
      </c>
      <c r="E422" s="18" t="s">
        <v>38</v>
      </c>
      <c r="F422" s="14">
        <v>2</v>
      </c>
      <c r="G422" s="14" t="s">
        <v>53</v>
      </c>
      <c r="H422" s="26" t="s">
        <v>54</v>
      </c>
      <c r="I422" s="26" t="s">
        <v>75</v>
      </c>
      <c r="J422" s="202"/>
      <c r="K422" s="18" t="s">
        <v>544</v>
      </c>
      <c r="L422" s="47" t="s">
        <v>4</v>
      </c>
      <c r="M422" s="18" t="s">
        <v>1689</v>
      </c>
      <c r="N422" s="18" t="s">
        <v>546</v>
      </c>
      <c r="O422" s="18" t="s">
        <v>5</v>
      </c>
      <c r="P422" s="18" t="s">
        <v>3</v>
      </c>
      <c r="Q422" s="18" t="s">
        <v>99</v>
      </c>
      <c r="R422" s="19"/>
      <c r="S422" s="20"/>
      <c r="T422" s="20" t="s">
        <v>65</v>
      </c>
      <c r="U422" s="20"/>
      <c r="V422" s="110" t="s">
        <v>1690</v>
      </c>
      <c r="W422" s="20"/>
      <c r="X422" s="20"/>
    </row>
    <row r="423" spans="1:29" ht="29.1" hidden="1">
      <c r="B423" s="18" t="s">
        <v>1691</v>
      </c>
      <c r="C423" s="18" t="s">
        <v>1692</v>
      </c>
      <c r="D423" s="18" t="s">
        <v>1693</v>
      </c>
      <c r="E423" s="18" t="s">
        <v>38</v>
      </c>
      <c r="F423" s="96">
        <v>1</v>
      </c>
      <c r="G423" s="14" t="s">
        <v>69</v>
      </c>
      <c r="H423" s="26" t="s">
        <v>128</v>
      </c>
      <c r="I423" s="26" t="s">
        <v>40</v>
      </c>
      <c r="J423" s="202"/>
      <c r="K423" s="18" t="s">
        <v>544</v>
      </c>
      <c r="L423" s="47" t="s">
        <v>6</v>
      </c>
      <c r="M423" s="18" t="s">
        <v>545</v>
      </c>
      <c r="N423" s="18" t="s">
        <v>546</v>
      </c>
      <c r="O423" s="18" t="s">
        <v>3</v>
      </c>
      <c r="P423" s="18" t="s">
        <v>3</v>
      </c>
      <c r="Q423" s="18" t="s">
        <v>99</v>
      </c>
      <c r="R423" s="19"/>
      <c r="S423" s="20"/>
      <c r="T423" s="20" t="s">
        <v>65</v>
      </c>
      <c r="U423" s="20"/>
      <c r="V423" s="108" t="s">
        <v>547</v>
      </c>
      <c r="W423" s="18"/>
      <c r="X423" s="18"/>
    </row>
    <row r="424" spans="1:29" ht="43.5" hidden="1">
      <c r="B424" s="18" t="s">
        <v>1691</v>
      </c>
      <c r="C424" s="18" t="s">
        <v>1692</v>
      </c>
      <c r="D424" s="18" t="s">
        <v>1693</v>
      </c>
      <c r="E424" s="18" t="s">
        <v>38</v>
      </c>
      <c r="F424" s="96">
        <v>2</v>
      </c>
      <c r="G424" s="14" t="s">
        <v>53</v>
      </c>
      <c r="H424" s="18" t="s">
        <v>1694</v>
      </c>
      <c r="I424" s="26" t="s">
        <v>46</v>
      </c>
      <c r="J424" s="202"/>
      <c r="K424" s="18" t="s">
        <v>1695</v>
      </c>
      <c r="L424" s="47" t="s">
        <v>4</v>
      </c>
      <c r="M424" s="18" t="s">
        <v>1696</v>
      </c>
      <c r="N424" s="18" t="s">
        <v>1697</v>
      </c>
      <c r="O424" s="18" t="s">
        <v>3</v>
      </c>
      <c r="P424" s="18" t="s">
        <v>3</v>
      </c>
      <c r="Q424" s="18" t="s">
        <v>940</v>
      </c>
      <c r="R424" s="19"/>
      <c r="S424" s="20"/>
      <c r="T424" s="20" t="s">
        <v>45</v>
      </c>
      <c r="U424" s="20"/>
      <c r="V424" s="108"/>
      <c r="W424" s="18"/>
      <c r="X424" s="18"/>
    </row>
    <row r="425" spans="1:29" ht="29.1" hidden="1">
      <c r="B425" s="18" t="s">
        <v>1691</v>
      </c>
      <c r="C425" s="18" t="s">
        <v>1692</v>
      </c>
      <c r="D425" s="18" t="s">
        <v>1693</v>
      </c>
      <c r="E425" s="18" t="s">
        <v>38</v>
      </c>
      <c r="F425" s="96">
        <v>2</v>
      </c>
      <c r="G425" s="14" t="s">
        <v>53</v>
      </c>
      <c r="H425" s="18" t="s">
        <v>1694</v>
      </c>
      <c r="I425" s="26" t="s">
        <v>203</v>
      </c>
      <c r="J425" s="202"/>
      <c r="K425" s="18" t="s">
        <v>1698</v>
      </c>
      <c r="L425" s="47" t="s">
        <v>4</v>
      </c>
      <c r="M425" s="18" t="s">
        <v>1699</v>
      </c>
      <c r="N425" s="18" t="s">
        <v>1700</v>
      </c>
      <c r="O425" s="18" t="s">
        <v>3</v>
      </c>
      <c r="P425" s="18" t="s">
        <v>3</v>
      </c>
      <c r="Q425" s="18" t="s">
        <v>940</v>
      </c>
      <c r="R425" s="19">
        <v>45868</v>
      </c>
      <c r="S425" s="20">
        <v>45868</v>
      </c>
      <c r="T425" s="20" t="s">
        <v>65</v>
      </c>
      <c r="U425" s="20"/>
      <c r="V425" s="108"/>
      <c r="W425" s="18"/>
      <c r="X425" s="18"/>
    </row>
    <row r="426" spans="1:29" ht="29.1" hidden="1">
      <c r="B426" s="18" t="s">
        <v>1691</v>
      </c>
      <c r="C426" s="18" t="s">
        <v>1692</v>
      </c>
      <c r="D426" s="18" t="s">
        <v>1693</v>
      </c>
      <c r="E426" s="18" t="s">
        <v>38</v>
      </c>
      <c r="F426" s="96">
        <v>3</v>
      </c>
      <c r="G426" s="14" t="s">
        <v>53</v>
      </c>
      <c r="H426" s="18" t="s">
        <v>1694</v>
      </c>
      <c r="I426" s="26" t="s">
        <v>46</v>
      </c>
      <c r="J426" s="202"/>
      <c r="K426" s="18" t="s">
        <v>1701</v>
      </c>
      <c r="L426" s="47" t="s">
        <v>8</v>
      </c>
      <c r="M426" s="18" t="s">
        <v>1702</v>
      </c>
      <c r="N426" s="18" t="s">
        <v>1703</v>
      </c>
      <c r="O426" s="18" t="s">
        <v>5</v>
      </c>
      <c r="P426" s="18" t="s">
        <v>3</v>
      </c>
      <c r="Q426" s="18" t="s">
        <v>940</v>
      </c>
      <c r="R426" s="19"/>
      <c r="S426" s="20"/>
      <c r="T426" s="20" t="s">
        <v>65</v>
      </c>
      <c r="U426" s="20"/>
      <c r="V426" s="108"/>
      <c r="W426" s="18"/>
      <c r="X426" s="18"/>
    </row>
    <row r="427" spans="1:29" ht="43.5" hidden="1">
      <c r="B427" s="18" t="s">
        <v>1691</v>
      </c>
      <c r="C427" s="18" t="s">
        <v>1692</v>
      </c>
      <c r="D427" s="18" t="s">
        <v>1693</v>
      </c>
      <c r="E427" s="18" t="s">
        <v>38</v>
      </c>
      <c r="F427" s="96">
        <v>4</v>
      </c>
      <c r="G427" s="14" t="s">
        <v>53</v>
      </c>
      <c r="H427" s="18" t="s">
        <v>1704</v>
      </c>
      <c r="I427" s="26" t="s">
        <v>167</v>
      </c>
      <c r="J427" s="202"/>
      <c r="K427" s="18" t="s">
        <v>1705</v>
      </c>
      <c r="L427" s="47" t="s">
        <v>4</v>
      </c>
      <c r="M427" s="18" t="s">
        <v>1706</v>
      </c>
      <c r="N427" s="18" t="s">
        <v>1707</v>
      </c>
      <c r="O427" s="18" t="s">
        <v>3</v>
      </c>
      <c r="P427" s="18" t="s">
        <v>3</v>
      </c>
      <c r="Q427" s="18" t="s">
        <v>940</v>
      </c>
      <c r="R427" s="19"/>
      <c r="S427" s="20"/>
      <c r="T427" s="20" t="s">
        <v>45</v>
      </c>
      <c r="U427" s="20"/>
      <c r="V427" s="108"/>
      <c r="W427" s="18"/>
      <c r="X427" s="18"/>
    </row>
    <row r="428" spans="1:29" ht="29.1" hidden="1">
      <c r="B428" s="18" t="s">
        <v>1691</v>
      </c>
      <c r="C428" s="18" t="s">
        <v>1692</v>
      </c>
      <c r="D428" s="18" t="s">
        <v>1693</v>
      </c>
      <c r="E428" s="18" t="s">
        <v>38</v>
      </c>
      <c r="F428" s="96">
        <v>5</v>
      </c>
      <c r="G428" s="14" t="s">
        <v>53</v>
      </c>
      <c r="H428" s="18" t="s">
        <v>54</v>
      </c>
      <c r="I428" s="26" t="s">
        <v>40</v>
      </c>
      <c r="J428" s="202"/>
      <c r="K428" s="18" t="s">
        <v>1708</v>
      </c>
      <c r="L428" s="47" t="s">
        <v>6</v>
      </c>
      <c r="M428" s="18" t="s">
        <v>1709</v>
      </c>
      <c r="N428" s="18" t="s">
        <v>1710</v>
      </c>
      <c r="O428" s="18" t="s">
        <v>5</v>
      </c>
      <c r="P428" s="18" t="s">
        <v>5</v>
      </c>
      <c r="Q428" s="18" t="s">
        <v>1711</v>
      </c>
      <c r="R428" s="19"/>
      <c r="S428" s="20">
        <v>45960</v>
      </c>
      <c r="T428" s="20" t="s">
        <v>45</v>
      </c>
      <c r="U428" s="20"/>
      <c r="V428" s="108"/>
      <c r="W428" s="18"/>
      <c r="X428" s="18"/>
    </row>
    <row r="429" spans="1:29" ht="29.1" hidden="1">
      <c r="B429" s="18" t="s">
        <v>1691</v>
      </c>
      <c r="C429" s="18" t="s">
        <v>1692</v>
      </c>
      <c r="D429" s="18" t="s">
        <v>1693</v>
      </c>
      <c r="E429" s="18" t="s">
        <v>38</v>
      </c>
      <c r="F429" s="96">
        <v>6</v>
      </c>
      <c r="G429" s="14" t="s">
        <v>39</v>
      </c>
      <c r="H429" s="18" t="s">
        <v>1</v>
      </c>
      <c r="I429" s="26" t="s">
        <v>167</v>
      </c>
      <c r="J429" s="202"/>
      <c r="K429" s="18" t="s">
        <v>1712</v>
      </c>
      <c r="L429" s="47" t="s">
        <v>6</v>
      </c>
      <c r="M429" s="18" t="s">
        <v>1713</v>
      </c>
      <c r="N429" s="18" t="s">
        <v>1714</v>
      </c>
      <c r="O429" s="18" t="s">
        <v>5</v>
      </c>
      <c r="P429" s="18" t="s">
        <v>3</v>
      </c>
      <c r="Q429" s="18" t="s">
        <v>1715</v>
      </c>
      <c r="R429" s="19"/>
      <c r="S429" s="20">
        <v>45838</v>
      </c>
      <c r="T429" s="20" t="s">
        <v>65</v>
      </c>
      <c r="U429" s="20"/>
      <c r="V429" s="108"/>
      <c r="W429" s="18"/>
      <c r="X429" s="18"/>
    </row>
    <row r="430" spans="1:29" ht="43.5" hidden="1">
      <c r="B430" s="18" t="s">
        <v>1691</v>
      </c>
      <c r="C430" s="18" t="s">
        <v>1692</v>
      </c>
      <c r="D430" s="18" t="s">
        <v>1693</v>
      </c>
      <c r="E430" s="18" t="s">
        <v>38</v>
      </c>
      <c r="F430" s="96">
        <v>7</v>
      </c>
      <c r="G430" s="14" t="s">
        <v>53</v>
      </c>
      <c r="H430" s="18" t="s">
        <v>54</v>
      </c>
      <c r="I430" s="26" t="s">
        <v>203</v>
      </c>
      <c r="J430" s="202"/>
      <c r="K430" s="18" t="s">
        <v>1716</v>
      </c>
      <c r="L430" s="47" t="s">
        <v>4</v>
      </c>
      <c r="M430" s="18" t="s">
        <v>1717</v>
      </c>
      <c r="N430" s="18" t="s">
        <v>1718</v>
      </c>
      <c r="O430" s="18" t="s">
        <v>3</v>
      </c>
      <c r="P430" s="18" t="s">
        <v>3</v>
      </c>
      <c r="Q430" s="18" t="s">
        <v>940</v>
      </c>
      <c r="R430" s="19"/>
      <c r="S430" s="20">
        <v>45875</v>
      </c>
      <c r="T430" s="20" t="s">
        <v>65</v>
      </c>
      <c r="U430" s="20"/>
      <c r="V430" s="108"/>
      <c r="W430" s="18"/>
      <c r="X430" s="18"/>
    </row>
    <row r="431" spans="1:29" ht="32.1" hidden="1">
      <c r="B431" s="18" t="s">
        <v>1691</v>
      </c>
      <c r="C431" s="18" t="s">
        <v>1692</v>
      </c>
      <c r="D431" s="18" t="s">
        <v>1693</v>
      </c>
      <c r="E431" s="18" t="s">
        <v>38</v>
      </c>
      <c r="F431" s="96">
        <v>7</v>
      </c>
      <c r="G431" s="96" t="s">
        <v>53</v>
      </c>
      <c r="H431" s="18" t="s">
        <v>1719</v>
      </c>
      <c r="I431" s="26" t="s">
        <v>153</v>
      </c>
      <c r="J431" s="203"/>
      <c r="K431" s="18" t="s">
        <v>1720</v>
      </c>
      <c r="L431" s="18" t="s">
        <v>4</v>
      </c>
      <c r="M431" s="18" t="s">
        <v>1721</v>
      </c>
      <c r="N431" s="18" t="s">
        <v>557</v>
      </c>
      <c r="O431" s="96" t="s">
        <v>3</v>
      </c>
      <c r="P431" s="96" t="s">
        <v>3</v>
      </c>
      <c r="Q431" s="18" t="s">
        <v>940</v>
      </c>
      <c r="R431" s="19"/>
      <c r="S431" s="101">
        <v>45770</v>
      </c>
      <c r="T431" s="96" t="s">
        <v>45</v>
      </c>
      <c r="U431" s="18"/>
      <c r="V431" s="18"/>
      <c r="W431" s="18"/>
      <c r="X431" s="18"/>
    </row>
    <row r="432" spans="1:29" ht="29.1" hidden="1">
      <c r="B432" s="18" t="s">
        <v>1722</v>
      </c>
      <c r="C432" s="18" t="s">
        <v>1723</v>
      </c>
      <c r="D432" s="18" t="s">
        <v>1724</v>
      </c>
      <c r="E432" s="18" t="s">
        <v>38</v>
      </c>
      <c r="F432" s="14">
        <v>1</v>
      </c>
      <c r="G432" s="14" t="s">
        <v>69</v>
      </c>
      <c r="H432" s="26" t="s">
        <v>1725</v>
      </c>
      <c r="I432" s="26" t="s">
        <v>40</v>
      </c>
      <c r="J432" s="202"/>
      <c r="K432" s="18" t="s">
        <v>1726</v>
      </c>
      <c r="L432" s="47" t="s">
        <v>6</v>
      </c>
      <c r="M432" s="18" t="s">
        <v>1727</v>
      </c>
      <c r="N432" s="18" t="s">
        <v>1728</v>
      </c>
      <c r="O432" s="18" t="s">
        <v>3</v>
      </c>
      <c r="P432" s="18" t="s">
        <v>3</v>
      </c>
      <c r="Q432" s="18" t="s">
        <v>99</v>
      </c>
      <c r="R432" s="19">
        <v>45747</v>
      </c>
      <c r="S432" s="20">
        <v>45838</v>
      </c>
      <c r="T432" s="20" t="s">
        <v>65</v>
      </c>
      <c r="U432" s="20"/>
      <c r="V432" s="20"/>
      <c r="W432" s="20"/>
      <c r="X432" s="20"/>
    </row>
    <row r="433" spans="2:24" ht="15.95" hidden="1">
      <c r="B433" s="18" t="s">
        <v>1722</v>
      </c>
      <c r="C433" s="18" t="s">
        <v>1723</v>
      </c>
      <c r="D433" s="18" t="s">
        <v>1724</v>
      </c>
      <c r="E433" s="18" t="s">
        <v>38</v>
      </c>
      <c r="F433" s="14">
        <v>2</v>
      </c>
      <c r="G433" s="14" t="s">
        <v>69</v>
      </c>
      <c r="H433" s="26" t="s">
        <v>138</v>
      </c>
      <c r="I433" s="26" t="s">
        <v>40</v>
      </c>
      <c r="J433" s="202"/>
      <c r="K433" s="18" t="s">
        <v>1729</v>
      </c>
      <c r="L433" s="47" t="s">
        <v>6</v>
      </c>
      <c r="M433" s="18" t="s">
        <v>1730</v>
      </c>
      <c r="N433" s="18" t="s">
        <v>557</v>
      </c>
      <c r="O433" s="18" t="s">
        <v>3</v>
      </c>
      <c r="P433" s="18" t="s">
        <v>3</v>
      </c>
      <c r="Q433" s="18" t="s">
        <v>99</v>
      </c>
      <c r="R433" s="19">
        <v>45713</v>
      </c>
      <c r="S433" s="20">
        <v>45787</v>
      </c>
      <c r="T433" s="20" t="s">
        <v>45</v>
      </c>
      <c r="U433" s="20"/>
      <c r="V433" s="20"/>
      <c r="W433" s="20"/>
      <c r="X433" s="20"/>
    </row>
    <row r="434" spans="2:24" ht="29.1" hidden="1">
      <c r="B434" s="18" t="s">
        <v>1722</v>
      </c>
      <c r="C434" s="18" t="s">
        <v>1723</v>
      </c>
      <c r="D434" s="18" t="s">
        <v>1724</v>
      </c>
      <c r="E434" s="18" t="s">
        <v>38</v>
      </c>
      <c r="F434" s="14">
        <v>3</v>
      </c>
      <c r="G434" s="14" t="s">
        <v>69</v>
      </c>
      <c r="H434" s="26" t="s">
        <v>128</v>
      </c>
      <c r="I434" s="26" t="s">
        <v>40</v>
      </c>
      <c r="J434" s="202"/>
      <c r="K434" s="18" t="s">
        <v>544</v>
      </c>
      <c r="L434" s="47" t="s">
        <v>6</v>
      </c>
      <c r="M434" s="18" t="s">
        <v>545</v>
      </c>
      <c r="N434" s="18" t="s">
        <v>546</v>
      </c>
      <c r="O434" s="18" t="s">
        <v>3</v>
      </c>
      <c r="P434" s="18" t="s">
        <v>3</v>
      </c>
      <c r="Q434" s="18" t="s">
        <v>99</v>
      </c>
      <c r="R434" s="19"/>
      <c r="S434" s="20"/>
      <c r="T434" s="20" t="s">
        <v>65</v>
      </c>
      <c r="U434" s="20"/>
      <c r="V434" s="109"/>
      <c r="W434" s="20"/>
      <c r="X434" s="110" t="s">
        <v>1690</v>
      </c>
    </row>
    <row r="435" spans="2:24" ht="29.1" hidden="1">
      <c r="B435" s="18" t="s">
        <v>1722</v>
      </c>
      <c r="C435" s="18" t="s">
        <v>1723</v>
      </c>
      <c r="D435" s="18" t="s">
        <v>1724</v>
      </c>
      <c r="E435" s="18" t="s">
        <v>38</v>
      </c>
      <c r="F435" s="14">
        <v>4</v>
      </c>
      <c r="G435" s="14" t="s">
        <v>69</v>
      </c>
      <c r="H435" s="26" t="s">
        <v>1731</v>
      </c>
      <c r="I435" s="26" t="s">
        <v>40</v>
      </c>
      <c r="J435" s="202"/>
      <c r="K435" s="18" t="s">
        <v>1732</v>
      </c>
      <c r="L435" s="47" t="s">
        <v>6</v>
      </c>
      <c r="M435" s="18" t="s">
        <v>1733</v>
      </c>
      <c r="N435" s="18" t="s">
        <v>1734</v>
      </c>
      <c r="O435" s="18" t="s">
        <v>3</v>
      </c>
      <c r="P435" s="18" t="s">
        <v>3</v>
      </c>
      <c r="Q435" s="18" t="s">
        <v>99</v>
      </c>
      <c r="R435" s="19">
        <v>45747</v>
      </c>
      <c r="S435" s="20">
        <v>45868</v>
      </c>
      <c r="T435" s="20" t="s">
        <v>65</v>
      </c>
      <c r="U435" s="20"/>
      <c r="V435" s="20"/>
      <c r="W435" s="20"/>
      <c r="X435" s="20"/>
    </row>
    <row r="436" spans="2:24" ht="32.1" hidden="1">
      <c r="B436" s="18" t="s">
        <v>1722</v>
      </c>
      <c r="C436" s="18" t="s">
        <v>1723</v>
      </c>
      <c r="D436" s="18" t="s">
        <v>1724</v>
      </c>
      <c r="E436" s="18" t="s">
        <v>38</v>
      </c>
      <c r="F436" s="14">
        <v>5</v>
      </c>
      <c r="G436" s="14" t="s">
        <v>69</v>
      </c>
      <c r="H436" s="26" t="s">
        <v>114</v>
      </c>
      <c r="I436" s="26" t="s">
        <v>115</v>
      </c>
      <c r="J436" s="202"/>
      <c r="K436" s="18" t="s">
        <v>116</v>
      </c>
      <c r="L436" s="47" t="s">
        <v>6</v>
      </c>
      <c r="M436" s="18" t="s">
        <v>117</v>
      </c>
      <c r="N436" s="18" t="s">
        <v>118</v>
      </c>
      <c r="O436" s="18" t="s">
        <v>3</v>
      </c>
      <c r="P436" s="18" t="s">
        <v>3</v>
      </c>
      <c r="Q436" s="18" t="s">
        <v>553</v>
      </c>
      <c r="R436" s="19">
        <v>45747</v>
      </c>
      <c r="S436" s="20">
        <v>45838</v>
      </c>
      <c r="T436" s="20" t="s">
        <v>65</v>
      </c>
      <c r="U436" s="20"/>
      <c r="V436" s="124" t="s">
        <v>1735</v>
      </c>
      <c r="W436" s="20"/>
      <c r="X436" s="20"/>
    </row>
    <row r="437" spans="2:24" ht="32.1" hidden="1">
      <c r="B437" s="18" t="s">
        <v>1722</v>
      </c>
      <c r="C437" s="18" t="s">
        <v>1723</v>
      </c>
      <c r="D437" s="18" t="s">
        <v>1724</v>
      </c>
      <c r="E437" s="18" t="s">
        <v>38</v>
      </c>
      <c r="F437" s="14">
        <v>8</v>
      </c>
      <c r="G437" s="14" t="s">
        <v>39</v>
      </c>
      <c r="H437" s="26" t="s">
        <v>0</v>
      </c>
      <c r="I437" s="26" t="s">
        <v>40</v>
      </c>
      <c r="J437" s="202"/>
      <c r="K437" s="18" t="s">
        <v>1736</v>
      </c>
      <c r="L437" s="47" t="s">
        <v>6</v>
      </c>
      <c r="M437" s="18" t="s">
        <v>1737</v>
      </c>
      <c r="N437" s="18" t="s">
        <v>557</v>
      </c>
      <c r="O437" s="18" t="s">
        <v>3</v>
      </c>
      <c r="P437" s="18" t="s">
        <v>3</v>
      </c>
      <c r="Q437" s="18" t="s">
        <v>564</v>
      </c>
      <c r="R437" s="19">
        <v>45741</v>
      </c>
      <c r="S437" s="20">
        <v>45829</v>
      </c>
      <c r="T437" s="20" t="s">
        <v>45</v>
      </c>
      <c r="U437" s="20"/>
      <c r="V437" s="20"/>
      <c r="W437" s="20"/>
      <c r="X437" s="20"/>
    </row>
    <row r="438" spans="2:24" ht="32.1" hidden="1">
      <c r="B438" s="18" t="s">
        <v>1722</v>
      </c>
      <c r="C438" s="18" t="s">
        <v>1723</v>
      </c>
      <c r="D438" s="18" t="s">
        <v>1724</v>
      </c>
      <c r="E438" s="18" t="s">
        <v>38</v>
      </c>
      <c r="F438" s="14">
        <v>9</v>
      </c>
      <c r="G438" s="14" t="s">
        <v>39</v>
      </c>
      <c r="H438" s="26" t="s">
        <v>1</v>
      </c>
      <c r="I438" s="26" t="s">
        <v>167</v>
      </c>
      <c r="J438" s="208"/>
      <c r="K438" s="18" t="s">
        <v>1738</v>
      </c>
      <c r="L438" s="47" t="s">
        <v>6</v>
      </c>
      <c r="M438" s="18" t="s">
        <v>1739</v>
      </c>
      <c r="N438" s="18" t="s">
        <v>1740</v>
      </c>
      <c r="O438" s="18" t="s">
        <v>3</v>
      </c>
      <c r="P438" s="18" t="s">
        <v>3</v>
      </c>
      <c r="Q438" s="18" t="s">
        <v>1741</v>
      </c>
      <c r="R438" s="19"/>
      <c r="S438" s="20"/>
      <c r="T438" s="20" t="s">
        <v>45</v>
      </c>
      <c r="U438" s="20"/>
      <c r="V438" s="20"/>
      <c r="W438" s="20"/>
      <c r="X438" s="20"/>
    </row>
    <row r="439" spans="2:24" ht="43.5" hidden="1">
      <c r="B439" s="18" t="s">
        <v>1722</v>
      </c>
      <c r="C439" s="18" t="s">
        <v>1723</v>
      </c>
      <c r="D439" s="18" t="s">
        <v>1724</v>
      </c>
      <c r="E439" s="18" t="s">
        <v>38</v>
      </c>
      <c r="F439" s="14">
        <v>10</v>
      </c>
      <c r="G439" s="14" t="s">
        <v>39</v>
      </c>
      <c r="H439" s="26" t="s">
        <v>1</v>
      </c>
      <c r="I439" s="26" t="s">
        <v>167</v>
      </c>
      <c r="J439" s="202"/>
      <c r="K439" s="18" t="s">
        <v>1742</v>
      </c>
      <c r="L439" s="47" t="s">
        <v>6</v>
      </c>
      <c r="M439" s="18" t="s">
        <v>1743</v>
      </c>
      <c r="N439" s="18" t="s">
        <v>1744</v>
      </c>
      <c r="O439" s="18" t="s">
        <v>3</v>
      </c>
      <c r="P439" s="18" t="s">
        <v>3</v>
      </c>
      <c r="Q439" s="18" t="s">
        <v>1741</v>
      </c>
      <c r="R439" s="19"/>
      <c r="S439" s="20"/>
      <c r="T439" s="63" t="s">
        <v>45</v>
      </c>
      <c r="U439" s="20"/>
      <c r="V439" s="20"/>
      <c r="W439" s="20"/>
      <c r="X439" s="20"/>
    </row>
    <row r="440" spans="2:24" ht="15.95" hidden="1">
      <c r="B440" s="18" t="s">
        <v>1722</v>
      </c>
      <c r="C440" s="18" t="s">
        <v>1723</v>
      </c>
      <c r="D440" s="18" t="s">
        <v>1724</v>
      </c>
      <c r="E440" s="18" t="s">
        <v>38</v>
      </c>
      <c r="F440" s="14">
        <v>11</v>
      </c>
      <c r="G440" s="14" t="s">
        <v>53</v>
      </c>
      <c r="H440" s="26" t="s">
        <v>54</v>
      </c>
      <c r="I440" s="26" t="s">
        <v>55</v>
      </c>
      <c r="J440" s="202"/>
      <c r="K440" s="18" t="s">
        <v>1745</v>
      </c>
      <c r="L440" s="47" t="s">
        <v>6</v>
      </c>
      <c r="M440" s="18" t="s">
        <v>1746</v>
      </c>
      <c r="N440" s="18" t="s">
        <v>1747</v>
      </c>
      <c r="O440" s="18" t="s">
        <v>3</v>
      </c>
      <c r="P440" s="18" t="s">
        <v>3</v>
      </c>
      <c r="Q440" s="18" t="s">
        <v>112</v>
      </c>
      <c r="R440" s="19"/>
      <c r="S440" s="20"/>
      <c r="T440" s="20" t="s">
        <v>65</v>
      </c>
      <c r="U440" s="20"/>
      <c r="V440" s="20"/>
      <c r="W440" s="20"/>
      <c r="X440" s="20"/>
    </row>
    <row r="441" spans="2:24" ht="43.5" hidden="1">
      <c r="B441" s="18" t="s">
        <v>1722</v>
      </c>
      <c r="C441" s="18" t="s">
        <v>1723</v>
      </c>
      <c r="D441" s="18" t="s">
        <v>1724</v>
      </c>
      <c r="E441" s="18" t="s">
        <v>38</v>
      </c>
      <c r="F441" s="14">
        <v>12</v>
      </c>
      <c r="G441" s="14" t="s">
        <v>53</v>
      </c>
      <c r="H441" s="26" t="s">
        <v>54</v>
      </c>
      <c r="I441" s="26" t="s">
        <v>511</v>
      </c>
      <c r="J441" s="202"/>
      <c r="K441" s="18" t="s">
        <v>1748</v>
      </c>
      <c r="L441" s="47" t="s">
        <v>6</v>
      </c>
      <c r="M441" s="18" t="s">
        <v>1749</v>
      </c>
      <c r="N441" s="18" t="s">
        <v>1750</v>
      </c>
      <c r="O441" s="18" t="s">
        <v>3</v>
      </c>
      <c r="P441" s="18" t="s">
        <v>3</v>
      </c>
      <c r="Q441" s="18" t="s">
        <v>112</v>
      </c>
      <c r="R441" s="19">
        <v>45823</v>
      </c>
      <c r="S441" s="20"/>
      <c r="T441" s="20" t="s">
        <v>65</v>
      </c>
      <c r="U441" s="20"/>
      <c r="V441" s="20"/>
      <c r="W441" s="20"/>
      <c r="X441" s="20"/>
    </row>
    <row r="442" spans="2:24" ht="15.95" hidden="1">
      <c r="B442" s="18" t="s">
        <v>1722</v>
      </c>
      <c r="C442" s="18" t="s">
        <v>1723</v>
      </c>
      <c r="D442" s="18" t="s">
        <v>1724</v>
      </c>
      <c r="E442" s="18" t="s">
        <v>38</v>
      </c>
      <c r="F442" s="14">
        <v>13</v>
      </c>
      <c r="G442" s="14" t="s">
        <v>53</v>
      </c>
      <c r="H442" s="26" t="s">
        <v>54</v>
      </c>
      <c r="I442" s="26" t="s">
        <v>55</v>
      </c>
      <c r="J442" s="202"/>
      <c r="K442" s="18" t="s">
        <v>1751</v>
      </c>
      <c r="L442" s="47" t="s">
        <v>6</v>
      </c>
      <c r="M442" s="18" t="s">
        <v>1752</v>
      </c>
      <c r="N442" s="18" t="s">
        <v>1747</v>
      </c>
      <c r="O442" s="18" t="s">
        <v>3</v>
      </c>
      <c r="P442" s="18" t="s">
        <v>3</v>
      </c>
      <c r="Q442" s="18" t="s">
        <v>112</v>
      </c>
      <c r="R442" s="19"/>
      <c r="S442" s="20"/>
      <c r="T442" s="20" t="s">
        <v>65</v>
      </c>
      <c r="U442" s="20"/>
      <c r="V442" s="20"/>
      <c r="W442" s="20"/>
      <c r="X442" s="20"/>
    </row>
    <row r="443" spans="2:24" ht="32.1" hidden="1">
      <c r="B443" s="18" t="s">
        <v>1722</v>
      </c>
      <c r="C443" s="18" t="s">
        <v>1723</v>
      </c>
      <c r="D443" s="18" t="s">
        <v>1724</v>
      </c>
      <c r="E443" s="18" t="s">
        <v>38</v>
      </c>
      <c r="F443" s="14">
        <v>14</v>
      </c>
      <c r="G443" s="14" t="s">
        <v>39</v>
      </c>
      <c r="H443" s="26" t="s">
        <v>0</v>
      </c>
      <c r="I443" s="26" t="s">
        <v>207</v>
      </c>
      <c r="J443" s="202"/>
      <c r="K443" s="18" t="s">
        <v>1753</v>
      </c>
      <c r="L443" s="47" t="s">
        <v>6</v>
      </c>
      <c r="M443" s="18" t="s">
        <v>1754</v>
      </c>
      <c r="N443" s="18" t="s">
        <v>1755</v>
      </c>
      <c r="O443" s="18" t="s">
        <v>3</v>
      </c>
      <c r="P443" s="18" t="s">
        <v>3</v>
      </c>
      <c r="Q443" s="18" t="s">
        <v>379</v>
      </c>
      <c r="R443" s="19"/>
      <c r="S443" s="20"/>
      <c r="T443" s="20" t="s">
        <v>45</v>
      </c>
      <c r="U443" s="20"/>
      <c r="V443" s="20"/>
      <c r="W443" s="20"/>
      <c r="X443" s="20"/>
    </row>
    <row r="444" spans="2:24" ht="32.1" hidden="1">
      <c r="B444" s="37" t="s">
        <v>656</v>
      </c>
      <c r="C444" s="37" t="s">
        <v>657</v>
      </c>
      <c r="D444" s="37" t="s">
        <v>658</v>
      </c>
      <c r="E444" s="37" t="s">
        <v>191</v>
      </c>
      <c r="F444" s="23">
        <v>4</v>
      </c>
      <c r="G444" s="23" t="s">
        <v>39</v>
      </c>
      <c r="H444" s="37" t="s">
        <v>195</v>
      </c>
      <c r="I444" s="24" t="s">
        <v>153</v>
      </c>
      <c r="J444" s="213"/>
      <c r="K444" s="35" t="s">
        <v>1756</v>
      </c>
      <c r="L444" s="47" t="s">
        <v>6</v>
      </c>
      <c r="M444" s="35" t="s">
        <v>1757</v>
      </c>
      <c r="N444" s="37" t="s">
        <v>1758</v>
      </c>
      <c r="O444" s="18" t="s">
        <v>3</v>
      </c>
      <c r="P444" s="18" t="s">
        <v>3</v>
      </c>
      <c r="Q444" s="18" t="s">
        <v>286</v>
      </c>
      <c r="R444" s="38"/>
      <c r="S444" s="163"/>
      <c r="T444" s="20" t="s">
        <v>45</v>
      </c>
      <c r="U444" s="37"/>
      <c r="V444" s="37" t="s">
        <v>1759</v>
      </c>
      <c r="W444" s="37"/>
      <c r="X444" s="37"/>
    </row>
    <row r="445" spans="2:24" ht="43.5" hidden="1">
      <c r="B445" s="37" t="s">
        <v>345</v>
      </c>
      <c r="C445" s="18" t="s">
        <v>346</v>
      </c>
      <c r="D445" s="18" t="s">
        <v>347</v>
      </c>
      <c r="E445" s="18" t="s">
        <v>191</v>
      </c>
      <c r="F445" s="163">
        <v>10</v>
      </c>
      <c r="G445" s="23" t="s">
        <v>69</v>
      </c>
      <c r="H445" s="24" t="s">
        <v>1760</v>
      </c>
      <c r="I445" s="24" t="s">
        <v>86</v>
      </c>
      <c r="J445" s="214"/>
      <c r="K445" s="37" t="s">
        <v>1761</v>
      </c>
      <c r="L445" s="47" t="s">
        <v>4</v>
      </c>
      <c r="M445" s="37" t="s">
        <v>1762</v>
      </c>
      <c r="N445" s="37" t="s">
        <v>1763</v>
      </c>
      <c r="O445" s="37" t="s">
        <v>3</v>
      </c>
      <c r="P445" s="37" t="s">
        <v>3</v>
      </c>
      <c r="Q445" s="37" t="s">
        <v>69</v>
      </c>
      <c r="R445" s="38"/>
      <c r="S445" s="39"/>
      <c r="T445" s="39" t="s">
        <v>65</v>
      </c>
      <c r="U445" s="39" t="s">
        <v>1764</v>
      </c>
      <c r="V445" s="165"/>
      <c r="W445" s="37"/>
      <c r="X445" s="37"/>
    </row>
    <row r="446" spans="2:24" ht="29.1" hidden="1">
      <c r="B446" s="37" t="s">
        <v>345</v>
      </c>
      <c r="C446" s="18" t="s">
        <v>346</v>
      </c>
      <c r="D446" s="18" t="s">
        <v>347</v>
      </c>
      <c r="E446" s="18" t="s">
        <v>191</v>
      </c>
      <c r="F446" s="163">
        <v>11</v>
      </c>
      <c r="G446" s="14" t="s">
        <v>69</v>
      </c>
      <c r="H446" s="26" t="s">
        <v>348</v>
      </c>
      <c r="I446" s="26" t="s">
        <v>40</v>
      </c>
      <c r="J446" s="202"/>
      <c r="K446" s="18" t="s">
        <v>1765</v>
      </c>
      <c r="L446" s="47" t="s">
        <v>4</v>
      </c>
      <c r="M446" s="18" t="s">
        <v>1766</v>
      </c>
      <c r="N446" s="18" t="s">
        <v>1767</v>
      </c>
      <c r="O446" s="18" t="s">
        <v>3</v>
      </c>
      <c r="P446" s="18" t="s">
        <v>3</v>
      </c>
      <c r="Q446" s="18" t="s">
        <v>69</v>
      </c>
      <c r="R446" s="19"/>
      <c r="S446" s="20"/>
      <c r="T446" s="20" t="s">
        <v>65</v>
      </c>
      <c r="U446" s="20" t="s">
        <v>1768</v>
      </c>
      <c r="V446" s="108"/>
      <c r="W446" s="18"/>
      <c r="X446" s="18"/>
    </row>
    <row r="447" spans="2:24" ht="57.95" hidden="1">
      <c r="B447" s="37" t="s">
        <v>1769</v>
      </c>
      <c r="C447" s="37" t="s">
        <v>1770</v>
      </c>
      <c r="D447" s="37" t="s">
        <v>1771</v>
      </c>
      <c r="E447" s="37" t="s">
        <v>191</v>
      </c>
      <c r="F447" s="163">
        <v>1</v>
      </c>
      <c r="G447" s="23" t="s">
        <v>53</v>
      </c>
      <c r="H447" s="24" t="s">
        <v>54</v>
      </c>
      <c r="I447" s="24" t="s">
        <v>55</v>
      </c>
      <c r="J447" s="214"/>
      <c r="K447" s="37" t="s">
        <v>1772</v>
      </c>
      <c r="L447" s="164" t="s">
        <v>4</v>
      </c>
      <c r="M447" s="37" t="s">
        <v>1773</v>
      </c>
      <c r="N447" s="37" t="s">
        <v>1774</v>
      </c>
      <c r="O447" s="37" t="s">
        <v>3</v>
      </c>
      <c r="P447" s="37" t="s">
        <v>3</v>
      </c>
      <c r="Q447" s="37" t="s">
        <v>59</v>
      </c>
      <c r="R447" s="38"/>
      <c r="S447" s="39"/>
      <c r="T447" s="39" t="s">
        <v>45</v>
      </c>
      <c r="U447" s="39"/>
      <c r="V447" s="165"/>
      <c r="W447" s="37"/>
      <c r="X447" s="37"/>
    </row>
    <row r="448" spans="2:24" ht="57.95" hidden="1">
      <c r="B448" s="37" t="s">
        <v>1769</v>
      </c>
      <c r="C448" s="37" t="s">
        <v>1770</v>
      </c>
      <c r="D448" s="37" t="s">
        <v>1771</v>
      </c>
      <c r="E448" s="37" t="s">
        <v>191</v>
      </c>
      <c r="F448" s="163">
        <v>2</v>
      </c>
      <c r="G448" s="23" t="s">
        <v>39</v>
      </c>
      <c r="H448" s="24" t="s">
        <v>269</v>
      </c>
      <c r="I448" s="24" t="s">
        <v>207</v>
      </c>
      <c r="J448" s="214"/>
      <c r="K448" s="37" t="s">
        <v>1775</v>
      </c>
      <c r="L448" s="164" t="s">
        <v>4</v>
      </c>
      <c r="M448" s="37" t="s">
        <v>1776</v>
      </c>
      <c r="N448" s="37" t="s">
        <v>1777</v>
      </c>
      <c r="O448" s="37" t="s">
        <v>3</v>
      </c>
      <c r="P448" s="37" t="s">
        <v>3</v>
      </c>
      <c r="Q448" s="37" t="s">
        <v>269</v>
      </c>
      <c r="R448" s="38"/>
      <c r="S448" s="39"/>
      <c r="T448" s="39" t="s">
        <v>45</v>
      </c>
      <c r="U448" s="39"/>
      <c r="V448" s="165"/>
      <c r="W448" s="37"/>
      <c r="X448" s="37"/>
    </row>
    <row r="449" spans="2:24" ht="57.95" hidden="1">
      <c r="B449" s="37" t="s">
        <v>1769</v>
      </c>
      <c r="C449" s="37" t="s">
        <v>1770</v>
      </c>
      <c r="D449" s="37" t="s">
        <v>1771</v>
      </c>
      <c r="E449" s="37" t="s">
        <v>191</v>
      </c>
      <c r="F449" s="163">
        <v>3</v>
      </c>
      <c r="G449" s="23" t="s">
        <v>39</v>
      </c>
      <c r="H449" s="24" t="s">
        <v>269</v>
      </c>
      <c r="I449" s="24" t="s">
        <v>817</v>
      </c>
      <c r="J449" s="214"/>
      <c r="K449" s="37" t="s">
        <v>1778</v>
      </c>
      <c r="L449" s="164" t="s">
        <v>6</v>
      </c>
      <c r="M449" s="37" t="s">
        <v>1779</v>
      </c>
      <c r="N449" s="37" t="s">
        <v>1780</v>
      </c>
      <c r="O449" s="37" t="s">
        <v>3</v>
      </c>
      <c r="P449" s="37" t="s">
        <v>3</v>
      </c>
      <c r="Q449" s="37" t="s">
        <v>269</v>
      </c>
      <c r="R449" s="38"/>
      <c r="S449" s="39"/>
      <c r="T449" s="39" t="s">
        <v>45</v>
      </c>
      <c r="U449" s="39"/>
      <c r="V449" s="165"/>
      <c r="W449" s="37"/>
      <c r="X449" s="37"/>
    </row>
    <row r="450" spans="2:24" ht="57.95" hidden="1">
      <c r="B450" s="37" t="s">
        <v>1769</v>
      </c>
      <c r="C450" s="37" t="s">
        <v>1770</v>
      </c>
      <c r="D450" s="37" t="s">
        <v>1771</v>
      </c>
      <c r="E450" s="37" t="s">
        <v>191</v>
      </c>
      <c r="F450" s="163">
        <v>4</v>
      </c>
      <c r="G450" s="23" t="s">
        <v>39</v>
      </c>
      <c r="H450" s="24" t="s">
        <v>59</v>
      </c>
      <c r="I450" s="24" t="s">
        <v>86</v>
      </c>
      <c r="J450" s="214"/>
      <c r="K450" s="37" t="s">
        <v>1781</v>
      </c>
      <c r="L450" s="164" t="s">
        <v>4</v>
      </c>
      <c r="M450" s="37" t="s">
        <v>1782</v>
      </c>
      <c r="N450" s="37" t="s">
        <v>1783</v>
      </c>
      <c r="O450" s="37" t="s">
        <v>3</v>
      </c>
      <c r="P450" s="37" t="s">
        <v>3</v>
      </c>
      <c r="Q450" s="37" t="s">
        <v>59</v>
      </c>
      <c r="R450" s="38"/>
      <c r="S450" s="39"/>
      <c r="T450" s="39" t="s">
        <v>45</v>
      </c>
      <c r="U450" s="39"/>
      <c r="V450" s="165"/>
      <c r="W450" s="37"/>
      <c r="X450" s="37"/>
    </row>
    <row r="451" spans="2:24" ht="57.95" hidden="1">
      <c r="B451" s="37" t="s">
        <v>1769</v>
      </c>
      <c r="C451" s="37" t="s">
        <v>1770</v>
      </c>
      <c r="D451" s="37" t="s">
        <v>1771</v>
      </c>
      <c r="E451" s="37" t="s">
        <v>191</v>
      </c>
      <c r="F451" s="163">
        <v>5</v>
      </c>
      <c r="G451" s="23" t="s">
        <v>69</v>
      </c>
      <c r="H451" s="24" t="s">
        <v>1784</v>
      </c>
      <c r="I451" s="24" t="s">
        <v>203</v>
      </c>
      <c r="J451" s="214"/>
      <c r="K451" s="37" t="s">
        <v>1785</v>
      </c>
      <c r="L451" s="164" t="s">
        <v>6</v>
      </c>
      <c r="M451" s="37" t="s">
        <v>1786</v>
      </c>
      <c r="N451" s="37" t="s">
        <v>1787</v>
      </c>
      <c r="O451" s="37" t="s">
        <v>3</v>
      </c>
      <c r="P451" s="37" t="s">
        <v>3</v>
      </c>
      <c r="Q451" s="37" t="s">
        <v>1784</v>
      </c>
      <c r="R451" s="38"/>
      <c r="S451" s="39"/>
      <c r="T451" s="39" t="s">
        <v>65</v>
      </c>
      <c r="U451" s="20"/>
      <c r="V451" s="108"/>
      <c r="W451" s="18"/>
      <c r="X451" s="18"/>
    </row>
    <row r="452" spans="2:24" ht="57.95" hidden="1">
      <c r="B452" s="18" t="s">
        <v>1769</v>
      </c>
      <c r="C452" s="18" t="s">
        <v>1770</v>
      </c>
      <c r="D452" s="18" t="s">
        <v>1788</v>
      </c>
      <c r="E452" s="18" t="s">
        <v>191</v>
      </c>
      <c r="F452" s="96">
        <v>6</v>
      </c>
      <c r="G452" s="14" t="s">
        <v>69</v>
      </c>
      <c r="H452" s="26" t="s">
        <v>128</v>
      </c>
      <c r="I452" s="26" t="s">
        <v>40</v>
      </c>
      <c r="J452" s="202"/>
      <c r="K452" s="18" t="s">
        <v>1789</v>
      </c>
      <c r="L452" s="47" t="s">
        <v>4</v>
      </c>
      <c r="M452" s="18" t="s">
        <v>1790</v>
      </c>
      <c r="N452" s="18" t="s">
        <v>1791</v>
      </c>
      <c r="O452" s="37" t="s">
        <v>3</v>
      </c>
      <c r="P452" s="37" t="s">
        <v>3</v>
      </c>
      <c r="Q452" s="18" t="s">
        <v>128</v>
      </c>
      <c r="R452" s="19">
        <v>46051</v>
      </c>
      <c r="S452" s="20">
        <v>46229</v>
      </c>
      <c r="T452" s="20" t="s">
        <v>45</v>
      </c>
      <c r="U452" s="20"/>
      <c r="V452" s="108"/>
      <c r="W452" s="18"/>
      <c r="X452" s="18"/>
    </row>
    <row r="453" spans="2:24" ht="57.95" hidden="1">
      <c r="B453" s="18" t="s">
        <v>1769</v>
      </c>
      <c r="C453" s="18" t="s">
        <v>1770</v>
      </c>
      <c r="D453" s="18" t="s">
        <v>1788</v>
      </c>
      <c r="E453" s="18" t="s">
        <v>191</v>
      </c>
      <c r="F453" s="96">
        <v>7</v>
      </c>
      <c r="G453" s="14" t="s">
        <v>39</v>
      </c>
      <c r="H453" s="26" t="s">
        <v>59</v>
      </c>
      <c r="I453" s="26" t="s">
        <v>207</v>
      </c>
      <c r="J453" s="202"/>
      <c r="K453" s="18" t="s">
        <v>1792</v>
      </c>
      <c r="L453" s="47" t="s">
        <v>6</v>
      </c>
      <c r="M453" s="18" t="s">
        <v>1793</v>
      </c>
      <c r="N453" s="18" t="s">
        <v>1794</v>
      </c>
      <c r="O453" s="18" t="s">
        <v>5</v>
      </c>
      <c r="P453" s="18" t="s">
        <v>3</v>
      </c>
      <c r="Q453" s="18" t="s">
        <v>59</v>
      </c>
      <c r="R453" s="19">
        <v>46079</v>
      </c>
      <c r="S453" s="20">
        <v>46188</v>
      </c>
      <c r="T453" s="20" t="s">
        <v>45</v>
      </c>
      <c r="U453" s="20"/>
      <c r="V453" s="108" t="s">
        <v>1795</v>
      </c>
      <c r="W453" s="18"/>
      <c r="X453" s="18"/>
    </row>
    <row r="454" spans="2:24" ht="57.95" hidden="1">
      <c r="B454" s="18" t="s">
        <v>1769</v>
      </c>
      <c r="C454" s="18" t="s">
        <v>1770</v>
      </c>
      <c r="D454" s="18" t="s">
        <v>1788</v>
      </c>
      <c r="E454" s="18" t="s">
        <v>191</v>
      </c>
      <c r="F454" s="96">
        <v>8</v>
      </c>
      <c r="G454" s="14" t="s">
        <v>39</v>
      </c>
      <c r="H454" s="26" t="s">
        <v>59</v>
      </c>
      <c r="I454" s="26" t="s">
        <v>86</v>
      </c>
      <c r="J454" s="202"/>
      <c r="K454" s="18" t="s">
        <v>1796</v>
      </c>
      <c r="L454" s="47" t="s">
        <v>8</v>
      </c>
      <c r="M454" s="18" t="s">
        <v>1797</v>
      </c>
      <c r="N454" s="18" t="s">
        <v>1798</v>
      </c>
      <c r="O454" s="18" t="s">
        <v>5</v>
      </c>
      <c r="P454" s="18" t="s">
        <v>5</v>
      </c>
      <c r="Q454" s="18" t="s">
        <v>59</v>
      </c>
      <c r="R454" s="19">
        <v>46053</v>
      </c>
      <c r="S454" s="20">
        <v>46218</v>
      </c>
      <c r="T454" s="20" t="s">
        <v>45</v>
      </c>
      <c r="U454" s="20"/>
      <c r="V454" s="108" t="s">
        <v>1799</v>
      </c>
      <c r="W454" s="18"/>
      <c r="X454" s="18"/>
    </row>
    <row r="455" spans="2:24" ht="57.95" hidden="1">
      <c r="B455" s="18" t="s">
        <v>1769</v>
      </c>
      <c r="C455" s="18" t="s">
        <v>1770</v>
      </c>
      <c r="D455" s="18" t="s">
        <v>1788</v>
      </c>
      <c r="E455" s="18" t="s">
        <v>191</v>
      </c>
      <c r="F455" s="96">
        <v>9</v>
      </c>
      <c r="G455" s="14" t="s">
        <v>69</v>
      </c>
      <c r="H455" s="26" t="s">
        <v>1800</v>
      </c>
      <c r="I455" s="26" t="s">
        <v>81</v>
      </c>
      <c r="J455" s="202"/>
      <c r="K455" s="18" t="s">
        <v>1801</v>
      </c>
      <c r="L455" s="47" t="s">
        <v>6</v>
      </c>
      <c r="M455" s="18" t="s">
        <v>1802</v>
      </c>
      <c r="N455" s="18" t="s">
        <v>1803</v>
      </c>
      <c r="O455" s="18" t="s">
        <v>3</v>
      </c>
      <c r="P455" s="18" t="s">
        <v>3</v>
      </c>
      <c r="Q455" s="18" t="s">
        <v>59</v>
      </c>
      <c r="R455" s="19"/>
      <c r="S455" s="20"/>
      <c r="T455" s="20" t="s">
        <v>45</v>
      </c>
      <c r="U455" s="20"/>
      <c r="V455" s="108"/>
      <c r="W455" s="18"/>
      <c r="X455" s="18"/>
    </row>
    <row r="456" spans="2:24" ht="43.5" hidden="1">
      <c r="B456" s="18" t="s">
        <v>1187</v>
      </c>
      <c r="C456" s="18" t="s">
        <v>1188</v>
      </c>
      <c r="D456" s="76" t="s">
        <v>479</v>
      </c>
      <c r="E456" s="18" t="s">
        <v>38</v>
      </c>
      <c r="F456" s="14">
        <v>1</v>
      </c>
      <c r="G456" s="14" t="s">
        <v>39</v>
      </c>
      <c r="H456" s="26" t="s">
        <v>0</v>
      </c>
      <c r="I456" s="26" t="s">
        <v>207</v>
      </c>
      <c r="J456" s="202"/>
      <c r="K456" s="18" t="s">
        <v>1804</v>
      </c>
      <c r="L456" s="47" t="s">
        <v>4</v>
      </c>
      <c r="M456" s="18" t="s">
        <v>1805</v>
      </c>
      <c r="N456" s="18" t="s">
        <v>1806</v>
      </c>
      <c r="O456" s="18" t="s">
        <v>3</v>
      </c>
      <c r="P456" s="18" t="s">
        <v>3</v>
      </c>
      <c r="Q456" s="18" t="s">
        <v>269</v>
      </c>
      <c r="R456" s="94"/>
      <c r="S456" s="20">
        <v>45996</v>
      </c>
      <c r="T456" s="20" t="s">
        <v>65</v>
      </c>
      <c r="U456" s="20"/>
      <c r="V456" s="20"/>
      <c r="W456" s="20"/>
      <c r="X456" s="20"/>
    </row>
    <row r="457" spans="2:24" ht="32.1" hidden="1">
      <c r="B457" s="18" t="s">
        <v>477</v>
      </c>
      <c r="C457" s="18" t="s">
        <v>1807</v>
      </c>
      <c r="D457" s="76" t="s">
        <v>479</v>
      </c>
      <c r="E457" s="18" t="s">
        <v>38</v>
      </c>
      <c r="F457" s="14">
        <v>1</v>
      </c>
      <c r="G457" s="14" t="s">
        <v>39</v>
      </c>
      <c r="H457" s="26" t="s">
        <v>0</v>
      </c>
      <c r="I457" s="26" t="s">
        <v>207</v>
      </c>
      <c r="J457" s="203"/>
      <c r="K457" s="18" t="s">
        <v>1808</v>
      </c>
      <c r="L457" s="47" t="s">
        <v>4</v>
      </c>
      <c r="M457" s="18" t="s">
        <v>1809</v>
      </c>
      <c r="N457" s="18" t="s">
        <v>1810</v>
      </c>
      <c r="O457" s="18" t="s">
        <v>3</v>
      </c>
      <c r="P457" s="18" t="s">
        <v>3</v>
      </c>
      <c r="Q457" s="18" t="s">
        <v>269</v>
      </c>
      <c r="R457" s="19"/>
      <c r="S457" s="20">
        <v>45996</v>
      </c>
      <c r="T457" s="20" t="s">
        <v>65</v>
      </c>
      <c r="U457" s="18"/>
      <c r="V457" s="18"/>
      <c r="W457" s="18"/>
      <c r="X457" s="18"/>
    </row>
    <row r="458" spans="2:24" ht="44.45" hidden="1" customHeight="1">
      <c r="B458" s="18" t="s">
        <v>914</v>
      </c>
      <c r="C458" s="18" t="s">
        <v>915</v>
      </c>
      <c r="D458" s="18" t="s">
        <v>916</v>
      </c>
      <c r="E458" s="18" t="s">
        <v>191</v>
      </c>
      <c r="F458" s="14">
        <v>5</v>
      </c>
      <c r="G458" s="14" t="s">
        <v>445</v>
      </c>
      <c r="H458" s="26" t="s">
        <v>54</v>
      </c>
      <c r="I458" s="26" t="s">
        <v>46</v>
      </c>
      <c r="J458" s="208"/>
      <c r="K458" s="10" t="s">
        <v>1486</v>
      </c>
      <c r="L458" s="168" t="s">
        <v>6</v>
      </c>
      <c r="M458" s="10" t="s">
        <v>1487</v>
      </c>
      <c r="N458" s="10" t="s">
        <v>1811</v>
      </c>
      <c r="O458" s="10"/>
      <c r="P458" s="10"/>
      <c r="Q458" s="10" t="s">
        <v>59</v>
      </c>
      <c r="R458" s="11"/>
      <c r="S458" s="12">
        <v>46073</v>
      </c>
      <c r="T458" s="20" t="s">
        <v>45</v>
      </c>
      <c r="U458" s="18"/>
      <c r="V458" s="18"/>
      <c r="W458" s="18"/>
      <c r="X458" s="18"/>
    </row>
    <row r="459" spans="2:24" ht="104.25" hidden="1" customHeight="1">
      <c r="B459" s="18" t="s">
        <v>914</v>
      </c>
      <c r="C459" s="18" t="s">
        <v>915</v>
      </c>
      <c r="D459" s="18" t="s">
        <v>916</v>
      </c>
      <c r="E459" s="18" t="s">
        <v>191</v>
      </c>
      <c r="F459" s="14">
        <v>5</v>
      </c>
      <c r="G459" s="14" t="s">
        <v>69</v>
      </c>
      <c r="H459" s="26" t="s">
        <v>128</v>
      </c>
      <c r="I459" s="26" t="s">
        <v>40</v>
      </c>
      <c r="J459" s="208"/>
      <c r="K459" s="10" t="s">
        <v>1812</v>
      </c>
      <c r="L459" s="168" t="s">
        <v>6</v>
      </c>
      <c r="M459" s="10" t="s">
        <v>1813</v>
      </c>
      <c r="N459" s="10" t="s">
        <v>1814</v>
      </c>
      <c r="O459" s="10"/>
      <c r="P459" s="10"/>
      <c r="Q459" s="10" t="s">
        <v>59</v>
      </c>
      <c r="R459" s="11"/>
      <c r="S459" s="12">
        <v>46021</v>
      </c>
      <c r="T459" s="96" t="s">
        <v>45</v>
      </c>
      <c r="U459" s="18" t="s">
        <v>1540</v>
      </c>
      <c r="V459" s="18"/>
      <c r="W459" s="18"/>
      <c r="X459" s="18"/>
    </row>
    <row r="460" spans="2:24" ht="15" hidden="1" customHeight="1">
      <c r="B460" s="37" t="s">
        <v>914</v>
      </c>
      <c r="C460" s="37" t="s">
        <v>915</v>
      </c>
      <c r="D460" s="37" t="s">
        <v>916</v>
      </c>
      <c r="E460" s="37" t="s">
        <v>191</v>
      </c>
      <c r="F460" s="23">
        <v>5</v>
      </c>
      <c r="G460" s="23" t="s">
        <v>69</v>
      </c>
      <c r="H460" s="24" t="s">
        <v>128</v>
      </c>
      <c r="I460" s="24" t="s">
        <v>40</v>
      </c>
      <c r="J460" s="215"/>
      <c r="K460" s="169" t="s">
        <v>1815</v>
      </c>
      <c r="L460" s="47" t="s">
        <v>8</v>
      </c>
      <c r="M460" s="169" t="s">
        <v>1813</v>
      </c>
      <c r="N460" s="169" t="s">
        <v>1816</v>
      </c>
      <c r="O460" s="169"/>
      <c r="P460" s="169"/>
      <c r="Q460" s="169" t="s">
        <v>59</v>
      </c>
      <c r="R460" s="170"/>
      <c r="S460" s="171">
        <v>46021</v>
      </c>
      <c r="T460" s="163" t="s">
        <v>45</v>
      </c>
      <c r="U460" s="37" t="s">
        <v>1540</v>
      </c>
      <c r="V460" s="37"/>
      <c r="W460" s="37"/>
      <c r="X460" s="37"/>
    </row>
    <row r="461" spans="2:24" ht="31.5" hidden="1" customHeight="1">
      <c r="B461" s="37" t="s">
        <v>914</v>
      </c>
      <c r="C461" s="37" t="s">
        <v>915</v>
      </c>
      <c r="D461" s="37" t="s">
        <v>916</v>
      </c>
      <c r="E461" s="37" t="s">
        <v>191</v>
      </c>
      <c r="F461" s="23">
        <v>5</v>
      </c>
      <c r="G461" s="23" t="s">
        <v>69</v>
      </c>
      <c r="H461" s="24" t="s">
        <v>128</v>
      </c>
      <c r="I461" s="24" t="s">
        <v>40</v>
      </c>
      <c r="J461" s="216"/>
      <c r="K461" s="164" t="s">
        <v>1537</v>
      </c>
      <c r="L461" s="164" t="s">
        <v>6</v>
      </c>
      <c r="M461" s="169" t="s">
        <v>1538</v>
      </c>
      <c r="N461" s="169" t="s">
        <v>1539</v>
      </c>
      <c r="O461" s="169" t="s">
        <v>59</v>
      </c>
      <c r="P461" s="169" t="s">
        <v>59</v>
      </c>
      <c r="Q461" s="170"/>
      <c r="R461" s="172">
        <v>46021</v>
      </c>
      <c r="S461" s="171">
        <v>46068</v>
      </c>
      <c r="T461" s="163" t="s">
        <v>45</v>
      </c>
      <c r="U461" s="37" t="s">
        <v>1540</v>
      </c>
      <c r="V461" s="37"/>
      <c r="W461" s="37"/>
      <c r="X461" s="37"/>
    </row>
    <row r="462" spans="2:24" ht="15" hidden="1" customHeight="1">
      <c r="B462" s="37" t="s">
        <v>1624</v>
      </c>
      <c r="C462" s="37" t="s">
        <v>1817</v>
      </c>
      <c r="D462" s="37" t="s">
        <v>1818</v>
      </c>
      <c r="E462" s="37" t="s">
        <v>191</v>
      </c>
      <c r="F462" s="37">
        <v>5</v>
      </c>
      <c r="G462" s="163" t="s">
        <v>69</v>
      </c>
      <c r="H462" s="37" t="s">
        <v>128</v>
      </c>
      <c r="I462" s="37" t="s">
        <v>40</v>
      </c>
      <c r="J462" s="215"/>
      <c r="K462" s="37" t="s">
        <v>1819</v>
      </c>
      <c r="L462" s="168" t="s">
        <v>6</v>
      </c>
      <c r="M462" s="169" t="s">
        <v>1820</v>
      </c>
      <c r="N462" s="37" t="s">
        <v>1821</v>
      </c>
      <c r="O462" s="163"/>
      <c r="P462" s="38"/>
      <c r="Q462" s="163" t="s">
        <v>59</v>
      </c>
      <c r="R462" s="38">
        <v>46021</v>
      </c>
      <c r="S462" s="38">
        <v>46037</v>
      </c>
      <c r="T462" s="163" t="s">
        <v>352</v>
      </c>
      <c r="U462" s="163" t="s">
        <v>1540</v>
      </c>
      <c r="V462" s="37"/>
      <c r="W462" s="37"/>
      <c r="X462" s="37"/>
    </row>
    <row r="463" spans="2:24" ht="42" hidden="1" customHeight="1">
      <c r="B463" s="18" t="s">
        <v>1822</v>
      </c>
      <c r="C463" s="18" t="s">
        <v>1823</v>
      </c>
      <c r="D463" s="18" t="s">
        <v>1824</v>
      </c>
      <c r="E463" s="18" t="s">
        <v>191</v>
      </c>
      <c r="F463" s="18">
        <v>1</v>
      </c>
      <c r="G463" s="96" t="s">
        <v>53</v>
      </c>
      <c r="H463" s="18" t="s">
        <v>54</v>
      </c>
      <c r="I463" s="18" t="s">
        <v>1825</v>
      </c>
      <c r="J463" s="208"/>
      <c r="K463" s="18" t="s">
        <v>1826</v>
      </c>
      <c r="L463" s="47" t="s">
        <v>6</v>
      </c>
      <c r="M463" s="18" t="s">
        <v>1827</v>
      </c>
      <c r="N463" s="18" t="s">
        <v>1828</v>
      </c>
      <c r="O463" s="96" t="s">
        <v>3</v>
      </c>
      <c r="P463" s="19" t="s">
        <v>3</v>
      </c>
      <c r="Q463" s="18" t="s">
        <v>1829</v>
      </c>
      <c r="R463" s="173">
        <v>46203</v>
      </c>
      <c r="S463" s="173">
        <v>46233</v>
      </c>
      <c r="T463" s="96" t="s">
        <v>65</v>
      </c>
      <c r="U463" s="18"/>
      <c r="V463" s="18"/>
      <c r="W463" s="18"/>
      <c r="X463" s="18"/>
    </row>
    <row r="464" spans="2:24" ht="42" hidden="1" customHeight="1">
      <c r="B464" s="18" t="s">
        <v>1822</v>
      </c>
      <c r="C464" s="18" t="s">
        <v>1823</v>
      </c>
      <c r="D464" s="18" t="s">
        <v>1824</v>
      </c>
      <c r="E464" s="18" t="s">
        <v>191</v>
      </c>
      <c r="F464" s="18">
        <v>2</v>
      </c>
      <c r="G464" s="96" t="s">
        <v>39</v>
      </c>
      <c r="H464" s="18" t="s">
        <v>269</v>
      </c>
      <c r="I464" s="18" t="s">
        <v>1830</v>
      </c>
      <c r="J464" s="208"/>
      <c r="K464" s="18" t="s">
        <v>1831</v>
      </c>
      <c r="L464" s="47" t="s">
        <v>6</v>
      </c>
      <c r="M464" s="18" t="s">
        <v>1832</v>
      </c>
      <c r="N464" s="18" t="s">
        <v>1833</v>
      </c>
      <c r="O464" s="96" t="s">
        <v>3</v>
      </c>
      <c r="P464" s="19" t="s">
        <v>3</v>
      </c>
      <c r="Q464" s="18" t="s">
        <v>269</v>
      </c>
      <c r="R464" s="173">
        <v>46203</v>
      </c>
      <c r="S464" s="173">
        <v>46264</v>
      </c>
      <c r="T464" s="96" t="s">
        <v>65</v>
      </c>
      <c r="U464" s="18"/>
      <c r="V464" s="18"/>
      <c r="W464" s="18"/>
      <c r="X464" s="18"/>
    </row>
    <row r="465" spans="2:24" ht="42" hidden="1" customHeight="1">
      <c r="B465" s="18" t="s">
        <v>1822</v>
      </c>
      <c r="C465" s="18" t="s">
        <v>1823</v>
      </c>
      <c r="D465" s="18" t="s">
        <v>1824</v>
      </c>
      <c r="E465" s="18" t="s">
        <v>191</v>
      </c>
      <c r="F465" s="18">
        <v>3</v>
      </c>
      <c r="G465" s="96" t="s">
        <v>39</v>
      </c>
      <c r="H465" s="18" t="s">
        <v>269</v>
      </c>
      <c r="I465" s="18" t="s">
        <v>1834</v>
      </c>
      <c r="J465" s="208"/>
      <c r="K465" s="18" t="s">
        <v>1835</v>
      </c>
      <c r="L465" s="47" t="s">
        <v>6</v>
      </c>
      <c r="M465" s="18" t="s">
        <v>1836</v>
      </c>
      <c r="N465" s="18" t="s">
        <v>1837</v>
      </c>
      <c r="O465" s="96" t="s">
        <v>3</v>
      </c>
      <c r="P465" s="19" t="s">
        <v>3</v>
      </c>
      <c r="Q465" s="18" t="s">
        <v>269</v>
      </c>
      <c r="R465" s="173">
        <v>46233</v>
      </c>
      <c r="S465" s="173">
        <v>46233</v>
      </c>
      <c r="T465" s="96" t="s">
        <v>65</v>
      </c>
      <c r="U465" s="18" t="s">
        <v>33</v>
      </c>
      <c r="V465" s="18"/>
      <c r="W465" s="18" t="s">
        <v>1838</v>
      </c>
      <c r="X465" s="18"/>
    </row>
    <row r="466" spans="2:24" ht="42" hidden="1" customHeight="1">
      <c r="B466" s="18" t="s">
        <v>1822</v>
      </c>
      <c r="C466" s="18" t="s">
        <v>1823</v>
      </c>
      <c r="D466" s="18" t="s">
        <v>1824</v>
      </c>
      <c r="E466" s="18" t="s">
        <v>191</v>
      </c>
      <c r="F466" s="18">
        <v>1</v>
      </c>
      <c r="G466" s="96" t="s">
        <v>53</v>
      </c>
      <c r="H466" s="18" t="s">
        <v>54</v>
      </c>
      <c r="I466" s="18" t="s">
        <v>1825</v>
      </c>
      <c r="J466" s="208"/>
      <c r="K466" s="18" t="s">
        <v>1839</v>
      </c>
      <c r="L466" s="18" t="s">
        <v>1840</v>
      </c>
      <c r="M466" s="18" t="s">
        <v>1841</v>
      </c>
      <c r="N466" s="18" t="s">
        <v>1842</v>
      </c>
      <c r="O466" s="96" t="s">
        <v>3</v>
      </c>
      <c r="P466" s="19" t="s">
        <v>3</v>
      </c>
      <c r="Q466" s="18" t="s">
        <v>54</v>
      </c>
      <c r="R466" s="173">
        <v>46021</v>
      </c>
      <c r="S466" s="173">
        <v>46021</v>
      </c>
      <c r="T466" s="96" t="s">
        <v>352</v>
      </c>
      <c r="U466" s="18" t="s">
        <v>1163</v>
      </c>
      <c r="V466" s="18"/>
      <c r="W466" s="18"/>
      <c r="X466" s="18"/>
    </row>
    <row r="467" spans="2:24" ht="42" hidden="1" customHeight="1">
      <c r="B467" s="18" t="s">
        <v>1822</v>
      </c>
      <c r="C467" s="18" t="s">
        <v>1823</v>
      </c>
      <c r="D467" s="18" t="s">
        <v>1824</v>
      </c>
      <c r="E467" s="18" t="s">
        <v>191</v>
      </c>
      <c r="F467" s="18">
        <v>2</v>
      </c>
      <c r="G467" s="96" t="s">
        <v>53</v>
      </c>
      <c r="H467" s="18" t="s">
        <v>54</v>
      </c>
      <c r="I467" s="18" t="s">
        <v>1830</v>
      </c>
      <c r="J467" s="208"/>
      <c r="K467" s="18" t="s">
        <v>1843</v>
      </c>
      <c r="L467" s="47" t="s">
        <v>6</v>
      </c>
      <c r="M467" s="96" t="s">
        <v>1844</v>
      </c>
      <c r="N467" s="18" t="s">
        <v>1845</v>
      </c>
      <c r="O467" s="96" t="s">
        <v>3</v>
      </c>
      <c r="P467" s="19" t="s">
        <v>3</v>
      </c>
      <c r="Q467" s="18" t="s">
        <v>54</v>
      </c>
      <c r="R467" s="173">
        <v>46021</v>
      </c>
      <c r="S467" s="173">
        <v>46021</v>
      </c>
      <c r="T467" s="96" t="s">
        <v>65</v>
      </c>
      <c r="U467" s="18" t="s">
        <v>1846</v>
      </c>
      <c r="V467" s="18"/>
      <c r="W467" s="18"/>
      <c r="X467" s="18"/>
    </row>
    <row r="468" spans="2:24" ht="42" hidden="1" customHeight="1">
      <c r="B468" s="18" t="s">
        <v>1822</v>
      </c>
      <c r="C468" s="18" t="s">
        <v>1823</v>
      </c>
      <c r="D468" s="18" t="s">
        <v>1824</v>
      </c>
      <c r="E468" s="18" t="s">
        <v>191</v>
      </c>
      <c r="F468" s="18">
        <v>3</v>
      </c>
      <c r="G468" s="96" t="s">
        <v>39</v>
      </c>
      <c r="H468" s="18" t="s">
        <v>269</v>
      </c>
      <c r="I468" s="18" t="s">
        <v>207</v>
      </c>
      <c r="J468" s="208"/>
      <c r="K468" s="18" t="s">
        <v>1847</v>
      </c>
      <c r="L468" s="18" t="s">
        <v>1848</v>
      </c>
      <c r="M468" s="18" t="s">
        <v>1849</v>
      </c>
      <c r="N468" s="18" t="s">
        <v>1850</v>
      </c>
      <c r="O468" s="96" t="s">
        <v>3</v>
      </c>
      <c r="P468" s="19" t="s">
        <v>3</v>
      </c>
      <c r="Q468" s="18" t="s">
        <v>269</v>
      </c>
      <c r="R468" s="173">
        <v>46021</v>
      </c>
      <c r="S468" s="173">
        <v>46021</v>
      </c>
      <c r="T468" s="96" t="s">
        <v>45</v>
      </c>
      <c r="U468" s="18" t="s">
        <v>1163</v>
      </c>
      <c r="V468" s="18"/>
      <c r="W468" s="18"/>
      <c r="X468" s="18"/>
    </row>
    <row r="469" spans="2:24" ht="35.25" hidden="1" customHeight="1">
      <c r="B469" s="45" t="s">
        <v>1851</v>
      </c>
      <c r="C469" s="177" t="s">
        <v>1852</v>
      </c>
      <c r="D469" s="18" t="s">
        <v>1853</v>
      </c>
      <c r="E469" s="18" t="s">
        <v>191</v>
      </c>
      <c r="F469" s="18">
        <v>1</v>
      </c>
      <c r="G469" s="96" t="s">
        <v>39</v>
      </c>
      <c r="H469" s="18" t="s">
        <v>269</v>
      </c>
      <c r="I469" s="18" t="s">
        <v>207</v>
      </c>
      <c r="J469" s="208"/>
      <c r="K469" s="18" t="s">
        <v>1854</v>
      </c>
      <c r="L469" s="47" t="s">
        <v>8</v>
      </c>
      <c r="M469" s="96" t="s">
        <v>1855</v>
      </c>
      <c r="N469" s="18" t="s">
        <v>1856</v>
      </c>
      <c r="O469" s="96" t="s">
        <v>3</v>
      </c>
      <c r="P469" s="19" t="s">
        <v>3</v>
      </c>
      <c r="Q469" s="18" t="s">
        <v>269</v>
      </c>
      <c r="R469" s="19"/>
      <c r="S469" s="18"/>
      <c r="T469" s="96" t="s">
        <v>45</v>
      </c>
      <c r="U469" s="18"/>
      <c r="V469" s="18"/>
      <c r="W469" s="18"/>
      <c r="X469" s="18"/>
    </row>
    <row r="470" spans="2:24" ht="51.75" hidden="1" customHeight="1">
      <c r="B470" s="45" t="s">
        <v>1851</v>
      </c>
      <c r="C470" s="177" t="s">
        <v>1852</v>
      </c>
      <c r="D470" s="18" t="s">
        <v>1853</v>
      </c>
      <c r="E470" s="18" t="s">
        <v>191</v>
      </c>
      <c r="F470" s="37">
        <v>2</v>
      </c>
      <c r="G470" s="163" t="s">
        <v>39</v>
      </c>
      <c r="H470" s="37" t="s">
        <v>426</v>
      </c>
      <c r="I470" s="37" t="s">
        <v>207</v>
      </c>
      <c r="J470" s="215"/>
      <c r="K470" s="37" t="s">
        <v>1857</v>
      </c>
      <c r="L470" s="47" t="s">
        <v>8</v>
      </c>
      <c r="M470" s="163" t="s">
        <v>1858</v>
      </c>
      <c r="N470" s="37" t="s">
        <v>1859</v>
      </c>
      <c r="O470" s="163" t="s">
        <v>3</v>
      </c>
      <c r="P470" s="38" t="s">
        <v>3</v>
      </c>
      <c r="Q470" s="37" t="s">
        <v>426</v>
      </c>
      <c r="R470" s="38"/>
      <c r="S470" s="37"/>
      <c r="T470" s="96" t="s">
        <v>45</v>
      </c>
      <c r="U470" s="37"/>
      <c r="V470" s="37"/>
      <c r="W470" s="37"/>
      <c r="X470" s="37"/>
    </row>
    <row r="471" spans="2:24" ht="47.25" hidden="1" customHeight="1">
      <c r="B471" s="18" t="s">
        <v>656</v>
      </c>
      <c r="C471" s="18" t="s">
        <v>657</v>
      </c>
      <c r="D471" s="18" t="s">
        <v>658</v>
      </c>
      <c r="E471" s="18" t="s">
        <v>191</v>
      </c>
      <c r="F471" s="14">
        <v>5</v>
      </c>
      <c r="G471" s="96" t="s">
        <v>39</v>
      </c>
      <c r="H471" s="37" t="s">
        <v>59</v>
      </c>
      <c r="I471" s="37" t="s">
        <v>1860</v>
      </c>
      <c r="J471" s="215"/>
      <c r="K471" s="35" t="s">
        <v>1861</v>
      </c>
      <c r="L471" s="47" t="s">
        <v>4</v>
      </c>
      <c r="M471" s="190" t="s">
        <v>1862</v>
      </c>
      <c r="N471" s="37" t="s">
        <v>1863</v>
      </c>
      <c r="O471" s="18" t="s">
        <v>3</v>
      </c>
      <c r="P471" s="18" t="s">
        <v>3</v>
      </c>
      <c r="Q471" s="18" t="s">
        <v>286</v>
      </c>
      <c r="R471" s="38">
        <v>46052</v>
      </c>
      <c r="S471" s="38">
        <v>46172</v>
      </c>
      <c r="T471" s="96" t="s">
        <v>65</v>
      </c>
      <c r="U471" s="37" t="s">
        <v>1864</v>
      </c>
      <c r="V471" s="37"/>
      <c r="W471" s="37"/>
      <c r="X471" s="37"/>
    </row>
    <row r="472" spans="2:24" ht="47.25" hidden="1" customHeight="1">
      <c r="B472" s="18" t="s">
        <v>656</v>
      </c>
      <c r="C472" s="18" t="s">
        <v>657</v>
      </c>
      <c r="D472" s="18" t="s">
        <v>658</v>
      </c>
      <c r="E472" s="18" t="s">
        <v>191</v>
      </c>
      <c r="F472" s="14">
        <v>6</v>
      </c>
      <c r="G472" s="96" t="s">
        <v>445</v>
      </c>
      <c r="H472" s="18" t="s">
        <v>59</v>
      </c>
      <c r="I472" s="18" t="s">
        <v>1865</v>
      </c>
      <c r="J472" s="208"/>
      <c r="K472" s="18"/>
      <c r="L472" s="47" t="s">
        <v>6</v>
      </c>
      <c r="M472" s="96"/>
      <c r="N472" s="18"/>
      <c r="O472" s="18"/>
      <c r="P472" s="18"/>
      <c r="Q472" s="18"/>
      <c r="R472" s="19"/>
      <c r="S472" s="19"/>
      <c r="T472" s="96"/>
      <c r="U472" s="18"/>
      <c r="V472" s="18"/>
      <c r="W472" s="18"/>
      <c r="X472" s="18"/>
    </row>
    <row r="473" spans="2:24" ht="47.25" hidden="1" customHeight="1">
      <c r="B473" s="18" t="s">
        <v>656</v>
      </c>
      <c r="C473" s="18" t="s">
        <v>657</v>
      </c>
      <c r="D473" s="18" t="s">
        <v>658</v>
      </c>
      <c r="E473" s="18" t="s">
        <v>191</v>
      </c>
      <c r="F473" s="14">
        <v>6</v>
      </c>
      <c r="G473" s="96" t="s">
        <v>445</v>
      </c>
      <c r="H473" s="18" t="s">
        <v>59</v>
      </c>
      <c r="I473" s="18" t="s">
        <v>1866</v>
      </c>
      <c r="J473" s="208"/>
      <c r="K473" s="18" t="s">
        <v>1867</v>
      </c>
      <c r="L473" s="47" t="s">
        <v>4</v>
      </c>
      <c r="M473" s="191" t="s">
        <v>1868</v>
      </c>
      <c r="N473" s="18" t="s">
        <v>1869</v>
      </c>
      <c r="O473" s="18" t="s">
        <v>3</v>
      </c>
      <c r="P473" s="18" t="s">
        <v>3</v>
      </c>
      <c r="Q473" s="18"/>
      <c r="R473" s="19"/>
      <c r="S473" s="19"/>
      <c r="T473" s="96"/>
      <c r="U473" s="18"/>
      <c r="V473" s="18"/>
      <c r="W473" s="18"/>
      <c r="X473" s="18"/>
    </row>
    <row r="474" spans="2:24" ht="29.1" hidden="1">
      <c r="B474" s="37" t="s">
        <v>1116</v>
      </c>
      <c r="C474" s="37" t="s">
        <v>1117</v>
      </c>
      <c r="D474" s="37" t="s">
        <v>1118</v>
      </c>
      <c r="E474" s="37" t="s">
        <v>38</v>
      </c>
      <c r="F474" s="163">
        <v>10</v>
      </c>
      <c r="G474" s="163" t="s">
        <v>69</v>
      </c>
      <c r="H474" s="37" t="s">
        <v>1128</v>
      </c>
      <c r="I474" s="24" t="s">
        <v>40</v>
      </c>
      <c r="J474" s="215"/>
      <c r="K474" s="37" t="s">
        <v>1870</v>
      </c>
      <c r="L474" s="18" t="s">
        <v>4</v>
      </c>
      <c r="M474" s="18" t="s">
        <v>1871</v>
      </c>
      <c r="N474" s="37" t="s">
        <v>1872</v>
      </c>
      <c r="O474" s="96" t="s">
        <v>3</v>
      </c>
      <c r="P474" s="96" t="s">
        <v>3</v>
      </c>
      <c r="Q474" s="18" t="s">
        <v>59</v>
      </c>
      <c r="R474" s="38"/>
      <c r="S474" s="37"/>
      <c r="T474" s="96" t="s">
        <v>65</v>
      </c>
      <c r="U474" s="37"/>
      <c r="V474" s="37"/>
      <c r="W474" s="37"/>
      <c r="X474" s="37"/>
    </row>
    <row r="475" spans="2:24" ht="43.5" hidden="1">
      <c r="B475" s="37" t="s">
        <v>1116</v>
      </c>
      <c r="C475" s="37" t="s">
        <v>1117</v>
      </c>
      <c r="D475" s="37" t="s">
        <v>1118</v>
      </c>
      <c r="E475" s="37" t="s">
        <v>38</v>
      </c>
      <c r="F475" s="37">
        <v>11</v>
      </c>
      <c r="G475" s="163" t="s">
        <v>39</v>
      </c>
      <c r="H475" s="37" t="s">
        <v>86</v>
      </c>
      <c r="I475" s="24" t="s">
        <v>86</v>
      </c>
      <c r="J475" s="215"/>
      <c r="K475" s="37" t="s">
        <v>1873</v>
      </c>
      <c r="L475" s="18" t="s">
        <v>4</v>
      </c>
      <c r="M475" s="37" t="s">
        <v>1874</v>
      </c>
      <c r="N475" s="37" t="s">
        <v>1875</v>
      </c>
      <c r="O475" s="96" t="s">
        <v>3</v>
      </c>
      <c r="P475" s="96" t="s">
        <v>3</v>
      </c>
      <c r="Q475" s="18" t="s">
        <v>59</v>
      </c>
      <c r="R475" s="38"/>
      <c r="S475" s="37"/>
      <c r="T475" s="96" t="s">
        <v>65</v>
      </c>
      <c r="U475" s="37"/>
      <c r="V475" s="37"/>
      <c r="W475" s="37"/>
      <c r="X475" s="37"/>
    </row>
    <row r="476" spans="2:24" ht="29.1" hidden="1">
      <c r="B476" s="37" t="s">
        <v>1116</v>
      </c>
      <c r="C476" s="37" t="s">
        <v>1117</v>
      </c>
      <c r="D476" s="37" t="s">
        <v>1118</v>
      </c>
      <c r="E476" s="37" t="s">
        <v>38</v>
      </c>
      <c r="F476" s="37">
        <v>12</v>
      </c>
      <c r="G476" s="163" t="s">
        <v>39</v>
      </c>
      <c r="H476" s="37" t="s">
        <v>86</v>
      </c>
      <c r="I476" s="24" t="s">
        <v>86</v>
      </c>
      <c r="J476" s="215"/>
      <c r="K476" s="37" t="s">
        <v>1876</v>
      </c>
      <c r="L476" s="18" t="s">
        <v>4</v>
      </c>
      <c r="M476" s="163" t="s">
        <v>1877</v>
      </c>
      <c r="N476" s="37" t="s">
        <v>1878</v>
      </c>
      <c r="O476" s="96" t="s">
        <v>3</v>
      </c>
      <c r="P476" s="96" t="s">
        <v>3</v>
      </c>
      <c r="Q476" s="18" t="s">
        <v>59</v>
      </c>
      <c r="R476" s="38"/>
      <c r="S476" s="37"/>
      <c r="T476" s="96" t="s">
        <v>65</v>
      </c>
      <c r="U476" s="37"/>
      <c r="V476" s="37"/>
      <c r="W476" s="37"/>
      <c r="X476" s="37"/>
    </row>
    <row r="477" spans="2:24" ht="32.1" hidden="1">
      <c r="B477" s="37" t="s">
        <v>1116</v>
      </c>
      <c r="C477" s="37" t="s">
        <v>1117</v>
      </c>
      <c r="D477" s="37" t="s">
        <v>1118</v>
      </c>
      <c r="E477" s="37" t="s">
        <v>38</v>
      </c>
      <c r="F477" s="37">
        <v>13</v>
      </c>
      <c r="G477" s="96" t="s">
        <v>69</v>
      </c>
      <c r="H477" s="18" t="s">
        <v>1128</v>
      </c>
      <c r="I477" s="26" t="s">
        <v>115</v>
      </c>
      <c r="J477" s="215"/>
      <c r="K477" s="37" t="s">
        <v>1879</v>
      </c>
      <c r="L477" s="18" t="s">
        <v>4</v>
      </c>
      <c r="M477" s="37" t="s">
        <v>1880</v>
      </c>
      <c r="N477" s="37" t="s">
        <v>1881</v>
      </c>
      <c r="O477" s="96" t="s">
        <v>3</v>
      </c>
      <c r="P477" s="96" t="s">
        <v>3</v>
      </c>
      <c r="Q477" s="18" t="s">
        <v>59</v>
      </c>
      <c r="R477" s="38"/>
      <c r="S477" s="37"/>
      <c r="T477" s="96" t="s">
        <v>65</v>
      </c>
      <c r="U477" s="37"/>
      <c r="V477" s="37"/>
      <c r="W477" s="37"/>
      <c r="X477" s="37"/>
    </row>
    <row r="478" spans="2:24" ht="29.1" hidden="1">
      <c r="B478" s="37" t="s">
        <v>1851</v>
      </c>
      <c r="C478" s="37" t="s">
        <v>1882</v>
      </c>
      <c r="D478" s="37" t="s">
        <v>1883</v>
      </c>
      <c r="E478" s="37" t="s">
        <v>191</v>
      </c>
      <c r="F478" s="37">
        <v>1</v>
      </c>
      <c r="G478" s="163" t="s">
        <v>69</v>
      </c>
      <c r="H478" s="37" t="s">
        <v>1884</v>
      </c>
      <c r="I478" s="178" t="s">
        <v>115</v>
      </c>
      <c r="J478" s="215"/>
      <c r="K478" s="37" t="s">
        <v>1885</v>
      </c>
      <c r="L478" s="47" t="s">
        <v>6</v>
      </c>
      <c r="M478" s="163" t="s">
        <v>1886</v>
      </c>
      <c r="N478" s="37" t="s">
        <v>1887</v>
      </c>
      <c r="O478" s="18" t="s">
        <v>5</v>
      </c>
      <c r="P478" s="96" t="s">
        <v>3</v>
      </c>
      <c r="Q478" s="18" t="s">
        <v>59</v>
      </c>
      <c r="R478" s="38"/>
      <c r="S478" s="37"/>
      <c r="T478" s="96" t="s">
        <v>45</v>
      </c>
      <c r="U478" s="37"/>
      <c r="V478" s="37"/>
      <c r="W478" s="37"/>
      <c r="X478" s="37"/>
    </row>
    <row r="479" spans="2:24" ht="29.1" hidden="1">
      <c r="B479" s="37" t="s">
        <v>1851</v>
      </c>
      <c r="C479" s="37" t="s">
        <v>1882</v>
      </c>
      <c r="D479" s="37" t="s">
        <v>1883</v>
      </c>
      <c r="E479" s="37" t="s">
        <v>191</v>
      </c>
      <c r="F479" s="37">
        <v>2</v>
      </c>
      <c r="G479" s="163" t="s">
        <v>1888</v>
      </c>
      <c r="H479" s="37" t="s">
        <v>269</v>
      </c>
      <c r="I479" s="178" t="s">
        <v>115</v>
      </c>
      <c r="J479" s="215"/>
      <c r="K479" s="37" t="s">
        <v>1889</v>
      </c>
      <c r="L479" s="47" t="s">
        <v>6</v>
      </c>
      <c r="M479" s="163" t="s">
        <v>1890</v>
      </c>
      <c r="N479" s="37" t="s">
        <v>1891</v>
      </c>
      <c r="O479" s="18" t="s">
        <v>5</v>
      </c>
      <c r="P479" s="96" t="s">
        <v>5</v>
      </c>
      <c r="Q479" s="37" t="s">
        <v>426</v>
      </c>
      <c r="R479" s="38"/>
      <c r="S479" s="37"/>
      <c r="T479" s="96" t="s">
        <v>45</v>
      </c>
      <c r="U479" s="37"/>
      <c r="V479" s="37"/>
      <c r="W479" s="37"/>
      <c r="X479" s="37"/>
    </row>
    <row r="480" spans="2:24" ht="30.75" hidden="1" customHeight="1">
      <c r="B480" s="37" t="s">
        <v>1851</v>
      </c>
      <c r="C480" s="37" t="s">
        <v>1882</v>
      </c>
      <c r="D480" s="37" t="s">
        <v>1883</v>
      </c>
      <c r="E480" s="37" t="s">
        <v>191</v>
      </c>
      <c r="F480" s="37">
        <v>3</v>
      </c>
      <c r="G480" s="163" t="s">
        <v>53</v>
      </c>
      <c r="H480" s="37" t="s">
        <v>1627</v>
      </c>
      <c r="I480" s="37" t="s">
        <v>115</v>
      </c>
      <c r="J480" s="215"/>
      <c r="K480" s="37" t="s">
        <v>1892</v>
      </c>
      <c r="L480" s="47" t="s">
        <v>6</v>
      </c>
      <c r="M480" s="163" t="s">
        <v>1893</v>
      </c>
      <c r="N480" s="37" t="s">
        <v>1894</v>
      </c>
      <c r="O480" s="18" t="s">
        <v>5</v>
      </c>
      <c r="P480" s="96" t="s">
        <v>3</v>
      </c>
      <c r="Q480" s="37" t="s">
        <v>1895</v>
      </c>
      <c r="R480" s="38"/>
      <c r="S480" s="37"/>
      <c r="T480" s="96" t="s">
        <v>65</v>
      </c>
      <c r="U480" s="37"/>
      <c r="V480" s="37"/>
      <c r="W480" s="37"/>
      <c r="X480" s="37"/>
    </row>
    <row r="481" spans="2:24" ht="30.75" hidden="1" customHeight="1">
      <c r="B481" s="37" t="s">
        <v>1851</v>
      </c>
      <c r="C481" s="37" t="s">
        <v>1882</v>
      </c>
      <c r="D481" s="37" t="s">
        <v>1883</v>
      </c>
      <c r="E481" s="37" t="s">
        <v>191</v>
      </c>
      <c r="F481" s="18">
        <v>4</v>
      </c>
      <c r="G481" s="96" t="s">
        <v>53</v>
      </c>
      <c r="H481" s="18" t="s">
        <v>1627</v>
      </c>
      <c r="I481" s="18" t="s">
        <v>203</v>
      </c>
      <c r="J481" s="208"/>
      <c r="K481" s="18" t="s">
        <v>1896</v>
      </c>
      <c r="L481" s="47" t="s">
        <v>4</v>
      </c>
      <c r="M481" s="18" t="s">
        <v>1897</v>
      </c>
      <c r="N481" s="18" t="s">
        <v>1898</v>
      </c>
      <c r="O481" s="18" t="s">
        <v>3</v>
      </c>
      <c r="P481" s="96" t="s">
        <v>3</v>
      </c>
      <c r="Q481" s="18" t="s">
        <v>1627</v>
      </c>
      <c r="R481" s="19"/>
      <c r="S481" s="223">
        <v>46239</v>
      </c>
      <c r="T481" s="96" t="s">
        <v>65</v>
      </c>
      <c r="U481" s="18" t="s">
        <v>1899</v>
      </c>
      <c r="V481" s="18"/>
      <c r="W481" s="18"/>
      <c r="X481" s="18"/>
    </row>
    <row r="482" spans="2:24" ht="30.75" hidden="1" customHeight="1">
      <c r="B482" s="18" t="s">
        <v>1851</v>
      </c>
      <c r="C482" s="37" t="s">
        <v>1882</v>
      </c>
      <c r="D482" s="37" t="s">
        <v>1883</v>
      </c>
      <c r="E482" s="37" t="s">
        <v>191</v>
      </c>
      <c r="F482" s="18">
        <v>5</v>
      </c>
      <c r="G482" s="96" t="s">
        <v>69</v>
      </c>
      <c r="H482" s="18" t="s">
        <v>1900</v>
      </c>
      <c r="I482" s="18" t="s">
        <v>40</v>
      </c>
      <c r="J482" s="208"/>
      <c r="K482" s="18" t="s">
        <v>1901</v>
      </c>
      <c r="L482" s="47" t="s">
        <v>6</v>
      </c>
      <c r="M482" s="18" t="s">
        <v>1902</v>
      </c>
      <c r="N482" s="18" t="s">
        <v>1903</v>
      </c>
      <c r="O482" s="18" t="s">
        <v>5</v>
      </c>
      <c r="P482" s="96" t="s">
        <v>3</v>
      </c>
      <c r="Q482" s="18" t="s">
        <v>426</v>
      </c>
      <c r="R482" s="19">
        <v>46238</v>
      </c>
      <c r="S482" s="19">
        <v>46467</v>
      </c>
      <c r="T482" s="96" t="s">
        <v>65</v>
      </c>
      <c r="U482" s="18" t="s">
        <v>1899</v>
      </c>
      <c r="V482" s="18"/>
      <c r="W482" s="18"/>
      <c r="X482" s="18"/>
    </row>
    <row r="483" spans="2:24" ht="30.75" hidden="1" customHeight="1">
      <c r="B483" s="18" t="s">
        <v>1851</v>
      </c>
      <c r="C483" s="37" t="s">
        <v>1882</v>
      </c>
      <c r="D483" s="37" t="s">
        <v>1883</v>
      </c>
      <c r="E483" s="37" t="s">
        <v>191</v>
      </c>
      <c r="F483" s="18">
        <v>6</v>
      </c>
      <c r="G483" s="96" t="s">
        <v>39</v>
      </c>
      <c r="H483" s="18" t="s">
        <v>86</v>
      </c>
      <c r="I483" s="18" t="s">
        <v>1904</v>
      </c>
      <c r="J483" s="208"/>
      <c r="K483" s="18" t="s">
        <v>1905</v>
      </c>
      <c r="L483" s="47" t="s">
        <v>6</v>
      </c>
      <c r="M483" s="18" t="s">
        <v>1906</v>
      </c>
      <c r="N483" s="198" t="s">
        <v>1907</v>
      </c>
      <c r="O483" s="18" t="s">
        <v>5</v>
      </c>
      <c r="P483" s="96" t="s">
        <v>3</v>
      </c>
      <c r="Q483" s="18" t="s">
        <v>59</v>
      </c>
      <c r="R483" s="19"/>
      <c r="S483" s="19"/>
      <c r="T483" s="96" t="s">
        <v>45</v>
      </c>
      <c r="U483" s="18"/>
      <c r="V483" s="18" t="s">
        <v>1908</v>
      </c>
      <c r="W483" s="18"/>
      <c r="X483" s="18"/>
    </row>
    <row r="484" spans="2:24" ht="30.75" hidden="1" customHeight="1">
      <c r="B484" s="18" t="s">
        <v>1851</v>
      </c>
      <c r="C484" s="37" t="s">
        <v>1882</v>
      </c>
      <c r="D484" s="37" t="s">
        <v>1883</v>
      </c>
      <c r="E484" s="37" t="s">
        <v>191</v>
      </c>
      <c r="F484" s="18">
        <v>7</v>
      </c>
      <c r="G484" s="96" t="s">
        <v>69</v>
      </c>
      <c r="H484" s="18" t="s">
        <v>1909</v>
      </c>
      <c r="I484" s="18" t="s">
        <v>1910</v>
      </c>
      <c r="J484" s="208"/>
      <c r="K484" s="18" t="s">
        <v>1911</v>
      </c>
      <c r="L484" s="47" t="s">
        <v>6</v>
      </c>
      <c r="M484" s="18" t="s">
        <v>1912</v>
      </c>
      <c r="N484" s="198" t="s">
        <v>1913</v>
      </c>
      <c r="O484" s="18" t="s">
        <v>5</v>
      </c>
      <c r="P484" s="96" t="s">
        <v>3</v>
      </c>
      <c r="Q484" s="18" t="s">
        <v>59</v>
      </c>
      <c r="R484" s="19">
        <v>46203</v>
      </c>
      <c r="S484" s="19">
        <v>46233</v>
      </c>
      <c r="T484" s="96" t="s">
        <v>65</v>
      </c>
      <c r="U484" s="18"/>
      <c r="V484" s="18"/>
      <c r="W484" s="18"/>
      <c r="X484" s="18"/>
    </row>
    <row r="485" spans="2:24" ht="30" hidden="1" customHeight="1">
      <c r="B485" s="37" t="s">
        <v>1914</v>
      </c>
      <c r="C485" s="37" t="s">
        <v>1915</v>
      </c>
      <c r="D485" s="37" t="s">
        <v>658</v>
      </c>
      <c r="E485" s="37" t="s">
        <v>191</v>
      </c>
      <c r="F485" s="37">
        <v>1</v>
      </c>
      <c r="G485" s="163" t="s">
        <v>39</v>
      </c>
      <c r="H485" s="37" t="s">
        <v>269</v>
      </c>
      <c r="I485" s="37" t="s">
        <v>203</v>
      </c>
      <c r="J485" s="215"/>
      <c r="K485" s="37" t="s">
        <v>1916</v>
      </c>
      <c r="L485" s="47" t="s">
        <v>6</v>
      </c>
      <c r="M485" s="163" t="s">
        <v>1917</v>
      </c>
      <c r="N485" s="37" t="s">
        <v>1918</v>
      </c>
      <c r="O485" s="96" t="s">
        <v>3</v>
      </c>
      <c r="P485" s="96" t="s">
        <v>3</v>
      </c>
      <c r="Q485" s="37" t="s">
        <v>426</v>
      </c>
      <c r="R485" s="38"/>
      <c r="S485" s="37"/>
      <c r="T485" s="96" t="s">
        <v>45</v>
      </c>
      <c r="U485" s="37"/>
      <c r="V485" s="37"/>
      <c r="W485" s="37"/>
      <c r="X485" s="37"/>
    </row>
    <row r="486" spans="2:24" ht="30" hidden="1" customHeight="1">
      <c r="B486" s="37" t="s">
        <v>1914</v>
      </c>
      <c r="C486" s="37" t="s">
        <v>1915</v>
      </c>
      <c r="D486" s="37" t="s">
        <v>658</v>
      </c>
      <c r="E486" s="37" t="s">
        <v>191</v>
      </c>
      <c r="F486" s="37">
        <v>2</v>
      </c>
      <c r="G486" s="163" t="s">
        <v>53</v>
      </c>
      <c r="H486" s="37" t="s">
        <v>1919</v>
      </c>
      <c r="I486" s="37" t="s">
        <v>203</v>
      </c>
      <c r="J486" s="215"/>
      <c r="K486" s="37" t="s">
        <v>1920</v>
      </c>
      <c r="L486" s="47" t="s">
        <v>6</v>
      </c>
      <c r="M486" s="163" t="s">
        <v>1921</v>
      </c>
      <c r="N486" s="37" t="s">
        <v>1922</v>
      </c>
      <c r="O486" s="96" t="s">
        <v>3</v>
      </c>
      <c r="P486" s="96" t="s">
        <v>3</v>
      </c>
      <c r="Q486" s="37" t="s">
        <v>59</v>
      </c>
      <c r="R486" s="38"/>
      <c r="S486" s="37"/>
      <c r="T486" s="96" t="s">
        <v>45</v>
      </c>
      <c r="U486" s="37"/>
      <c r="V486" s="37"/>
      <c r="W486" s="37"/>
      <c r="X486" s="37"/>
    </row>
    <row r="487" spans="2:24" ht="30" hidden="1" customHeight="1">
      <c r="B487" s="37" t="s">
        <v>1914</v>
      </c>
      <c r="C487" s="37" t="s">
        <v>1915</v>
      </c>
      <c r="D487" s="37" t="s">
        <v>658</v>
      </c>
      <c r="E487" s="37" t="s">
        <v>191</v>
      </c>
      <c r="F487" s="37">
        <v>3</v>
      </c>
      <c r="G487" s="163" t="s">
        <v>53</v>
      </c>
      <c r="H487" s="37" t="s">
        <v>54</v>
      </c>
      <c r="I487" s="37" t="s">
        <v>1923</v>
      </c>
      <c r="J487" s="215"/>
      <c r="K487" s="37" t="s">
        <v>1924</v>
      </c>
      <c r="L487" s="47" t="s">
        <v>6</v>
      </c>
      <c r="M487" s="163" t="s">
        <v>1925</v>
      </c>
      <c r="N487" s="37"/>
      <c r="O487" s="96" t="s">
        <v>5</v>
      </c>
      <c r="P487" s="96" t="s">
        <v>3</v>
      </c>
      <c r="Q487" s="37" t="s">
        <v>59</v>
      </c>
      <c r="R487" s="38"/>
      <c r="S487" s="37"/>
      <c r="T487" s="96" t="s">
        <v>45</v>
      </c>
      <c r="U487" s="37"/>
      <c r="V487" s="37"/>
      <c r="W487" s="37"/>
      <c r="X487" s="37"/>
    </row>
    <row r="488" spans="2:24" ht="30" hidden="1" customHeight="1">
      <c r="B488" s="37" t="s">
        <v>1914</v>
      </c>
      <c r="C488" s="37" t="s">
        <v>1915</v>
      </c>
      <c r="D488" s="37" t="s">
        <v>658</v>
      </c>
      <c r="E488" s="37" t="s">
        <v>191</v>
      </c>
      <c r="F488" s="18">
        <v>4</v>
      </c>
      <c r="G488" s="163" t="s">
        <v>53</v>
      </c>
      <c r="H488" s="37" t="s">
        <v>54</v>
      </c>
      <c r="I488" s="18" t="s">
        <v>1926</v>
      </c>
      <c r="J488" s="220">
        <v>46114</v>
      </c>
      <c r="K488" s="18" t="s">
        <v>1927</v>
      </c>
      <c r="L488" s="47" t="s">
        <v>4</v>
      </c>
      <c r="M488" s="221" t="s">
        <v>1928</v>
      </c>
      <c r="N488" s="18" t="s">
        <v>1929</v>
      </c>
      <c r="O488" s="96" t="s">
        <v>3</v>
      </c>
      <c r="P488" s="96" t="s">
        <v>3</v>
      </c>
      <c r="Q488" s="37" t="s">
        <v>59</v>
      </c>
      <c r="R488" s="19"/>
      <c r="S488" s="19">
        <v>46264</v>
      </c>
      <c r="T488" s="96" t="s">
        <v>65</v>
      </c>
      <c r="U488" s="222" t="s">
        <v>1930</v>
      </c>
      <c r="V488" s="18"/>
      <c r="W488" s="18"/>
      <c r="X488" s="18"/>
    </row>
    <row r="489" spans="2:24" ht="30" hidden="1" customHeight="1">
      <c r="B489" s="37" t="s">
        <v>1914</v>
      </c>
      <c r="C489" s="37" t="s">
        <v>1915</v>
      </c>
      <c r="D489" s="37" t="s">
        <v>658</v>
      </c>
      <c r="E489" s="37" t="s">
        <v>191</v>
      </c>
      <c r="F489" s="18">
        <v>5</v>
      </c>
      <c r="G489" s="163" t="s">
        <v>53</v>
      </c>
      <c r="H489" s="37" t="s">
        <v>54</v>
      </c>
      <c r="I489" s="18" t="s">
        <v>1931</v>
      </c>
      <c r="J489" s="220">
        <v>46114</v>
      </c>
      <c r="K489" s="18" t="s">
        <v>1932</v>
      </c>
      <c r="L489" s="47" t="s">
        <v>4</v>
      </c>
      <c r="M489" s="221" t="s">
        <v>1928</v>
      </c>
      <c r="N489" s="18" t="s">
        <v>1929</v>
      </c>
      <c r="O489" s="96" t="s">
        <v>3</v>
      </c>
      <c r="P489" s="96" t="s">
        <v>3</v>
      </c>
      <c r="Q489" s="37" t="s">
        <v>59</v>
      </c>
      <c r="R489" s="19"/>
      <c r="S489" s="19">
        <v>46264</v>
      </c>
      <c r="T489" s="96" t="s">
        <v>65</v>
      </c>
      <c r="U489" s="222" t="s">
        <v>1930</v>
      </c>
      <c r="V489" s="18"/>
      <c r="W489" s="18"/>
      <c r="X489" s="18"/>
    </row>
    <row r="490" spans="2:24" ht="30" hidden="1" customHeight="1">
      <c r="B490" s="37" t="s">
        <v>1914</v>
      </c>
      <c r="C490" s="37" t="s">
        <v>1915</v>
      </c>
      <c r="D490" s="37" t="s">
        <v>658</v>
      </c>
      <c r="E490" s="37" t="s">
        <v>191</v>
      </c>
      <c r="F490" s="18">
        <v>6</v>
      </c>
      <c r="G490" s="163" t="s">
        <v>53</v>
      </c>
      <c r="H490" s="37" t="s">
        <v>54</v>
      </c>
      <c r="I490" s="18" t="s">
        <v>1933</v>
      </c>
      <c r="J490" s="220">
        <v>46114</v>
      </c>
      <c r="K490" s="18" t="s">
        <v>1934</v>
      </c>
      <c r="L490" s="47" t="s">
        <v>6</v>
      </c>
      <c r="M490" s="221" t="s">
        <v>1935</v>
      </c>
      <c r="N490" s="18" t="s">
        <v>1936</v>
      </c>
      <c r="O490" s="96" t="s">
        <v>3</v>
      </c>
      <c r="P490" s="96" t="s">
        <v>5</v>
      </c>
      <c r="Q490" s="37" t="s">
        <v>59</v>
      </c>
      <c r="R490" s="19"/>
      <c r="S490" s="18"/>
      <c r="T490" s="96" t="s">
        <v>45</v>
      </c>
      <c r="U490" s="222" t="s">
        <v>705</v>
      </c>
      <c r="V490" s="18"/>
      <c r="W490" s="18"/>
      <c r="X490" s="18"/>
    </row>
    <row r="491" spans="2:24" ht="30" hidden="1" customHeight="1">
      <c r="B491" s="37" t="s">
        <v>1914</v>
      </c>
      <c r="C491" s="37" t="s">
        <v>1915</v>
      </c>
      <c r="D491" s="37" t="s">
        <v>658</v>
      </c>
      <c r="E491" s="37" t="s">
        <v>191</v>
      </c>
      <c r="F491" s="18">
        <v>7</v>
      </c>
      <c r="G491" s="163" t="s">
        <v>53</v>
      </c>
      <c r="H491" s="37" t="s">
        <v>54</v>
      </c>
      <c r="I491" s="18" t="s">
        <v>1937</v>
      </c>
      <c r="J491" s="220">
        <v>46146</v>
      </c>
      <c r="K491" s="18" t="s">
        <v>1938</v>
      </c>
      <c r="L491" s="47" t="s">
        <v>6</v>
      </c>
      <c r="M491" s="221" t="s">
        <v>1939</v>
      </c>
      <c r="N491" s="18" t="s">
        <v>1940</v>
      </c>
      <c r="O491" s="96" t="s">
        <v>3</v>
      </c>
      <c r="P491" s="96" t="s">
        <v>5</v>
      </c>
      <c r="Q491" s="37" t="s">
        <v>59</v>
      </c>
      <c r="R491" s="19"/>
      <c r="S491" s="19">
        <v>46265</v>
      </c>
      <c r="T491" s="96" t="s">
        <v>65</v>
      </c>
      <c r="U491" s="222" t="s">
        <v>1941</v>
      </c>
      <c r="V491" s="18"/>
      <c r="W491" s="18"/>
      <c r="X491" s="18"/>
    </row>
    <row r="492" spans="2:24" ht="30" hidden="1" customHeight="1">
      <c r="B492" s="37" t="s">
        <v>1914</v>
      </c>
      <c r="C492" s="37" t="s">
        <v>1915</v>
      </c>
      <c r="D492" s="37" t="s">
        <v>658</v>
      </c>
      <c r="E492" s="37" t="s">
        <v>191</v>
      </c>
      <c r="F492" s="18">
        <v>8</v>
      </c>
      <c r="G492" s="163" t="s">
        <v>53</v>
      </c>
      <c r="H492" s="37" t="s">
        <v>54</v>
      </c>
      <c r="I492" s="18" t="s">
        <v>1942</v>
      </c>
      <c r="J492" s="220">
        <v>46114</v>
      </c>
      <c r="K492" s="18" t="s">
        <v>1943</v>
      </c>
      <c r="L492" s="47" t="s">
        <v>8</v>
      </c>
      <c r="M492" s="221" t="s">
        <v>1944</v>
      </c>
      <c r="N492" s="18" t="s">
        <v>1945</v>
      </c>
      <c r="O492" s="96" t="s">
        <v>5</v>
      </c>
      <c r="P492" s="96" t="s">
        <v>5</v>
      </c>
      <c r="Q492" s="37" t="s">
        <v>59</v>
      </c>
      <c r="R492" s="19"/>
      <c r="S492" s="18"/>
      <c r="T492" s="96" t="s">
        <v>45</v>
      </c>
      <c r="U492" s="222" t="s">
        <v>1946</v>
      </c>
      <c r="V492" s="18"/>
      <c r="W492" s="18"/>
      <c r="X492" s="18"/>
    </row>
    <row r="493" spans="2:24" ht="30" hidden="1" customHeight="1">
      <c r="B493" s="37" t="s">
        <v>1914</v>
      </c>
      <c r="C493" s="37" t="s">
        <v>1915</v>
      </c>
      <c r="D493" s="37" t="s">
        <v>658</v>
      </c>
      <c r="E493" s="37" t="s">
        <v>191</v>
      </c>
      <c r="F493" s="18">
        <v>9</v>
      </c>
      <c r="G493" s="163" t="s">
        <v>53</v>
      </c>
      <c r="H493" s="37" t="s">
        <v>54</v>
      </c>
      <c r="I493" s="18" t="s">
        <v>1947</v>
      </c>
      <c r="J493" s="220">
        <v>46114</v>
      </c>
      <c r="K493" s="18" t="s">
        <v>1948</v>
      </c>
      <c r="L493" s="47" t="s">
        <v>9</v>
      </c>
      <c r="M493" s="221" t="s">
        <v>1944</v>
      </c>
      <c r="N493" s="18" t="s">
        <v>1949</v>
      </c>
      <c r="O493" s="96" t="s">
        <v>5</v>
      </c>
      <c r="P493" s="96" t="s">
        <v>5</v>
      </c>
      <c r="Q493" s="37" t="s">
        <v>59</v>
      </c>
      <c r="R493" s="19"/>
      <c r="S493" s="18"/>
      <c r="T493" s="96" t="s">
        <v>45</v>
      </c>
      <c r="U493" s="18"/>
      <c r="V493" s="18"/>
      <c r="W493" s="18"/>
      <c r="X493" s="18"/>
    </row>
    <row r="494" spans="2:24" ht="15" hidden="1" customHeight="1">
      <c r="B494" s="37" t="s">
        <v>1950</v>
      </c>
      <c r="C494" s="37" t="s">
        <v>1951</v>
      </c>
      <c r="D494" s="37" t="s">
        <v>1952</v>
      </c>
      <c r="E494" s="37" t="s">
        <v>191</v>
      </c>
      <c r="F494" s="37">
        <v>1</v>
      </c>
      <c r="G494" s="163" t="s">
        <v>53</v>
      </c>
      <c r="H494" s="37" t="s">
        <v>375</v>
      </c>
      <c r="I494" s="37" t="s">
        <v>1953</v>
      </c>
      <c r="J494" s="215"/>
      <c r="K494" s="37" t="s">
        <v>1954</v>
      </c>
      <c r="L494" s="47" t="s">
        <v>6</v>
      </c>
      <c r="M494" s="169" t="s">
        <v>1955</v>
      </c>
      <c r="N494" s="37" t="s">
        <v>1956</v>
      </c>
      <c r="O494" s="163" t="s">
        <v>5</v>
      </c>
      <c r="P494" s="38" t="s">
        <v>3</v>
      </c>
      <c r="Q494" s="37" t="s">
        <v>375</v>
      </c>
      <c r="R494" s="38"/>
      <c r="S494" s="171"/>
      <c r="T494" s="37" t="s">
        <v>65</v>
      </c>
      <c r="U494" s="37"/>
      <c r="V494" s="37"/>
      <c r="W494" s="37"/>
      <c r="X494" s="37"/>
    </row>
    <row r="495" spans="2:24" ht="15" hidden="1" customHeight="1">
      <c r="B495" s="37" t="s">
        <v>1950</v>
      </c>
      <c r="C495" s="37" t="s">
        <v>1951</v>
      </c>
      <c r="D495" s="37" t="s">
        <v>1952</v>
      </c>
      <c r="E495" s="37" t="s">
        <v>191</v>
      </c>
      <c r="F495" s="37">
        <v>2</v>
      </c>
      <c r="G495" s="163" t="s">
        <v>53</v>
      </c>
      <c r="H495" s="37" t="s">
        <v>375</v>
      </c>
      <c r="I495" s="37" t="s">
        <v>1953</v>
      </c>
      <c r="J495" s="215"/>
      <c r="K495" s="37" t="s">
        <v>1957</v>
      </c>
      <c r="L495" s="47" t="s">
        <v>6</v>
      </c>
      <c r="M495" s="37" t="s">
        <v>1958</v>
      </c>
      <c r="N495" s="37" t="s">
        <v>1959</v>
      </c>
      <c r="O495" s="96" t="s">
        <v>5</v>
      </c>
      <c r="P495" s="96" t="s">
        <v>3</v>
      </c>
      <c r="Q495" s="37" t="s">
        <v>1960</v>
      </c>
      <c r="R495" s="38"/>
      <c r="S495" s="37"/>
      <c r="T495" s="96" t="s">
        <v>65</v>
      </c>
      <c r="U495" s="37"/>
      <c r="V495" s="37"/>
      <c r="W495" s="37"/>
      <c r="X495" s="37"/>
    </row>
    <row r="496" spans="2:24" ht="29.1" hidden="1">
      <c r="B496" s="37" t="s">
        <v>1961</v>
      </c>
      <c r="C496" s="37" t="s">
        <v>1962</v>
      </c>
      <c r="D496" s="37" t="s">
        <v>1963</v>
      </c>
      <c r="E496" s="37" t="s">
        <v>191</v>
      </c>
      <c r="F496" s="37">
        <v>1</v>
      </c>
      <c r="G496" s="163" t="s">
        <v>53</v>
      </c>
      <c r="H496" s="37" t="s">
        <v>375</v>
      </c>
      <c r="I496" s="37" t="s">
        <v>1964</v>
      </c>
      <c r="J496" s="215"/>
      <c r="K496" s="37" t="s">
        <v>1965</v>
      </c>
      <c r="L496" s="47" t="s">
        <v>6</v>
      </c>
      <c r="M496" s="169" t="s">
        <v>1966</v>
      </c>
      <c r="N496" s="37" t="s">
        <v>1967</v>
      </c>
      <c r="O496" s="163" t="s">
        <v>5</v>
      </c>
      <c r="P496" s="38" t="s">
        <v>3</v>
      </c>
      <c r="Q496" s="37" t="s">
        <v>375</v>
      </c>
      <c r="R496" s="38"/>
      <c r="S496" s="171"/>
      <c r="T496" s="37" t="s">
        <v>65</v>
      </c>
      <c r="U496" s="37" t="s">
        <v>1968</v>
      </c>
      <c r="V496" s="37"/>
      <c r="W496" s="37"/>
      <c r="X496" s="37"/>
    </row>
    <row r="497" spans="2:24" ht="43.5" hidden="1">
      <c r="B497" s="37" t="s">
        <v>1961</v>
      </c>
      <c r="C497" s="37" t="s">
        <v>1962</v>
      </c>
      <c r="D497" s="37" t="s">
        <v>1963</v>
      </c>
      <c r="E497" s="37" t="s">
        <v>191</v>
      </c>
      <c r="F497" s="37">
        <v>2</v>
      </c>
      <c r="G497" s="163" t="s">
        <v>69</v>
      </c>
      <c r="H497" s="37" t="s">
        <v>348</v>
      </c>
      <c r="I497" s="37" t="s">
        <v>1969</v>
      </c>
      <c r="J497" s="215"/>
      <c r="K497" s="37" t="s">
        <v>1970</v>
      </c>
      <c r="L497" s="47" t="s">
        <v>4</v>
      </c>
      <c r="M497" s="37" t="s">
        <v>1971</v>
      </c>
      <c r="N497" s="37" t="s">
        <v>1972</v>
      </c>
      <c r="O497" s="96" t="s">
        <v>3</v>
      </c>
      <c r="P497" s="96" t="s">
        <v>3</v>
      </c>
      <c r="Q497" s="37" t="s">
        <v>1973</v>
      </c>
      <c r="R497" s="38"/>
      <c r="S497" s="37"/>
      <c r="T497" s="96" t="s">
        <v>65</v>
      </c>
      <c r="U497" s="37" t="s">
        <v>1974</v>
      </c>
      <c r="V497" s="37"/>
      <c r="W497" s="37"/>
      <c r="X497" s="37"/>
    </row>
    <row r="498" spans="2:24" ht="15" hidden="1" customHeight="1">
      <c r="B498" s="18" t="s">
        <v>1961</v>
      </c>
      <c r="C498" s="37" t="s">
        <v>1962</v>
      </c>
      <c r="D498" s="18" t="s">
        <v>1963</v>
      </c>
      <c r="E498" s="18" t="s">
        <v>191</v>
      </c>
      <c r="F498" s="18">
        <v>3</v>
      </c>
      <c r="G498" s="96" t="s">
        <v>69</v>
      </c>
      <c r="H498" s="18" t="s">
        <v>1975</v>
      </c>
      <c r="I498" s="18" t="s">
        <v>1969</v>
      </c>
      <c r="J498" s="208"/>
      <c r="K498" s="18" t="s">
        <v>1976</v>
      </c>
      <c r="L498" s="47" t="s">
        <v>4</v>
      </c>
      <c r="M498" s="10" t="s">
        <v>1977</v>
      </c>
      <c r="N498" s="37" t="s">
        <v>1972</v>
      </c>
      <c r="O498" s="96" t="s">
        <v>3</v>
      </c>
      <c r="P498" s="19" t="s">
        <v>3</v>
      </c>
      <c r="Q498" s="18" t="s">
        <v>1978</v>
      </c>
      <c r="R498" s="19"/>
      <c r="S498" s="12"/>
      <c r="T498" s="18" t="s">
        <v>65</v>
      </c>
      <c r="U498" s="18" t="s">
        <v>1979</v>
      </c>
      <c r="V498" s="18"/>
      <c r="W498" s="18"/>
      <c r="X498" s="18"/>
    </row>
    <row r="499" spans="2:24" ht="43.5" hidden="1">
      <c r="B499" s="18" t="s">
        <v>1961</v>
      </c>
      <c r="C499" s="37" t="s">
        <v>1962</v>
      </c>
      <c r="D499" s="18" t="s">
        <v>1963</v>
      </c>
      <c r="E499" s="18" t="s">
        <v>191</v>
      </c>
      <c r="F499" s="18">
        <v>4</v>
      </c>
      <c r="G499" s="96" t="s">
        <v>69</v>
      </c>
      <c r="H499" s="18" t="s">
        <v>1975</v>
      </c>
      <c r="I499" s="18" t="s">
        <v>1969</v>
      </c>
      <c r="J499" s="208"/>
      <c r="K499" s="18" t="s">
        <v>1980</v>
      </c>
      <c r="L499" s="47" t="s">
        <v>6</v>
      </c>
      <c r="M499" s="10" t="s">
        <v>1977</v>
      </c>
      <c r="N499" s="18" t="s">
        <v>1981</v>
      </c>
      <c r="O499" s="96" t="s">
        <v>3</v>
      </c>
      <c r="P499" s="19" t="s">
        <v>3</v>
      </c>
      <c r="Q499" s="18" t="s">
        <v>59</v>
      </c>
      <c r="R499" s="19"/>
      <c r="S499" s="12"/>
      <c r="T499" s="18" t="s">
        <v>65</v>
      </c>
      <c r="U499" s="18"/>
      <c r="V499" s="18"/>
      <c r="W499" s="18"/>
      <c r="X499" s="18"/>
    </row>
    <row r="500" spans="2:24" ht="15" hidden="1" customHeight="1">
      <c r="B500" s="18" t="s">
        <v>1961</v>
      </c>
      <c r="C500" s="37" t="s">
        <v>1962</v>
      </c>
      <c r="D500" s="18" t="s">
        <v>1963</v>
      </c>
      <c r="E500" s="18" t="s">
        <v>191</v>
      </c>
      <c r="F500" s="18">
        <v>5</v>
      </c>
      <c r="G500" s="96" t="s">
        <v>53</v>
      </c>
      <c r="H500" s="18" t="s">
        <v>375</v>
      </c>
      <c r="I500" s="18" t="s">
        <v>390</v>
      </c>
      <c r="J500" s="208"/>
      <c r="K500" s="18" t="s">
        <v>1982</v>
      </c>
      <c r="L500" s="47" t="s">
        <v>6</v>
      </c>
      <c r="M500" s="96" t="s">
        <v>1983</v>
      </c>
      <c r="N500" s="18"/>
      <c r="O500" s="96" t="s">
        <v>5</v>
      </c>
      <c r="P500" s="96" t="s">
        <v>3</v>
      </c>
      <c r="Q500" s="18" t="s">
        <v>375</v>
      </c>
      <c r="R500" s="19"/>
      <c r="S500" s="18"/>
      <c r="T500" s="96" t="s">
        <v>65</v>
      </c>
      <c r="U500" s="18"/>
      <c r="V500" s="18"/>
      <c r="W500" s="18"/>
      <c r="X500" s="18"/>
    </row>
    <row r="501" spans="2:24" ht="15" hidden="1" customHeight="1">
      <c r="B501" s="18" t="s">
        <v>1961</v>
      </c>
      <c r="C501" s="18" t="s">
        <v>1962</v>
      </c>
      <c r="D501" s="18" t="s">
        <v>1963</v>
      </c>
      <c r="E501" s="18" t="s">
        <v>191</v>
      </c>
      <c r="F501" s="18">
        <v>6</v>
      </c>
      <c r="G501" s="96" t="s">
        <v>69</v>
      </c>
      <c r="H501" s="18" t="s">
        <v>128</v>
      </c>
      <c r="I501" s="18" t="s">
        <v>1000</v>
      </c>
      <c r="J501" s="208"/>
      <c r="K501" s="18" t="s">
        <v>1984</v>
      </c>
      <c r="L501" s="47" t="s">
        <v>6</v>
      </c>
      <c r="M501" s="10" t="s">
        <v>1985</v>
      </c>
      <c r="N501" s="18"/>
      <c r="O501" s="96" t="s">
        <v>3</v>
      </c>
      <c r="P501" s="19" t="s">
        <v>3</v>
      </c>
      <c r="Q501" s="18" t="s">
        <v>1986</v>
      </c>
      <c r="R501" s="19"/>
      <c r="S501" s="12"/>
      <c r="T501" s="18" t="s">
        <v>45</v>
      </c>
      <c r="U501" s="18"/>
      <c r="V501" s="18"/>
      <c r="W501" s="18"/>
      <c r="X501" s="18"/>
    </row>
    <row r="502" spans="2:24" ht="29.1" hidden="1">
      <c r="B502" s="18" t="s">
        <v>914</v>
      </c>
      <c r="C502" s="18" t="s">
        <v>915</v>
      </c>
      <c r="D502" s="18" t="s">
        <v>916</v>
      </c>
      <c r="E502" s="18" t="s">
        <v>191</v>
      </c>
      <c r="F502" s="14">
        <v>5</v>
      </c>
      <c r="G502" s="96" t="s">
        <v>39</v>
      </c>
      <c r="H502" s="26" t="s">
        <v>1386</v>
      </c>
      <c r="I502" s="26" t="s">
        <v>1386</v>
      </c>
      <c r="J502" s="217"/>
      <c r="K502" s="219" t="s">
        <v>1987</v>
      </c>
      <c r="L502" s="47" t="s">
        <v>6</v>
      </c>
      <c r="M502" s="10" t="s">
        <v>1988</v>
      </c>
      <c r="N502" s="10" t="s">
        <v>1989</v>
      </c>
      <c r="O502" s="10" t="s">
        <v>59</v>
      </c>
      <c r="P502" s="10" t="s">
        <v>59</v>
      </c>
      <c r="Q502" s="10" t="s">
        <v>59</v>
      </c>
      <c r="R502" s="201"/>
      <c r="S502" s="12">
        <v>46174</v>
      </c>
      <c r="T502" s="20" t="s">
        <v>45</v>
      </c>
      <c r="U502" s="18"/>
      <c r="V502" s="18"/>
      <c r="W502" s="18"/>
      <c r="X502" s="18"/>
    </row>
    <row r="503" spans="2:24" ht="29.1" hidden="1">
      <c r="B503" s="18" t="s">
        <v>914</v>
      </c>
      <c r="C503" s="18" t="s">
        <v>915</v>
      </c>
      <c r="D503" s="18" t="s">
        <v>916</v>
      </c>
      <c r="E503" s="18" t="s">
        <v>191</v>
      </c>
      <c r="F503" s="14">
        <v>5</v>
      </c>
      <c r="G503" s="96" t="s">
        <v>528</v>
      </c>
      <c r="H503" s="26"/>
      <c r="I503" s="18" t="s">
        <v>86</v>
      </c>
      <c r="J503" s="208"/>
      <c r="K503" s="219" t="s">
        <v>1990</v>
      </c>
      <c r="L503" s="47" t="s">
        <v>6</v>
      </c>
      <c r="M503" s="10"/>
      <c r="N503" s="10" t="s">
        <v>1991</v>
      </c>
      <c r="O503" s="10" t="s">
        <v>59</v>
      </c>
      <c r="P503" s="10" t="s">
        <v>59</v>
      </c>
      <c r="Q503" s="10" t="s">
        <v>59</v>
      </c>
      <c r="R503" s="201">
        <v>46142</v>
      </c>
      <c r="S503" s="12">
        <v>46174</v>
      </c>
      <c r="T503" s="20" t="s">
        <v>45</v>
      </c>
      <c r="U503" s="18"/>
      <c r="V503" s="18"/>
      <c r="W503" s="18"/>
      <c r="X503" s="18"/>
    </row>
    <row r="504" spans="2:24" ht="72.599999999999994" hidden="1">
      <c r="B504" s="18" t="s">
        <v>914</v>
      </c>
      <c r="C504" s="18" t="s">
        <v>915</v>
      </c>
      <c r="D504" s="18" t="s">
        <v>916</v>
      </c>
      <c r="E504" s="18" t="s">
        <v>191</v>
      </c>
      <c r="F504" s="14">
        <v>5</v>
      </c>
      <c r="G504" s="96" t="s">
        <v>69</v>
      </c>
      <c r="H504" s="26" t="s">
        <v>1992</v>
      </c>
      <c r="I504" s="18" t="s">
        <v>86</v>
      </c>
      <c r="J504" s="217"/>
      <c r="K504" s="219" t="s">
        <v>1993</v>
      </c>
      <c r="L504" s="47" t="s">
        <v>6</v>
      </c>
      <c r="M504" s="10" t="s">
        <v>1988</v>
      </c>
      <c r="N504" s="10" t="s">
        <v>1994</v>
      </c>
      <c r="O504" s="10" t="s">
        <v>59</v>
      </c>
      <c r="P504" s="10" t="s">
        <v>59</v>
      </c>
      <c r="Q504" s="10" t="s">
        <v>59</v>
      </c>
      <c r="R504" s="11">
        <v>46091</v>
      </c>
      <c r="S504" s="12">
        <v>46188</v>
      </c>
      <c r="T504" s="20" t="s">
        <v>45</v>
      </c>
      <c r="U504" s="18"/>
      <c r="V504" s="18"/>
      <c r="W504" s="18"/>
      <c r="X504" s="18"/>
    </row>
    <row r="505" spans="2:24" ht="29.1" hidden="1">
      <c r="B505" s="18" t="s">
        <v>914</v>
      </c>
      <c r="C505" s="18" t="s">
        <v>915</v>
      </c>
      <c r="D505" s="18" t="s">
        <v>916</v>
      </c>
      <c r="E505" s="18" t="s">
        <v>191</v>
      </c>
      <c r="F505" s="14">
        <v>5</v>
      </c>
      <c r="G505" s="96" t="s">
        <v>69</v>
      </c>
      <c r="H505" s="26" t="s">
        <v>1800</v>
      </c>
      <c r="I505" s="18" t="s">
        <v>86</v>
      </c>
      <c r="J505" s="208"/>
      <c r="K505" s="219" t="s">
        <v>1995</v>
      </c>
      <c r="L505" s="47" t="s">
        <v>6</v>
      </c>
      <c r="M505" s="10"/>
      <c r="N505" s="10" t="s">
        <v>1996</v>
      </c>
      <c r="O505" s="10" t="s">
        <v>59</v>
      </c>
      <c r="P505" s="10" t="s">
        <v>59</v>
      </c>
      <c r="Q505" s="10" t="s">
        <v>59</v>
      </c>
      <c r="R505" s="11"/>
      <c r="S505" s="12">
        <v>46203</v>
      </c>
      <c r="T505" s="20" t="s">
        <v>45</v>
      </c>
      <c r="U505" s="18"/>
      <c r="V505" s="18"/>
      <c r="W505" s="18"/>
      <c r="X505" s="18"/>
    </row>
    <row r="506" spans="2:24" ht="57.95" hidden="1">
      <c r="B506" s="18" t="s">
        <v>914</v>
      </c>
      <c r="C506" s="18" t="s">
        <v>915</v>
      </c>
      <c r="D506" s="18" t="s">
        <v>916</v>
      </c>
      <c r="E506" s="18" t="s">
        <v>191</v>
      </c>
      <c r="F506" s="14">
        <v>5</v>
      </c>
      <c r="G506" s="96" t="s">
        <v>39</v>
      </c>
      <c r="H506" s="26" t="s">
        <v>1997</v>
      </c>
      <c r="I506" s="18" t="s">
        <v>86</v>
      </c>
      <c r="J506" s="208"/>
      <c r="K506" s="219" t="s">
        <v>1998</v>
      </c>
      <c r="L506" s="47" t="s">
        <v>6</v>
      </c>
      <c r="M506" s="10"/>
      <c r="N506" s="10" t="s">
        <v>1999</v>
      </c>
      <c r="O506" s="10" t="s">
        <v>59</v>
      </c>
      <c r="P506" s="10" t="s">
        <v>59</v>
      </c>
      <c r="Q506" s="10" t="s">
        <v>59</v>
      </c>
      <c r="R506" s="11">
        <v>46142</v>
      </c>
      <c r="S506" s="12">
        <v>46188</v>
      </c>
      <c r="T506" s="20" t="s">
        <v>45</v>
      </c>
      <c r="U506" s="18"/>
      <c r="V506" s="18"/>
      <c r="W506" s="18"/>
      <c r="X506" s="18"/>
    </row>
    <row r="507" spans="2:24" ht="57.95" hidden="1">
      <c r="B507" s="18" t="s">
        <v>914</v>
      </c>
      <c r="C507" s="18" t="s">
        <v>915</v>
      </c>
      <c r="D507" s="18" t="s">
        <v>916</v>
      </c>
      <c r="E507" s="18" t="s">
        <v>191</v>
      </c>
      <c r="F507" s="14">
        <v>5</v>
      </c>
      <c r="G507" s="96" t="s">
        <v>69</v>
      </c>
      <c r="H507" s="26" t="s">
        <v>1992</v>
      </c>
      <c r="I507" s="18" t="s">
        <v>86</v>
      </c>
      <c r="J507" s="208"/>
      <c r="K507" s="219" t="s">
        <v>2000</v>
      </c>
      <c r="L507" s="47" t="s">
        <v>6</v>
      </c>
      <c r="M507" s="10" t="s">
        <v>1988</v>
      </c>
      <c r="N507" s="10" t="s">
        <v>2001</v>
      </c>
      <c r="O507" s="10" t="s">
        <v>59</v>
      </c>
      <c r="P507" s="10" t="s">
        <v>59</v>
      </c>
      <c r="Q507" s="10" t="s">
        <v>59</v>
      </c>
      <c r="R507" s="11">
        <v>46091</v>
      </c>
      <c r="S507" s="12">
        <v>46188</v>
      </c>
      <c r="T507" s="96" t="s">
        <v>65</v>
      </c>
      <c r="U507" s="18"/>
      <c r="V507" s="18"/>
      <c r="W507" s="18"/>
      <c r="X507" s="18"/>
    </row>
    <row r="508" spans="2:24" ht="15" hidden="1" customHeight="1"/>
    <row r="509" spans="2:24" ht="15" hidden="1" customHeight="1"/>
    <row r="510" spans="2:24" ht="15" hidden="1" customHeight="1">
      <c r="B510" s="18" t="s">
        <v>2002</v>
      </c>
      <c r="C510" s="18" t="s">
        <v>2003</v>
      </c>
      <c r="D510" s="18" t="s">
        <v>2004</v>
      </c>
      <c r="E510" s="18" t="s">
        <v>191</v>
      </c>
      <c r="F510" s="18">
        <v>1</v>
      </c>
      <c r="G510" s="96" t="s">
        <v>39</v>
      </c>
      <c r="H510" s="18" t="s">
        <v>426</v>
      </c>
      <c r="I510" s="18" t="s">
        <v>1834</v>
      </c>
      <c r="J510" s="208"/>
      <c r="K510" s="18" t="s">
        <v>2005</v>
      </c>
      <c r="L510" s="47" t="s">
        <v>6</v>
      </c>
      <c r="M510" s="96" t="s">
        <v>2006</v>
      </c>
      <c r="N510" s="18" t="s">
        <v>2007</v>
      </c>
      <c r="O510" s="18" t="s">
        <v>3</v>
      </c>
      <c r="P510" s="18" t="s">
        <v>3</v>
      </c>
      <c r="Q510" s="18" t="s">
        <v>426</v>
      </c>
      <c r="R510" s="19">
        <v>46218</v>
      </c>
      <c r="S510" s="173">
        <v>46233</v>
      </c>
      <c r="T510" s="96" t="s">
        <v>65</v>
      </c>
      <c r="U510" s="18" t="s">
        <v>2008</v>
      </c>
      <c r="V510" s="18"/>
      <c r="W510" s="18"/>
      <c r="X510" s="18"/>
    </row>
    <row r="511" spans="2:24" ht="15" hidden="1" customHeight="1">
      <c r="B511" s="18"/>
      <c r="C511" s="18"/>
      <c r="D511" s="18"/>
      <c r="E511" s="18"/>
      <c r="F511" s="18"/>
      <c r="G511" s="96"/>
      <c r="H511" s="18"/>
      <c r="I511" s="18"/>
      <c r="J511" s="208"/>
      <c r="K511" s="18"/>
      <c r="L511" s="18"/>
      <c r="M511" s="96"/>
      <c r="N511" s="18"/>
      <c r="O511" s="96"/>
      <c r="P511" s="19"/>
      <c r="Q511" s="18"/>
      <c r="R511" s="19"/>
      <c r="S511" s="18"/>
      <c r="T511" s="96"/>
      <c r="U511" s="18"/>
      <c r="V511" s="18"/>
      <c r="W511" s="18"/>
      <c r="X511" s="18"/>
    </row>
    <row r="512" spans="2:24" ht="15" hidden="1" customHeight="1">
      <c r="B512" s="18"/>
      <c r="C512" s="18"/>
      <c r="D512" s="18"/>
      <c r="E512" s="18"/>
      <c r="F512" s="18"/>
      <c r="G512" s="96"/>
      <c r="H512" s="18"/>
      <c r="I512" s="18"/>
      <c r="J512" s="208"/>
      <c r="K512" s="18"/>
      <c r="L512" s="18"/>
      <c r="M512" s="96"/>
      <c r="N512" s="18"/>
      <c r="O512" s="96"/>
      <c r="P512" s="19"/>
      <c r="Q512" s="18"/>
      <c r="R512" s="19"/>
      <c r="S512" s="18"/>
      <c r="T512" s="96"/>
      <c r="U512" s="18"/>
      <c r="V512" s="18"/>
      <c r="W512" s="18"/>
      <c r="X512" s="18"/>
    </row>
    <row r="513" spans="2:24" ht="15" hidden="1" customHeight="1">
      <c r="B513" s="18"/>
      <c r="C513" s="18"/>
      <c r="D513" s="18"/>
      <c r="E513" s="18"/>
      <c r="F513" s="18"/>
      <c r="G513" s="96"/>
      <c r="H513" s="18"/>
      <c r="I513" s="18"/>
      <c r="J513" s="208"/>
      <c r="K513" s="18"/>
      <c r="L513" s="18"/>
      <c r="M513" s="96"/>
      <c r="N513" s="18"/>
      <c r="O513" s="96"/>
      <c r="P513" s="19"/>
      <c r="Q513" s="18"/>
      <c r="R513" s="19"/>
      <c r="S513" s="18"/>
      <c r="T513" s="96"/>
      <c r="U513" s="18"/>
      <c r="V513" s="18"/>
      <c r="W513" s="18"/>
      <c r="X513" s="18"/>
    </row>
    <row r="514" spans="2:24" ht="15" hidden="1" customHeight="1">
      <c r="B514" s="18"/>
      <c r="C514" s="18"/>
      <c r="D514" s="18"/>
      <c r="E514" s="18"/>
      <c r="F514" s="18"/>
      <c r="G514" s="96"/>
      <c r="H514" s="18"/>
      <c r="I514" s="18"/>
      <c r="J514" s="208"/>
      <c r="K514" s="18"/>
      <c r="L514" s="18"/>
      <c r="M514" s="96"/>
      <c r="N514" s="18"/>
      <c r="O514" s="96"/>
      <c r="P514" s="19"/>
      <c r="Q514" s="18"/>
      <c r="R514" s="19"/>
      <c r="S514" s="18"/>
      <c r="T514" s="96"/>
      <c r="U514" s="18"/>
      <c r="V514" s="18"/>
      <c r="W514" s="18"/>
      <c r="X514" s="18"/>
    </row>
    <row r="515" spans="2:24" ht="15" hidden="1" customHeight="1">
      <c r="B515" s="18"/>
      <c r="C515" s="18"/>
      <c r="D515" s="18"/>
      <c r="E515" s="18"/>
      <c r="F515" s="18"/>
      <c r="G515" s="96"/>
      <c r="H515" s="18"/>
      <c r="I515" s="18"/>
      <c r="J515" s="208"/>
      <c r="K515" s="18"/>
      <c r="L515" s="18"/>
      <c r="M515" s="96"/>
      <c r="N515" s="18"/>
      <c r="O515" s="96"/>
      <c r="P515" s="19"/>
      <c r="Q515" s="18"/>
      <c r="R515" s="19"/>
      <c r="S515" s="18"/>
      <c r="T515" s="96"/>
      <c r="U515" s="18"/>
      <c r="V515" s="18"/>
      <c r="W515" s="18"/>
      <c r="X515" s="18"/>
    </row>
    <row r="516" spans="2:24" ht="15" hidden="1" customHeight="1">
      <c r="B516" s="37"/>
      <c r="C516" s="18"/>
      <c r="D516" s="37"/>
      <c r="E516" s="37"/>
      <c r="F516" s="37"/>
      <c r="G516" s="163"/>
      <c r="H516" s="37"/>
      <c r="I516" s="37"/>
      <c r="J516" s="215"/>
      <c r="K516" s="37"/>
      <c r="L516" s="37"/>
      <c r="M516" s="163"/>
      <c r="N516" s="37"/>
      <c r="O516" s="163"/>
      <c r="P516" s="38"/>
      <c r="Q516" s="37"/>
      <c r="R516" s="38"/>
      <c r="S516" s="37"/>
      <c r="T516" s="163"/>
      <c r="U516" s="37"/>
      <c r="V516" s="37"/>
      <c r="W516" s="37"/>
      <c r="X516" s="37"/>
    </row>
    <row r="517" spans="2:24" ht="15" hidden="1" customHeight="1">
      <c r="B517" s="37" t="s">
        <v>1950</v>
      </c>
      <c r="C517" s="37" t="s">
        <v>1951</v>
      </c>
      <c r="D517" s="37" t="s">
        <v>1952</v>
      </c>
      <c r="E517" s="37" t="s">
        <v>191</v>
      </c>
      <c r="F517" s="18">
        <v>3</v>
      </c>
      <c r="G517" s="96" t="s">
        <v>39</v>
      </c>
      <c r="H517" s="96" t="s">
        <v>39</v>
      </c>
      <c r="I517" s="18" t="s">
        <v>1000</v>
      </c>
      <c r="J517" s="208"/>
      <c r="K517" s="18" t="s">
        <v>2009</v>
      </c>
      <c r="L517" s="47" t="s">
        <v>6</v>
      </c>
      <c r="M517" s="96"/>
      <c r="N517" s="18" t="s">
        <v>2010</v>
      </c>
      <c r="O517" s="96" t="s">
        <v>3</v>
      </c>
      <c r="P517" s="96" t="s">
        <v>3</v>
      </c>
      <c r="Q517" s="18" t="s">
        <v>59</v>
      </c>
      <c r="R517" s="19"/>
      <c r="S517" s="18"/>
      <c r="T517" s="96" t="s">
        <v>65</v>
      </c>
      <c r="U517" s="18"/>
      <c r="V517" s="18"/>
      <c r="W517" s="18"/>
      <c r="X517" s="18"/>
    </row>
    <row r="518" spans="2:24" ht="15" hidden="1" customHeight="1">
      <c r="B518" s="37" t="s">
        <v>1950</v>
      </c>
      <c r="C518" s="37" t="s">
        <v>1951</v>
      </c>
      <c r="D518" s="37" t="s">
        <v>1952</v>
      </c>
      <c r="E518" s="37" t="s">
        <v>191</v>
      </c>
      <c r="F518" s="18">
        <v>4</v>
      </c>
      <c r="G518" s="96" t="s">
        <v>39</v>
      </c>
      <c r="H518" s="96" t="s">
        <v>39</v>
      </c>
      <c r="I518" s="18" t="s">
        <v>1000</v>
      </c>
      <c r="J518" s="208"/>
      <c r="K518" s="18" t="s">
        <v>2011</v>
      </c>
      <c r="L518" s="47" t="s">
        <v>6</v>
      </c>
      <c r="M518" s="96" t="s">
        <v>2012</v>
      </c>
      <c r="N518" s="18"/>
      <c r="O518" s="96" t="s">
        <v>5</v>
      </c>
      <c r="P518" s="96" t="s">
        <v>3</v>
      </c>
      <c r="Q518" s="37" t="s">
        <v>1960</v>
      </c>
      <c r="R518" s="19"/>
      <c r="S518" s="18"/>
      <c r="T518" s="96" t="s">
        <v>65</v>
      </c>
      <c r="U518" s="18"/>
      <c r="V518" s="18"/>
      <c r="W518" s="18"/>
      <c r="X518" s="18"/>
    </row>
    <row r="519" spans="2:24" ht="15" hidden="1" customHeight="1">
      <c r="B519" s="37" t="s">
        <v>1950</v>
      </c>
      <c r="C519" s="37" t="s">
        <v>1951</v>
      </c>
      <c r="D519" s="37" t="s">
        <v>1952</v>
      </c>
      <c r="E519" s="37" t="s">
        <v>191</v>
      </c>
      <c r="F519" s="18">
        <v>5</v>
      </c>
      <c r="G519" s="96" t="s">
        <v>39</v>
      </c>
      <c r="H519" s="96" t="s">
        <v>39</v>
      </c>
      <c r="I519" s="18" t="s">
        <v>1834</v>
      </c>
      <c r="J519" s="208"/>
      <c r="K519" s="18" t="s">
        <v>2013</v>
      </c>
      <c r="L519" s="47" t="s">
        <v>6</v>
      </c>
      <c r="M519" s="96" t="s">
        <v>2014</v>
      </c>
      <c r="N519" s="18" t="s">
        <v>2015</v>
      </c>
      <c r="O519" s="96" t="s">
        <v>5</v>
      </c>
      <c r="P519" s="96" t="s">
        <v>3</v>
      </c>
      <c r="Q519" s="18" t="s">
        <v>2016</v>
      </c>
      <c r="R519" s="19"/>
      <c r="S519" s="18"/>
      <c r="T519" s="96" t="s">
        <v>65</v>
      </c>
      <c r="U519" s="18"/>
      <c r="V519" s="18"/>
      <c r="W519" s="18"/>
      <c r="X519" s="18"/>
    </row>
    <row r="520" spans="2:24" ht="15" hidden="1" customHeight="1">
      <c r="B520" s="37"/>
      <c r="C520" s="37"/>
      <c r="D520" s="37"/>
      <c r="E520" s="37"/>
      <c r="F520" s="37"/>
      <c r="G520" s="163"/>
      <c r="H520" s="37"/>
      <c r="I520" s="37"/>
      <c r="J520" s="215"/>
      <c r="K520" s="37"/>
      <c r="L520" s="37"/>
      <c r="M520" s="163"/>
      <c r="N520" s="37"/>
      <c r="O520" s="163"/>
      <c r="P520" s="38"/>
      <c r="Q520" s="37"/>
      <c r="R520" s="38"/>
      <c r="S520" s="37"/>
      <c r="T520" s="163"/>
      <c r="U520" s="37"/>
      <c r="V520" s="37"/>
      <c r="W520" s="37"/>
      <c r="X520" s="37"/>
    </row>
    <row r="521" spans="2:24" ht="39.950000000000003" hidden="1" customHeight="1">
      <c r="B521" s="37" t="s">
        <v>1961</v>
      </c>
      <c r="C521" s="37" t="s">
        <v>1962</v>
      </c>
      <c r="D521" s="37" t="s">
        <v>1963</v>
      </c>
      <c r="E521" s="37" t="s">
        <v>191</v>
      </c>
      <c r="F521" s="37">
        <v>7</v>
      </c>
      <c r="G521" s="96" t="s">
        <v>53</v>
      </c>
      <c r="H521" s="37" t="s">
        <v>375</v>
      </c>
      <c r="I521" s="37" t="s">
        <v>81</v>
      </c>
      <c r="J521" s="215"/>
      <c r="K521" s="37" t="s">
        <v>2017</v>
      </c>
      <c r="L521" s="47" t="s">
        <v>4</v>
      </c>
      <c r="M521" s="37" t="s">
        <v>2018</v>
      </c>
      <c r="N521" s="37"/>
      <c r="O521" s="96" t="s">
        <v>3</v>
      </c>
      <c r="P521" s="19" t="s">
        <v>3</v>
      </c>
      <c r="Q521" s="18" t="s">
        <v>1960</v>
      </c>
      <c r="R521" s="38"/>
      <c r="S521" s="37"/>
      <c r="T521" s="96" t="s">
        <v>65</v>
      </c>
      <c r="U521" s="37" t="s">
        <v>2019</v>
      </c>
      <c r="V521" s="37"/>
      <c r="W521" s="37"/>
      <c r="X521" s="37"/>
    </row>
    <row r="522" spans="2:24" ht="15" hidden="1" customHeight="1">
      <c r="B522" s="37" t="s">
        <v>1769</v>
      </c>
      <c r="C522" s="18" t="s">
        <v>1770</v>
      </c>
      <c r="D522" s="37" t="s">
        <v>1788</v>
      </c>
      <c r="E522" s="37" t="s">
        <v>191</v>
      </c>
      <c r="F522" s="37">
        <v>10</v>
      </c>
      <c r="G522" s="163" t="s">
        <v>69</v>
      </c>
      <c r="H522" s="37" t="s">
        <v>1800</v>
      </c>
      <c r="I522" s="37" t="s">
        <v>81</v>
      </c>
      <c r="J522" s="215"/>
      <c r="K522" s="37" t="s">
        <v>2020</v>
      </c>
      <c r="L522" s="37" t="s">
        <v>6</v>
      </c>
      <c r="M522" s="163" t="s">
        <v>2021</v>
      </c>
      <c r="N522" s="163" t="s">
        <v>2022</v>
      </c>
      <c r="O522" s="37" t="s">
        <v>3</v>
      </c>
      <c r="P522" s="38" t="s">
        <v>3</v>
      </c>
      <c r="Q522" s="18" t="s">
        <v>59</v>
      </c>
      <c r="R522" s="19">
        <v>46134</v>
      </c>
      <c r="S522" s="20">
        <v>46259</v>
      </c>
      <c r="T522" s="163" t="s">
        <v>65</v>
      </c>
      <c r="U522" s="37"/>
      <c r="V522" s="37"/>
      <c r="W522" s="37"/>
      <c r="X522" s="37"/>
    </row>
    <row r="523" spans="2:24" ht="15" hidden="1" customHeight="1">
      <c r="B523" s="37" t="s">
        <v>1769</v>
      </c>
      <c r="C523" s="18" t="s">
        <v>1770</v>
      </c>
      <c r="D523" s="37" t="s">
        <v>1788</v>
      </c>
      <c r="E523" s="37" t="s">
        <v>191</v>
      </c>
      <c r="F523" s="37">
        <v>11</v>
      </c>
      <c r="G523" s="163" t="s">
        <v>69</v>
      </c>
      <c r="H523" s="37" t="s">
        <v>1800</v>
      </c>
      <c r="I523" s="37" t="s">
        <v>203</v>
      </c>
      <c r="J523" s="215"/>
      <c r="K523" s="37" t="s">
        <v>2023</v>
      </c>
      <c r="L523" s="37" t="s">
        <v>6</v>
      </c>
      <c r="M523" s="37" t="s">
        <v>2024</v>
      </c>
      <c r="N523" s="37" t="s">
        <v>2025</v>
      </c>
      <c r="O523" s="163" t="s">
        <v>3</v>
      </c>
      <c r="P523" s="38" t="s">
        <v>3</v>
      </c>
      <c r="Q523" s="37" t="s">
        <v>59</v>
      </c>
      <c r="R523" s="38">
        <v>46200</v>
      </c>
      <c r="S523" s="225">
        <v>46244</v>
      </c>
      <c r="T523" s="163" t="s">
        <v>65</v>
      </c>
      <c r="U523" s="37"/>
      <c r="V523" s="37"/>
      <c r="W523" s="37"/>
      <c r="X523" s="37"/>
    </row>
    <row r="524" spans="2:24" ht="15" hidden="1" customHeight="1">
      <c r="B524" s="37" t="s">
        <v>1769</v>
      </c>
      <c r="C524" s="18" t="s">
        <v>1770</v>
      </c>
      <c r="D524" s="37" t="s">
        <v>1788</v>
      </c>
      <c r="E524" s="37" t="s">
        <v>191</v>
      </c>
      <c r="F524" s="37">
        <v>12</v>
      </c>
      <c r="G524" s="163" t="s">
        <v>39</v>
      </c>
      <c r="H524" s="37" t="s">
        <v>39</v>
      </c>
      <c r="I524" s="37" t="s">
        <v>86</v>
      </c>
      <c r="J524" s="215"/>
      <c r="K524" s="37" t="s">
        <v>2026</v>
      </c>
      <c r="L524" s="37" t="s">
        <v>6</v>
      </c>
      <c r="M524" s="37" t="s">
        <v>2027</v>
      </c>
      <c r="N524" s="37" t="s">
        <v>2028</v>
      </c>
      <c r="O524" s="163" t="s">
        <v>3</v>
      </c>
      <c r="P524" s="38" t="s">
        <v>3</v>
      </c>
      <c r="Q524" s="37" t="s">
        <v>2029</v>
      </c>
      <c r="R524" s="38">
        <v>46280</v>
      </c>
      <c r="S524" s="225">
        <v>46300</v>
      </c>
      <c r="T524" s="163" t="s">
        <v>65</v>
      </c>
      <c r="U524" s="37"/>
      <c r="V524" s="37"/>
      <c r="W524" s="37"/>
      <c r="X524" s="37"/>
    </row>
    <row r="525" spans="2:24" ht="57.95" hidden="1" customHeight="1">
      <c r="B525" s="37" t="s">
        <v>1769</v>
      </c>
      <c r="C525" s="18" t="s">
        <v>1770</v>
      </c>
      <c r="D525" s="37" t="s">
        <v>1788</v>
      </c>
      <c r="E525" s="37" t="s">
        <v>191</v>
      </c>
      <c r="F525" s="37">
        <v>13</v>
      </c>
      <c r="G525" s="163" t="s">
        <v>39</v>
      </c>
      <c r="H525" s="37" t="s">
        <v>39</v>
      </c>
      <c r="I525" s="37" t="s">
        <v>86</v>
      </c>
      <c r="J525" s="215"/>
      <c r="K525" s="37" t="s">
        <v>2030</v>
      </c>
      <c r="L525" s="37" t="s">
        <v>6</v>
      </c>
      <c r="M525" s="163" t="s">
        <v>2031</v>
      </c>
      <c r="N525" s="37" t="s">
        <v>2032</v>
      </c>
      <c r="O525" s="163" t="s">
        <v>3</v>
      </c>
      <c r="P525" s="38" t="s">
        <v>3</v>
      </c>
      <c r="Q525" s="37" t="s">
        <v>112</v>
      </c>
      <c r="R525" s="38">
        <v>46203</v>
      </c>
      <c r="S525" s="225">
        <v>46264</v>
      </c>
      <c r="T525" s="163" t="s">
        <v>65</v>
      </c>
      <c r="U525" s="37"/>
      <c r="V525" s="37"/>
      <c r="W525" s="37"/>
      <c r="X525" s="37"/>
    </row>
    <row r="526" spans="2:24" ht="57.95" hidden="1">
      <c r="B526" s="18" t="s">
        <v>810</v>
      </c>
      <c r="C526" s="18" t="s">
        <v>811</v>
      </c>
      <c r="D526" s="18" t="s">
        <v>812</v>
      </c>
      <c r="E526" s="18" t="s">
        <v>191</v>
      </c>
      <c r="F526" s="14">
        <v>22</v>
      </c>
      <c r="G526" s="14" t="s">
        <v>53</v>
      </c>
      <c r="H526" s="26" t="s">
        <v>54</v>
      </c>
      <c r="I526" s="26" t="s">
        <v>115</v>
      </c>
      <c r="J526" s="202"/>
      <c r="K526" s="194" t="s">
        <v>2033</v>
      </c>
      <c r="L526" s="47" t="s">
        <v>4</v>
      </c>
      <c r="M526" s="16" t="s">
        <v>2034</v>
      </c>
      <c r="N526" s="16" t="s">
        <v>2035</v>
      </c>
      <c r="O526" s="18" t="s">
        <v>3</v>
      </c>
      <c r="P526" s="18" t="s">
        <v>3</v>
      </c>
      <c r="Q526" s="18" t="s">
        <v>2036</v>
      </c>
      <c r="R526" s="19"/>
      <c r="S526" s="20"/>
      <c r="T526" s="18" t="s">
        <v>65</v>
      </c>
      <c r="U526" s="20"/>
      <c r="V526" s="20"/>
      <c r="W526" s="20"/>
      <c r="X526" s="20"/>
    </row>
    <row r="527" spans="2:24" ht="57.95" hidden="1">
      <c r="B527" s="18" t="s">
        <v>810</v>
      </c>
      <c r="C527" s="18" t="s">
        <v>811</v>
      </c>
      <c r="D527" s="18" t="s">
        <v>812</v>
      </c>
      <c r="E527" s="18" t="s">
        <v>191</v>
      </c>
      <c r="F527" s="14">
        <v>23</v>
      </c>
      <c r="G527" s="14" t="s">
        <v>39</v>
      </c>
      <c r="H527" s="26" t="s">
        <v>2037</v>
      </c>
      <c r="I527" s="26" t="s">
        <v>40</v>
      </c>
      <c r="J527" s="202"/>
      <c r="K527" s="194" t="s">
        <v>2038</v>
      </c>
      <c r="L527" s="47" t="s">
        <v>4</v>
      </c>
      <c r="M527" s="16" t="s">
        <v>2039</v>
      </c>
      <c r="N527" s="16" t="s">
        <v>2040</v>
      </c>
      <c r="O527" s="18" t="s">
        <v>3</v>
      </c>
      <c r="P527" s="18" t="s">
        <v>3</v>
      </c>
      <c r="Q527" s="18" t="s">
        <v>2036</v>
      </c>
      <c r="R527" s="19"/>
      <c r="S527" s="20"/>
      <c r="T527" s="18" t="s">
        <v>65</v>
      </c>
      <c r="U527" s="20"/>
      <c r="V527" s="20"/>
      <c r="W527" s="20"/>
      <c r="X527" s="20"/>
    </row>
    <row r="528" spans="2:24" ht="43.5" hidden="1">
      <c r="B528" s="18" t="s">
        <v>934</v>
      </c>
      <c r="C528" s="18" t="s">
        <v>935</v>
      </c>
      <c r="D528" s="18" t="s">
        <v>936</v>
      </c>
      <c r="E528" s="18" t="s">
        <v>191</v>
      </c>
      <c r="F528" s="14">
        <v>18</v>
      </c>
      <c r="G528" s="14" t="s">
        <v>39</v>
      </c>
      <c r="H528" s="119" t="s">
        <v>2041</v>
      </c>
      <c r="I528" s="26" t="s">
        <v>86</v>
      </c>
      <c r="J528" s="202"/>
      <c r="K528" s="119" t="s">
        <v>2042</v>
      </c>
      <c r="L528" s="47" t="s">
        <v>6</v>
      </c>
      <c r="M528" s="16" t="s">
        <v>2043</v>
      </c>
      <c r="N528" s="16" t="s">
        <v>2044</v>
      </c>
      <c r="O528" s="18" t="s">
        <v>3</v>
      </c>
      <c r="P528" s="18" t="s">
        <v>3</v>
      </c>
      <c r="Q528" s="18" t="s">
        <v>2045</v>
      </c>
      <c r="R528" s="19"/>
      <c r="S528" s="20">
        <v>46264</v>
      </c>
      <c r="T528" s="20" t="s">
        <v>65</v>
      </c>
      <c r="U528" s="20"/>
      <c r="V528" s="195"/>
      <c r="W528" s="20"/>
      <c r="X528" s="20"/>
    </row>
    <row r="529" spans="2:24" ht="32.1" hidden="1">
      <c r="B529" s="18" t="s">
        <v>934</v>
      </c>
      <c r="C529" s="18" t="s">
        <v>935</v>
      </c>
      <c r="D529" s="18" t="s">
        <v>936</v>
      </c>
      <c r="E529" s="18" t="s">
        <v>191</v>
      </c>
      <c r="F529" s="14">
        <v>18</v>
      </c>
      <c r="G529" s="14" t="s">
        <v>39</v>
      </c>
      <c r="H529" s="119" t="s">
        <v>2046</v>
      </c>
      <c r="I529" s="26" t="s">
        <v>86</v>
      </c>
      <c r="J529" s="202"/>
      <c r="K529" s="119" t="s">
        <v>2047</v>
      </c>
      <c r="L529" s="47" t="s">
        <v>8</v>
      </c>
      <c r="M529" s="16" t="s">
        <v>2048</v>
      </c>
      <c r="N529" s="16" t="s">
        <v>2049</v>
      </c>
      <c r="O529" s="18" t="s">
        <v>3</v>
      </c>
      <c r="P529" s="18" t="s">
        <v>3</v>
      </c>
      <c r="Q529" s="18" t="s">
        <v>2045</v>
      </c>
      <c r="R529" s="19"/>
      <c r="S529" s="20">
        <v>46264</v>
      </c>
      <c r="T529" s="20" t="s">
        <v>65</v>
      </c>
      <c r="U529" s="20"/>
      <c r="V529" s="195"/>
      <c r="W529" s="20"/>
      <c r="X529" s="20"/>
    </row>
    <row r="530" spans="2:24" ht="15.95">
      <c r="B530" s="18" t="s">
        <v>914</v>
      </c>
      <c r="C530" s="18" t="s">
        <v>915</v>
      </c>
      <c r="D530" s="18" t="s">
        <v>916</v>
      </c>
      <c r="E530" s="18" t="s">
        <v>191</v>
      </c>
      <c r="F530" s="14">
        <v>5</v>
      </c>
      <c r="G530" s="96" t="s">
        <v>53</v>
      </c>
      <c r="H530" s="26" t="s">
        <v>375</v>
      </c>
      <c r="I530" s="18" t="s">
        <v>86</v>
      </c>
      <c r="J530" s="208"/>
      <c r="K530" s="226" t="s">
        <v>2050</v>
      </c>
      <c r="L530" s="47" t="s">
        <v>6</v>
      </c>
      <c r="M530" s="10" t="s">
        <v>2051</v>
      </c>
      <c r="N530" s="10" t="s">
        <v>2052</v>
      </c>
      <c r="O530" s="10" t="s">
        <v>59</v>
      </c>
      <c r="P530" s="10" t="s">
        <v>59</v>
      </c>
      <c r="Q530" s="10" t="s">
        <v>59</v>
      </c>
      <c r="R530" s="11">
        <v>46091</v>
      </c>
      <c r="S530" s="12">
        <v>46280</v>
      </c>
      <c r="T530" s="96" t="s">
        <v>65</v>
      </c>
      <c r="U530" s="18"/>
      <c r="V530" s="18"/>
      <c r="W530" s="18"/>
      <c r="X530" s="18"/>
    </row>
    <row r="531" spans="2:24" ht="15.95">
      <c r="B531" s="18" t="s">
        <v>914</v>
      </c>
      <c r="C531" s="18" t="s">
        <v>915</v>
      </c>
      <c r="D531" s="18" t="s">
        <v>916</v>
      </c>
      <c r="E531" s="18" t="s">
        <v>191</v>
      </c>
      <c r="F531" s="14">
        <v>5</v>
      </c>
      <c r="G531" s="96" t="s">
        <v>69</v>
      </c>
      <c r="H531" s="26" t="s">
        <v>128</v>
      </c>
      <c r="I531" s="18" t="s">
        <v>86</v>
      </c>
      <c r="J531" s="208"/>
      <c r="K531" s="226" t="s">
        <v>2053</v>
      </c>
      <c r="L531" s="47" t="s">
        <v>6</v>
      </c>
      <c r="M531" s="10" t="s">
        <v>2054</v>
      </c>
      <c r="N531" s="10" t="s">
        <v>2055</v>
      </c>
      <c r="O531" s="10" t="s">
        <v>59</v>
      </c>
      <c r="P531" s="10" t="s">
        <v>59</v>
      </c>
      <c r="Q531" s="10" t="s">
        <v>59</v>
      </c>
      <c r="R531" s="11">
        <v>46091</v>
      </c>
      <c r="S531" s="12">
        <v>46280</v>
      </c>
      <c r="T531" s="96" t="s">
        <v>65</v>
      </c>
      <c r="U531" s="18"/>
      <c r="V531" s="18"/>
      <c r="W531" s="18"/>
      <c r="X531" s="18"/>
    </row>
    <row r="532" spans="2:24" ht="15.95">
      <c r="B532" s="18" t="s">
        <v>914</v>
      </c>
      <c r="C532" s="18" t="s">
        <v>915</v>
      </c>
      <c r="D532" s="18" t="s">
        <v>916</v>
      </c>
      <c r="E532" s="18" t="s">
        <v>191</v>
      </c>
      <c r="F532" s="14">
        <v>5</v>
      </c>
      <c r="G532" s="96" t="s">
        <v>69</v>
      </c>
      <c r="H532" s="26" t="s">
        <v>1386</v>
      </c>
      <c r="I532" s="18" t="s">
        <v>1386</v>
      </c>
      <c r="J532" s="208"/>
      <c r="K532" s="226" t="s">
        <v>2056</v>
      </c>
      <c r="L532" s="47" t="s">
        <v>6</v>
      </c>
      <c r="M532" s="10" t="s">
        <v>2057</v>
      </c>
      <c r="N532" s="10" t="s">
        <v>2055</v>
      </c>
      <c r="O532" s="10" t="s">
        <v>59</v>
      </c>
      <c r="P532" s="10" t="s">
        <v>59</v>
      </c>
      <c r="Q532" s="10" t="s">
        <v>59</v>
      </c>
      <c r="R532" s="11">
        <v>46091</v>
      </c>
      <c r="S532" s="12">
        <v>46280</v>
      </c>
      <c r="T532" s="96" t="s">
        <v>65</v>
      </c>
      <c r="U532" s="18"/>
      <c r="V532" s="18"/>
      <c r="W532" s="18"/>
      <c r="X532" s="18"/>
    </row>
    <row r="533" spans="2:24" ht="15.95">
      <c r="B533" s="18" t="s">
        <v>914</v>
      </c>
      <c r="C533" s="18" t="s">
        <v>915</v>
      </c>
      <c r="D533" s="18" t="s">
        <v>916</v>
      </c>
      <c r="E533" s="18" t="s">
        <v>191</v>
      </c>
      <c r="F533" s="14">
        <v>5</v>
      </c>
      <c r="G533" s="96" t="s">
        <v>69</v>
      </c>
      <c r="H533" s="26" t="s">
        <v>128</v>
      </c>
      <c r="I533" s="18" t="s">
        <v>2058</v>
      </c>
      <c r="J533" s="208"/>
      <c r="K533" s="226" t="s">
        <v>2059</v>
      </c>
      <c r="L533" s="47" t="s">
        <v>6</v>
      </c>
      <c r="M533" s="10" t="s">
        <v>2060</v>
      </c>
      <c r="N533" s="10" t="s">
        <v>2055</v>
      </c>
      <c r="O533" s="10" t="s">
        <v>59</v>
      </c>
      <c r="P533" s="10" t="s">
        <v>59</v>
      </c>
      <c r="Q533" s="10" t="s">
        <v>59</v>
      </c>
      <c r="R533" s="11">
        <v>46091</v>
      </c>
      <c r="S533" s="12">
        <v>46280</v>
      </c>
      <c r="T533" s="96" t="s">
        <v>65</v>
      </c>
      <c r="U533" s="18"/>
      <c r="V533" s="18"/>
      <c r="W533" s="18"/>
      <c r="X533" s="18"/>
    </row>
    <row r="534" spans="2:24" ht="15" customHeight="1">
      <c r="B534" s="18"/>
      <c r="C534" s="18"/>
      <c r="D534" s="18"/>
      <c r="E534" s="18"/>
      <c r="F534" s="18"/>
      <c r="G534" s="96"/>
      <c r="H534" s="18"/>
      <c r="I534" s="18"/>
      <c r="J534" s="18"/>
      <c r="K534" s="18"/>
      <c r="L534" s="18"/>
      <c r="M534" s="96"/>
      <c r="N534" s="18"/>
      <c r="O534" s="96"/>
      <c r="P534" s="19"/>
      <c r="Q534" s="18"/>
      <c r="R534" s="19"/>
      <c r="S534" s="18"/>
      <c r="T534" s="96"/>
      <c r="U534" s="18"/>
      <c r="V534" s="18"/>
      <c r="W534" s="18"/>
      <c r="X534" s="18"/>
    </row>
    <row r="535" spans="2:24" ht="15" customHeight="1">
      <c r="B535" s="18"/>
      <c r="C535" s="18"/>
      <c r="D535" s="18"/>
      <c r="E535" s="18"/>
      <c r="F535" s="18"/>
      <c r="G535" s="96"/>
      <c r="H535" s="18"/>
      <c r="I535" s="18"/>
      <c r="J535" s="18"/>
      <c r="K535" s="18"/>
      <c r="L535" s="18"/>
      <c r="M535" s="96"/>
      <c r="N535" s="18"/>
      <c r="O535" s="96"/>
      <c r="P535" s="19"/>
      <c r="Q535" s="18"/>
      <c r="R535" s="19"/>
      <c r="S535" s="18"/>
      <c r="T535" s="96"/>
      <c r="U535" s="18"/>
      <c r="V535" s="18"/>
      <c r="W535" s="18"/>
      <c r="X535" s="18"/>
    </row>
    <row r="536" spans="2:24" ht="15" customHeight="1">
      <c r="B536" s="18"/>
      <c r="C536" s="18"/>
      <c r="D536" s="18"/>
      <c r="E536" s="18"/>
      <c r="F536" s="18"/>
      <c r="G536" s="96"/>
      <c r="H536" s="18"/>
      <c r="I536" s="18"/>
      <c r="J536" s="18"/>
      <c r="K536" s="18"/>
      <c r="L536" s="18"/>
      <c r="M536" s="96"/>
      <c r="N536" s="18"/>
      <c r="O536" s="96"/>
      <c r="P536" s="19"/>
      <c r="Q536" s="18"/>
      <c r="R536" s="19"/>
      <c r="S536" s="18"/>
      <c r="T536" s="96"/>
      <c r="U536" s="18"/>
      <c r="V536" s="18"/>
      <c r="W536" s="18"/>
      <c r="X536" s="18"/>
    </row>
    <row r="537" spans="2:24" ht="15" customHeight="1">
      <c r="B537" s="18"/>
      <c r="C537" s="18"/>
      <c r="D537" s="18"/>
      <c r="E537" s="18"/>
      <c r="F537" s="18"/>
      <c r="G537" s="96"/>
      <c r="H537" s="18"/>
      <c r="I537" s="18"/>
      <c r="J537" s="18"/>
      <c r="K537" s="18"/>
      <c r="L537" s="18"/>
      <c r="M537" s="96"/>
      <c r="N537" s="18"/>
      <c r="O537" s="96"/>
      <c r="P537" s="19"/>
      <c r="Q537" s="18"/>
      <c r="R537" s="19"/>
      <c r="S537" s="18"/>
      <c r="T537" s="96"/>
      <c r="U537" s="18"/>
      <c r="V537" s="18"/>
      <c r="W537" s="18"/>
      <c r="X537" s="18"/>
    </row>
    <row r="538" spans="2:24" ht="15" customHeight="1">
      <c r="B538" s="18"/>
      <c r="C538" s="18"/>
      <c r="D538" s="18"/>
      <c r="E538" s="18"/>
      <c r="F538" s="18"/>
      <c r="G538" s="96"/>
      <c r="H538" s="18"/>
      <c r="I538" s="18"/>
      <c r="J538" s="18"/>
      <c r="K538" s="18"/>
      <c r="L538" s="18"/>
      <c r="M538" s="96"/>
      <c r="N538" s="18"/>
      <c r="O538" s="96"/>
      <c r="P538" s="19"/>
      <c r="Q538" s="18"/>
      <c r="R538" s="19"/>
      <c r="S538" s="18"/>
      <c r="T538" s="96"/>
      <c r="U538" s="18"/>
      <c r="V538" s="18"/>
      <c r="W538" s="18"/>
      <c r="X538" s="18"/>
    </row>
    <row r="539" spans="2:24" ht="15" customHeight="1">
      <c r="B539" s="18"/>
      <c r="C539" s="18"/>
      <c r="D539" s="18"/>
      <c r="E539" s="18"/>
      <c r="F539" s="18"/>
      <c r="G539" s="96"/>
      <c r="H539" s="18"/>
      <c r="I539" s="18"/>
      <c r="J539" s="18"/>
      <c r="K539" s="18"/>
      <c r="L539" s="18"/>
      <c r="M539" s="96"/>
      <c r="N539" s="18"/>
      <c r="O539" s="96"/>
      <c r="P539" s="19"/>
      <c r="Q539" s="18"/>
      <c r="R539" s="19"/>
      <c r="S539" s="18"/>
      <c r="T539" s="96"/>
      <c r="U539" s="18"/>
      <c r="V539" s="18"/>
      <c r="W539" s="18"/>
      <c r="X539" s="18"/>
    </row>
    <row r="540" spans="2:24" ht="15" customHeight="1">
      <c r="B540" s="18"/>
      <c r="C540" s="18"/>
      <c r="D540" s="18"/>
      <c r="E540" s="18"/>
      <c r="F540" s="18"/>
      <c r="G540" s="96"/>
      <c r="H540" s="18"/>
      <c r="I540" s="18"/>
      <c r="J540" s="18"/>
      <c r="K540" s="18"/>
      <c r="L540" s="18"/>
      <c r="M540" s="96"/>
      <c r="N540" s="18"/>
      <c r="O540" s="96"/>
      <c r="P540" s="19"/>
      <c r="Q540" s="18"/>
      <c r="R540" s="19"/>
      <c r="S540" s="18"/>
      <c r="T540" s="96"/>
      <c r="U540" s="18"/>
      <c r="V540" s="18"/>
      <c r="W540" s="18"/>
      <c r="X540" s="18"/>
    </row>
    <row r="541" spans="2:24" ht="15" customHeight="1">
      <c r="B541" s="18"/>
      <c r="C541" s="18"/>
      <c r="D541" s="18"/>
      <c r="E541" s="18"/>
      <c r="F541" s="18"/>
      <c r="G541" s="96"/>
      <c r="H541" s="18"/>
      <c r="I541" s="18"/>
      <c r="J541" s="18"/>
      <c r="K541" s="18"/>
      <c r="L541" s="18"/>
      <c r="M541" s="96"/>
      <c r="N541" s="18"/>
      <c r="O541" s="96"/>
      <c r="P541" s="19"/>
      <c r="Q541" s="18"/>
      <c r="R541" s="19"/>
      <c r="S541" s="18"/>
      <c r="T541" s="96"/>
      <c r="U541" s="18"/>
      <c r="V541" s="18"/>
      <c r="W541" s="18"/>
      <c r="X541" s="18"/>
    </row>
    <row r="542" spans="2:24" ht="15" customHeight="1">
      <c r="B542" s="18"/>
      <c r="C542" s="18"/>
      <c r="D542" s="18"/>
      <c r="E542" s="18"/>
      <c r="F542" s="18"/>
      <c r="G542" s="96"/>
      <c r="H542" s="18"/>
      <c r="I542" s="18"/>
      <c r="J542" s="18"/>
      <c r="K542" s="18"/>
      <c r="L542" s="18"/>
      <c r="M542" s="96"/>
      <c r="N542" s="18"/>
      <c r="O542" s="96"/>
      <c r="P542" s="19"/>
      <c r="Q542" s="18"/>
      <c r="R542" s="19"/>
      <c r="S542" s="18"/>
      <c r="T542" s="96"/>
      <c r="U542" s="18"/>
      <c r="V542" s="18"/>
      <c r="W542" s="18"/>
      <c r="X542" s="18"/>
    </row>
    <row r="543" spans="2:24" ht="15" customHeight="1">
      <c r="B543" s="18"/>
      <c r="C543" s="18"/>
      <c r="D543" s="18"/>
      <c r="E543" s="18"/>
      <c r="F543" s="18"/>
      <c r="G543" s="96"/>
      <c r="H543" s="18"/>
      <c r="I543" s="18"/>
      <c r="J543" s="18"/>
      <c r="K543" s="18"/>
      <c r="L543" s="18"/>
      <c r="M543" s="96"/>
      <c r="N543" s="18"/>
      <c r="O543" s="96"/>
      <c r="P543" s="19"/>
      <c r="Q543" s="18"/>
      <c r="R543" s="19"/>
      <c r="S543" s="18"/>
      <c r="T543" s="96"/>
      <c r="U543" s="18"/>
      <c r="V543" s="18"/>
      <c r="W543" s="18"/>
      <c r="X543" s="18"/>
    </row>
    <row r="544" spans="2:24" ht="15" customHeight="1">
      <c r="B544" s="18"/>
      <c r="C544" s="18"/>
      <c r="D544" s="18"/>
      <c r="E544" s="18"/>
      <c r="F544" s="18"/>
      <c r="G544" s="96"/>
      <c r="H544" s="18"/>
      <c r="I544" s="18"/>
      <c r="J544" s="18"/>
      <c r="K544" s="18"/>
      <c r="L544" s="18"/>
      <c r="M544" s="96"/>
      <c r="N544" s="18"/>
      <c r="O544" s="96"/>
      <c r="P544" s="19"/>
      <c r="Q544" s="18"/>
      <c r="R544" s="19"/>
      <c r="S544" s="18"/>
      <c r="T544" s="96"/>
      <c r="U544" s="18"/>
      <c r="V544" s="18"/>
      <c r="W544" s="18"/>
      <c r="X544" s="18"/>
    </row>
    <row r="545" spans="2:24" ht="15" customHeight="1">
      <c r="B545" s="18"/>
      <c r="C545" s="18"/>
      <c r="D545" s="18"/>
      <c r="E545" s="18"/>
      <c r="F545" s="18"/>
      <c r="G545" s="96"/>
      <c r="H545" s="18"/>
      <c r="I545" s="18"/>
      <c r="J545" s="18"/>
      <c r="K545" s="18"/>
      <c r="L545" s="18"/>
      <c r="M545" s="96"/>
      <c r="N545" s="18"/>
      <c r="O545" s="96"/>
      <c r="P545" s="19"/>
      <c r="Q545" s="18"/>
      <c r="R545" s="19"/>
      <c r="S545" s="18"/>
      <c r="T545" s="96"/>
      <c r="U545" s="18"/>
      <c r="V545" s="18"/>
      <c r="W545" s="18"/>
      <c r="X545" s="18"/>
    </row>
    <row r="546" spans="2:24" ht="15" customHeight="1">
      <c r="B546" s="18"/>
      <c r="C546" s="18"/>
      <c r="D546" s="18"/>
      <c r="E546" s="18"/>
      <c r="F546" s="18"/>
      <c r="G546" s="96"/>
      <c r="H546" s="18"/>
      <c r="I546" s="18"/>
      <c r="J546" s="18"/>
      <c r="K546" s="18"/>
      <c r="L546" s="18"/>
      <c r="M546" s="96"/>
      <c r="N546" s="18"/>
      <c r="O546" s="96"/>
      <c r="P546" s="19"/>
      <c r="Q546" s="18"/>
      <c r="R546" s="19"/>
      <c r="S546" s="18"/>
      <c r="T546" s="96"/>
      <c r="U546" s="18"/>
      <c r="V546" s="18"/>
      <c r="W546" s="18"/>
      <c r="X546" s="18"/>
    </row>
    <row r="547" spans="2:24" ht="15" customHeight="1">
      <c r="B547" s="18"/>
      <c r="C547" s="18"/>
      <c r="D547" s="18"/>
      <c r="E547" s="18"/>
      <c r="F547" s="18"/>
      <c r="G547" s="96"/>
      <c r="H547" s="18"/>
      <c r="I547" s="18"/>
      <c r="J547" s="18"/>
      <c r="K547" s="18"/>
      <c r="L547" s="18"/>
      <c r="M547" s="96"/>
      <c r="N547" s="18"/>
      <c r="O547" s="96"/>
      <c r="P547" s="19"/>
      <c r="Q547" s="18"/>
      <c r="R547" s="19"/>
      <c r="S547" s="18"/>
      <c r="T547" s="96"/>
      <c r="U547" s="18"/>
      <c r="V547" s="18"/>
      <c r="W547" s="18"/>
      <c r="X547" s="18"/>
    </row>
    <row r="548" spans="2:24" ht="15" customHeight="1">
      <c r="B548" s="18"/>
      <c r="C548" s="18"/>
      <c r="D548" s="18"/>
      <c r="E548" s="18"/>
      <c r="F548" s="18"/>
      <c r="G548" s="96"/>
      <c r="H548" s="18"/>
      <c r="I548" s="18"/>
      <c r="J548" s="18"/>
      <c r="K548" s="18"/>
      <c r="L548" s="18"/>
      <c r="M548" s="96"/>
      <c r="N548" s="18"/>
      <c r="O548" s="96"/>
      <c r="P548" s="19"/>
      <c r="Q548" s="18"/>
      <c r="R548" s="19"/>
      <c r="S548" s="18"/>
      <c r="T548" s="96"/>
      <c r="U548" s="18"/>
      <c r="V548" s="18"/>
      <c r="W548" s="18"/>
      <c r="X548" s="18"/>
    </row>
    <row r="549" spans="2:24" ht="15" customHeight="1">
      <c r="B549" s="18"/>
      <c r="C549" s="18"/>
      <c r="D549" s="18"/>
      <c r="E549" s="18"/>
      <c r="F549" s="18"/>
      <c r="G549" s="96"/>
      <c r="H549" s="18"/>
      <c r="I549" s="18"/>
      <c r="J549" s="18"/>
      <c r="K549" s="18"/>
      <c r="L549" s="18"/>
      <c r="M549" s="96"/>
      <c r="N549" s="18"/>
      <c r="O549" s="96"/>
      <c r="P549" s="19"/>
      <c r="Q549" s="18"/>
      <c r="R549" s="19"/>
      <c r="S549" s="18"/>
      <c r="T549" s="96"/>
      <c r="U549" s="18"/>
      <c r="V549" s="18"/>
      <c r="W549" s="18"/>
      <c r="X549" s="18"/>
    </row>
    <row r="550" spans="2:24" ht="15" customHeight="1">
      <c r="B550" s="18"/>
      <c r="C550" s="18"/>
      <c r="D550" s="18"/>
      <c r="E550" s="18"/>
      <c r="F550" s="18"/>
      <c r="G550" s="96"/>
      <c r="H550" s="18"/>
      <c r="I550" s="18"/>
      <c r="J550" s="18"/>
      <c r="K550" s="18"/>
      <c r="L550" s="18"/>
      <c r="M550" s="96"/>
      <c r="N550" s="18"/>
      <c r="O550" s="96"/>
      <c r="P550" s="19"/>
      <c r="Q550" s="18"/>
      <c r="R550" s="19"/>
      <c r="S550" s="18"/>
      <c r="T550" s="96"/>
      <c r="U550" s="18"/>
      <c r="V550" s="18"/>
      <c r="W550" s="18"/>
      <c r="X550" s="18"/>
    </row>
    <row r="551" spans="2:24" ht="15" customHeight="1">
      <c r="B551" s="18"/>
      <c r="C551" s="18"/>
      <c r="D551" s="18"/>
      <c r="E551" s="18"/>
      <c r="F551" s="18"/>
      <c r="G551" s="96"/>
      <c r="H551" s="18"/>
      <c r="I551" s="18"/>
      <c r="J551" s="18"/>
      <c r="K551" s="18"/>
      <c r="L551" s="18"/>
      <c r="M551" s="96"/>
      <c r="N551" s="18"/>
      <c r="O551" s="96"/>
      <c r="P551" s="19"/>
      <c r="Q551" s="18"/>
      <c r="R551" s="19"/>
      <c r="S551" s="18"/>
      <c r="T551" s="96"/>
      <c r="U551" s="18"/>
      <c r="V551" s="18"/>
      <c r="W551" s="18"/>
      <c r="X551" s="18"/>
    </row>
    <row r="552" spans="2:24" ht="15" customHeight="1">
      <c r="B552" s="18"/>
      <c r="C552" s="18"/>
      <c r="D552" s="18"/>
      <c r="E552" s="18"/>
      <c r="F552" s="18"/>
      <c r="G552" s="96"/>
      <c r="H552" s="18"/>
      <c r="I552" s="18"/>
      <c r="J552" s="18"/>
      <c r="K552" s="18"/>
      <c r="L552" s="18"/>
      <c r="M552" s="96"/>
      <c r="N552" s="18"/>
      <c r="O552" s="96"/>
      <c r="P552" s="19"/>
      <c r="Q552" s="18"/>
      <c r="R552" s="19"/>
      <c r="S552" s="18"/>
      <c r="T552" s="96"/>
      <c r="U552" s="18"/>
      <c r="V552" s="18"/>
      <c r="W552" s="18"/>
      <c r="X552" s="18"/>
    </row>
    <row r="553" spans="2:24" ht="15" customHeight="1">
      <c r="B553" s="18"/>
      <c r="C553" s="18"/>
      <c r="D553" s="18"/>
      <c r="E553" s="18"/>
      <c r="F553" s="18"/>
      <c r="G553" s="96"/>
      <c r="H553" s="18"/>
      <c r="I553" s="18"/>
      <c r="J553" s="18"/>
      <c r="K553" s="18"/>
      <c r="L553" s="18"/>
      <c r="M553" s="96"/>
      <c r="N553" s="18"/>
      <c r="O553" s="96"/>
      <c r="P553" s="19"/>
      <c r="Q553" s="18"/>
      <c r="R553" s="19"/>
      <c r="S553" s="18"/>
      <c r="T553" s="96"/>
      <c r="U553" s="18"/>
      <c r="V553" s="18"/>
      <c r="W553" s="18"/>
      <c r="X553" s="18"/>
    </row>
    <row r="554" spans="2:24" ht="15" customHeight="1">
      <c r="B554" s="18"/>
      <c r="C554" s="18"/>
      <c r="D554" s="18"/>
      <c r="E554" s="18"/>
      <c r="F554" s="18"/>
      <c r="G554" s="96"/>
      <c r="H554" s="18"/>
      <c r="I554" s="18"/>
      <c r="J554" s="18"/>
      <c r="K554" s="18"/>
      <c r="L554" s="18"/>
      <c r="M554" s="96"/>
      <c r="N554" s="18"/>
      <c r="O554" s="96"/>
      <c r="P554" s="19"/>
      <c r="Q554" s="18"/>
      <c r="R554" s="19"/>
      <c r="S554" s="18"/>
      <c r="T554" s="96"/>
      <c r="U554" s="18"/>
      <c r="V554" s="18"/>
      <c r="W554" s="18"/>
      <c r="X554" s="18"/>
    </row>
    <row r="555" spans="2:24" ht="15" customHeight="1">
      <c r="B555" s="18"/>
      <c r="C555" s="18"/>
      <c r="D555" s="18"/>
      <c r="E555" s="18"/>
      <c r="F555" s="18"/>
      <c r="G555" s="96"/>
      <c r="H555" s="18"/>
      <c r="I555" s="18"/>
      <c r="J555" s="18"/>
      <c r="K555" s="18"/>
      <c r="L555" s="18"/>
      <c r="M555" s="96"/>
      <c r="N555" s="18"/>
      <c r="O555" s="96"/>
      <c r="P555" s="19"/>
      <c r="Q555" s="18"/>
      <c r="R555" s="19"/>
      <c r="S555" s="18"/>
      <c r="T555" s="96"/>
      <c r="U555" s="18"/>
      <c r="V555" s="18"/>
      <c r="W555" s="18"/>
      <c r="X555" s="18"/>
    </row>
    <row r="556" spans="2:24" ht="15" customHeight="1">
      <c r="B556" s="18"/>
      <c r="C556" s="18"/>
      <c r="D556" s="18"/>
      <c r="E556" s="18"/>
      <c r="F556" s="18"/>
      <c r="G556" s="96"/>
      <c r="H556" s="18"/>
      <c r="I556" s="18"/>
      <c r="J556" s="18"/>
      <c r="K556" s="18"/>
      <c r="L556" s="18"/>
      <c r="M556" s="96"/>
      <c r="N556" s="18"/>
      <c r="O556" s="96"/>
      <c r="P556" s="19"/>
      <c r="Q556" s="18"/>
      <c r="R556" s="19"/>
      <c r="S556" s="18"/>
      <c r="T556" s="96"/>
      <c r="U556" s="18"/>
      <c r="V556" s="18"/>
      <c r="W556" s="18"/>
      <c r="X556" s="18"/>
    </row>
    <row r="557" spans="2:24" ht="15" customHeight="1">
      <c r="B557" s="18"/>
      <c r="C557" s="18"/>
      <c r="D557" s="18"/>
      <c r="E557" s="18"/>
      <c r="F557" s="18"/>
      <c r="G557" s="96"/>
      <c r="H557" s="18"/>
      <c r="I557" s="18"/>
      <c r="J557" s="18"/>
      <c r="K557" s="18"/>
      <c r="L557" s="18"/>
      <c r="M557" s="96"/>
      <c r="N557" s="18"/>
      <c r="O557" s="96"/>
      <c r="P557" s="19"/>
      <c r="Q557" s="18"/>
      <c r="R557" s="19"/>
      <c r="S557" s="18"/>
      <c r="T557" s="96"/>
      <c r="U557" s="18"/>
      <c r="V557" s="18"/>
      <c r="W557" s="18"/>
      <c r="X557" s="18"/>
    </row>
    <row r="558" spans="2:24" ht="15" customHeight="1">
      <c r="B558" s="18"/>
      <c r="C558" s="18"/>
      <c r="D558" s="18"/>
      <c r="E558" s="18"/>
      <c r="F558" s="18"/>
      <c r="G558" s="96"/>
      <c r="H558" s="18"/>
      <c r="I558" s="18"/>
      <c r="J558" s="18"/>
      <c r="K558" s="18"/>
      <c r="L558" s="18"/>
      <c r="M558" s="96"/>
      <c r="N558" s="18"/>
      <c r="O558" s="96"/>
      <c r="P558" s="19"/>
      <c r="Q558" s="18"/>
      <c r="R558" s="19"/>
      <c r="S558" s="18"/>
      <c r="T558" s="96"/>
      <c r="U558" s="18"/>
      <c r="V558" s="18"/>
      <c r="W558" s="18"/>
      <c r="X558" s="18"/>
    </row>
    <row r="559" spans="2:24" ht="15" customHeight="1">
      <c r="B559" s="18"/>
      <c r="C559" s="18"/>
      <c r="D559" s="18"/>
      <c r="E559" s="18"/>
      <c r="F559" s="18"/>
      <c r="G559" s="96"/>
      <c r="H559" s="18"/>
      <c r="I559" s="18"/>
      <c r="J559" s="18"/>
      <c r="K559" s="18"/>
      <c r="L559" s="18"/>
      <c r="M559" s="96"/>
      <c r="N559" s="18"/>
      <c r="O559" s="96"/>
      <c r="P559" s="19"/>
      <c r="Q559" s="18"/>
      <c r="R559" s="19"/>
      <c r="S559" s="18"/>
      <c r="T559" s="96"/>
      <c r="U559" s="18"/>
      <c r="V559" s="18"/>
      <c r="W559" s="18"/>
      <c r="X559" s="18"/>
    </row>
    <row r="560" spans="2:24" ht="15" customHeight="1">
      <c r="B560" s="18"/>
      <c r="C560" s="18"/>
      <c r="D560" s="18"/>
      <c r="E560" s="18"/>
      <c r="F560" s="18"/>
      <c r="G560" s="96"/>
      <c r="H560" s="18"/>
      <c r="I560" s="18"/>
      <c r="J560" s="18"/>
      <c r="K560" s="18"/>
      <c r="L560" s="18"/>
      <c r="M560" s="96"/>
      <c r="N560" s="18"/>
      <c r="O560" s="96"/>
      <c r="P560" s="19"/>
      <c r="Q560" s="18"/>
      <c r="R560" s="19"/>
      <c r="S560" s="18"/>
      <c r="T560" s="96"/>
      <c r="U560" s="18"/>
      <c r="V560" s="18"/>
      <c r="W560" s="18"/>
      <c r="X560" s="18"/>
    </row>
    <row r="561" spans="2:24" ht="15" customHeight="1">
      <c r="B561" s="18"/>
      <c r="C561" s="18"/>
      <c r="D561" s="18"/>
      <c r="E561" s="18"/>
      <c r="F561" s="18"/>
      <c r="G561" s="96"/>
      <c r="H561" s="18"/>
      <c r="I561" s="18"/>
      <c r="J561" s="18"/>
      <c r="K561" s="18"/>
      <c r="L561" s="18"/>
      <c r="M561" s="96"/>
      <c r="N561" s="18"/>
      <c r="O561" s="96"/>
      <c r="P561" s="19"/>
      <c r="Q561" s="18"/>
      <c r="R561" s="19"/>
      <c r="S561" s="18"/>
      <c r="T561" s="96"/>
      <c r="U561" s="18"/>
      <c r="V561" s="18"/>
      <c r="W561" s="18"/>
      <c r="X561" s="18"/>
    </row>
    <row r="562" spans="2:24" ht="15" customHeight="1">
      <c r="B562" s="18"/>
      <c r="C562" s="18"/>
      <c r="D562" s="18"/>
      <c r="E562" s="18"/>
      <c r="F562" s="18"/>
      <c r="G562" s="96"/>
      <c r="H562" s="18"/>
      <c r="I562" s="18"/>
      <c r="J562" s="18"/>
      <c r="K562" s="18"/>
      <c r="L562" s="18"/>
      <c r="M562" s="96"/>
      <c r="N562" s="18"/>
      <c r="O562" s="96"/>
      <c r="P562" s="19"/>
      <c r="Q562" s="18"/>
      <c r="R562" s="19"/>
      <c r="S562" s="18"/>
      <c r="T562" s="96"/>
      <c r="U562" s="18"/>
      <c r="V562" s="18"/>
      <c r="W562" s="18"/>
      <c r="X562" s="18"/>
    </row>
    <row r="563" spans="2:24" ht="15" customHeight="1">
      <c r="B563" s="18"/>
      <c r="C563" s="18"/>
      <c r="D563" s="18"/>
      <c r="E563" s="18"/>
      <c r="F563" s="18"/>
      <c r="G563" s="96"/>
      <c r="H563" s="18"/>
      <c r="I563" s="18"/>
      <c r="J563" s="18"/>
      <c r="K563" s="18"/>
      <c r="L563" s="18"/>
      <c r="M563" s="96"/>
      <c r="N563" s="18"/>
      <c r="O563" s="96"/>
      <c r="P563" s="19"/>
      <c r="Q563" s="18"/>
      <c r="R563" s="19"/>
      <c r="S563" s="18"/>
      <c r="T563" s="96"/>
      <c r="U563" s="18"/>
      <c r="V563" s="18"/>
      <c r="W563" s="18"/>
      <c r="X563" s="18"/>
    </row>
    <row r="564" spans="2:24" ht="15" customHeight="1">
      <c r="B564" s="18"/>
      <c r="C564" s="18"/>
      <c r="D564" s="18"/>
      <c r="E564" s="18"/>
      <c r="F564" s="18"/>
      <c r="G564" s="96"/>
      <c r="H564" s="18"/>
      <c r="I564" s="18"/>
      <c r="J564" s="18"/>
      <c r="K564" s="18"/>
      <c r="L564" s="18"/>
      <c r="M564" s="96"/>
      <c r="N564" s="18"/>
      <c r="O564" s="96"/>
      <c r="P564" s="19"/>
      <c r="Q564" s="18"/>
      <c r="R564" s="19"/>
      <c r="S564" s="18"/>
      <c r="T564" s="96"/>
      <c r="U564" s="18"/>
      <c r="V564" s="18"/>
      <c r="W564" s="18"/>
      <c r="X564" s="18"/>
    </row>
    <row r="565" spans="2:24" ht="15" customHeight="1">
      <c r="B565" s="18"/>
      <c r="C565" s="18"/>
      <c r="D565" s="18"/>
      <c r="E565" s="18"/>
      <c r="F565" s="18"/>
      <c r="G565" s="96"/>
      <c r="H565" s="18"/>
      <c r="I565" s="18"/>
      <c r="J565" s="18"/>
      <c r="K565" s="18"/>
      <c r="L565" s="18"/>
      <c r="M565" s="96"/>
      <c r="N565" s="18"/>
      <c r="O565" s="96"/>
      <c r="P565" s="19"/>
      <c r="Q565" s="18"/>
      <c r="R565" s="19"/>
      <c r="S565" s="18"/>
      <c r="T565" s="96"/>
      <c r="U565" s="18"/>
      <c r="V565" s="18"/>
      <c r="W565" s="18"/>
      <c r="X565" s="18"/>
    </row>
    <row r="566" spans="2:24" ht="15" customHeight="1">
      <c r="B566" s="18"/>
      <c r="C566" s="18"/>
      <c r="D566" s="18"/>
      <c r="E566" s="18"/>
      <c r="F566" s="18"/>
      <c r="G566" s="96"/>
      <c r="H566" s="18"/>
      <c r="I566" s="18"/>
      <c r="J566" s="18"/>
      <c r="K566" s="18"/>
      <c r="L566" s="18"/>
      <c r="M566" s="96"/>
      <c r="N566" s="18"/>
      <c r="O566" s="96"/>
      <c r="P566" s="19"/>
      <c r="Q566" s="18"/>
      <c r="R566" s="19"/>
      <c r="S566" s="18"/>
      <c r="T566" s="96"/>
      <c r="U566" s="18"/>
      <c r="V566" s="18"/>
      <c r="W566" s="18"/>
      <c r="X566" s="18"/>
    </row>
    <row r="567" spans="2:24" ht="15" customHeight="1">
      <c r="B567" s="18"/>
      <c r="C567" s="18"/>
      <c r="D567" s="18"/>
      <c r="E567" s="18"/>
      <c r="F567" s="18"/>
      <c r="G567" s="96"/>
      <c r="H567" s="18"/>
      <c r="I567" s="18"/>
      <c r="J567" s="18"/>
      <c r="K567" s="18"/>
      <c r="L567" s="18"/>
      <c r="M567" s="96"/>
      <c r="N567" s="18"/>
      <c r="O567" s="96"/>
      <c r="P567" s="19"/>
      <c r="Q567" s="18"/>
      <c r="R567" s="19"/>
      <c r="S567" s="18"/>
      <c r="T567" s="96"/>
      <c r="U567" s="18"/>
      <c r="V567" s="18"/>
      <c r="W567" s="18"/>
      <c r="X567" s="18"/>
    </row>
    <row r="568" spans="2:24" ht="15" customHeight="1">
      <c r="B568" s="18"/>
      <c r="C568" s="18"/>
      <c r="D568" s="18"/>
      <c r="E568" s="18"/>
      <c r="F568" s="18"/>
      <c r="G568" s="96"/>
      <c r="H568" s="18"/>
      <c r="I568" s="18"/>
      <c r="J568" s="18"/>
      <c r="K568" s="18"/>
      <c r="L568" s="18"/>
      <c r="M568" s="96"/>
      <c r="N568" s="18"/>
      <c r="O568" s="96"/>
      <c r="P568" s="19"/>
      <c r="Q568" s="18"/>
      <c r="R568" s="19"/>
      <c r="S568" s="18"/>
      <c r="T568" s="96"/>
      <c r="U568" s="18"/>
      <c r="V568" s="18"/>
      <c r="W568" s="18"/>
      <c r="X568" s="18"/>
    </row>
    <row r="569" spans="2:24" ht="15" customHeight="1">
      <c r="B569" s="18"/>
      <c r="C569" s="18"/>
      <c r="D569" s="18"/>
      <c r="E569" s="18"/>
      <c r="F569" s="18"/>
      <c r="G569" s="96"/>
      <c r="H569" s="18"/>
      <c r="I569" s="18"/>
      <c r="J569" s="18"/>
      <c r="K569" s="18"/>
      <c r="L569" s="18"/>
      <c r="M569" s="96"/>
      <c r="N569" s="18"/>
      <c r="O569" s="96"/>
      <c r="P569" s="19"/>
      <c r="Q569" s="18"/>
      <c r="R569" s="19"/>
      <c r="S569" s="18"/>
      <c r="T569" s="96"/>
      <c r="U569" s="18"/>
      <c r="V569" s="18"/>
      <c r="W569" s="18"/>
      <c r="X569" s="18"/>
    </row>
    <row r="570" spans="2:24" ht="15" customHeight="1">
      <c r="B570" s="18"/>
      <c r="C570" s="18"/>
      <c r="D570" s="18"/>
      <c r="E570" s="18"/>
      <c r="F570" s="18"/>
      <c r="G570" s="96"/>
      <c r="H570" s="18"/>
      <c r="I570" s="18"/>
      <c r="J570" s="18"/>
      <c r="K570" s="18"/>
      <c r="L570" s="18"/>
      <c r="M570" s="96"/>
      <c r="N570" s="18"/>
      <c r="O570" s="96"/>
      <c r="P570" s="19"/>
      <c r="Q570" s="18"/>
      <c r="R570" s="19"/>
      <c r="S570" s="18"/>
      <c r="T570" s="96"/>
      <c r="U570" s="18"/>
      <c r="V570" s="18"/>
      <c r="W570" s="18"/>
      <c r="X570" s="18"/>
    </row>
    <row r="571" spans="2:24" ht="15" customHeight="1">
      <c r="B571" s="18"/>
      <c r="C571" s="18"/>
      <c r="D571" s="18"/>
      <c r="E571" s="18"/>
      <c r="F571" s="18"/>
      <c r="G571" s="96"/>
      <c r="H571" s="18"/>
      <c r="I571" s="18"/>
      <c r="J571" s="18"/>
      <c r="K571" s="18"/>
      <c r="L571" s="18"/>
      <c r="M571" s="96"/>
      <c r="N571" s="18"/>
      <c r="O571" s="96"/>
      <c r="P571" s="19"/>
      <c r="Q571" s="18"/>
      <c r="R571" s="19"/>
      <c r="S571" s="18"/>
      <c r="T571" s="96"/>
      <c r="U571" s="18"/>
      <c r="V571" s="18"/>
      <c r="W571" s="18"/>
      <c r="X571" s="18"/>
    </row>
    <row r="572" spans="2:24" ht="15" customHeight="1">
      <c r="B572" s="18"/>
      <c r="C572" s="18"/>
      <c r="D572" s="18"/>
      <c r="E572" s="18"/>
      <c r="F572" s="18"/>
      <c r="G572" s="96"/>
      <c r="H572" s="18"/>
      <c r="I572" s="18"/>
      <c r="J572" s="18"/>
      <c r="K572" s="18"/>
      <c r="L572" s="18"/>
      <c r="M572" s="96"/>
      <c r="N572" s="18"/>
      <c r="O572" s="96"/>
      <c r="P572" s="19"/>
      <c r="Q572" s="18"/>
      <c r="R572" s="19"/>
      <c r="S572" s="18"/>
      <c r="T572" s="96"/>
      <c r="U572" s="18"/>
      <c r="V572" s="18"/>
      <c r="W572" s="18"/>
      <c r="X572" s="18"/>
    </row>
    <row r="573" spans="2:24" ht="15" customHeight="1">
      <c r="B573" s="18"/>
      <c r="C573" s="18"/>
      <c r="D573" s="18"/>
      <c r="E573" s="18"/>
      <c r="F573" s="18"/>
      <c r="G573" s="96"/>
      <c r="H573" s="18"/>
      <c r="I573" s="18"/>
      <c r="J573" s="18"/>
      <c r="K573" s="18"/>
      <c r="L573" s="18"/>
      <c r="M573" s="96"/>
      <c r="N573" s="18"/>
      <c r="O573" s="96"/>
      <c r="P573" s="19"/>
      <c r="Q573" s="18"/>
      <c r="R573" s="19"/>
      <c r="S573" s="18"/>
      <c r="T573" s="96"/>
      <c r="U573" s="18"/>
      <c r="V573" s="18"/>
      <c r="W573" s="18"/>
      <c r="X573" s="18"/>
    </row>
    <row r="574" spans="2:24" ht="15" customHeight="1">
      <c r="B574" s="18"/>
      <c r="C574" s="18"/>
      <c r="D574" s="18"/>
      <c r="E574" s="18"/>
      <c r="F574" s="18"/>
      <c r="G574" s="96"/>
      <c r="H574" s="18"/>
      <c r="I574" s="18"/>
      <c r="J574" s="18"/>
      <c r="K574" s="18"/>
      <c r="L574" s="18"/>
      <c r="M574" s="96"/>
      <c r="N574" s="18"/>
      <c r="O574" s="96"/>
      <c r="P574" s="19"/>
      <c r="Q574" s="18"/>
      <c r="R574" s="19"/>
      <c r="S574" s="18"/>
      <c r="T574" s="96"/>
      <c r="U574" s="18"/>
      <c r="V574" s="18"/>
      <c r="W574" s="18"/>
      <c r="X574" s="18"/>
    </row>
    <row r="575" spans="2:24" ht="15" customHeight="1">
      <c r="B575" s="18"/>
      <c r="C575" s="18"/>
      <c r="D575" s="18"/>
      <c r="E575" s="18"/>
      <c r="F575" s="18"/>
      <c r="G575" s="96"/>
      <c r="H575" s="18"/>
      <c r="I575" s="18"/>
      <c r="J575" s="18"/>
      <c r="K575" s="18"/>
      <c r="L575" s="18"/>
      <c r="M575" s="96"/>
      <c r="N575" s="18"/>
      <c r="O575" s="96"/>
      <c r="P575" s="19"/>
      <c r="Q575" s="18"/>
      <c r="R575" s="19"/>
      <c r="S575" s="18"/>
      <c r="T575" s="96"/>
      <c r="U575" s="18"/>
      <c r="V575" s="18"/>
      <c r="W575" s="18"/>
      <c r="X575" s="18"/>
    </row>
    <row r="576" spans="2:24" ht="15" customHeight="1">
      <c r="B576" s="18"/>
      <c r="C576" s="18"/>
      <c r="D576" s="18"/>
      <c r="E576" s="18"/>
      <c r="F576" s="18"/>
      <c r="G576" s="96"/>
      <c r="H576" s="18"/>
      <c r="I576" s="18"/>
      <c r="J576" s="18"/>
      <c r="K576" s="18"/>
      <c r="L576" s="18"/>
      <c r="M576" s="96"/>
      <c r="N576" s="18"/>
      <c r="O576" s="96"/>
      <c r="P576" s="19"/>
      <c r="Q576" s="18"/>
      <c r="R576" s="19"/>
      <c r="S576" s="18"/>
      <c r="T576" s="96"/>
      <c r="U576" s="18"/>
      <c r="V576" s="18"/>
      <c r="W576" s="18"/>
      <c r="X576" s="18"/>
    </row>
    <row r="577" spans="2:24" ht="15" customHeight="1">
      <c r="B577" s="18"/>
      <c r="C577" s="18"/>
      <c r="D577" s="18"/>
      <c r="E577" s="18"/>
      <c r="F577" s="18"/>
      <c r="G577" s="96"/>
      <c r="H577" s="18"/>
      <c r="I577" s="18"/>
      <c r="J577" s="18"/>
      <c r="K577" s="18"/>
      <c r="L577" s="18"/>
      <c r="M577" s="96"/>
      <c r="N577" s="18"/>
      <c r="O577" s="96"/>
      <c r="P577" s="19"/>
      <c r="Q577" s="18"/>
      <c r="R577" s="19"/>
      <c r="S577" s="18"/>
      <c r="T577" s="96"/>
      <c r="U577" s="18"/>
      <c r="V577" s="18"/>
      <c r="W577" s="18"/>
      <c r="X577" s="18"/>
    </row>
    <row r="578" spans="2:24" ht="15" customHeight="1">
      <c r="B578" s="18"/>
      <c r="C578" s="18"/>
      <c r="D578" s="18"/>
      <c r="E578" s="18"/>
      <c r="F578" s="18"/>
      <c r="G578" s="96"/>
      <c r="H578" s="18"/>
      <c r="I578" s="18"/>
      <c r="J578" s="18"/>
      <c r="K578" s="18"/>
      <c r="L578" s="18"/>
      <c r="M578" s="96"/>
      <c r="N578" s="18"/>
      <c r="O578" s="96"/>
      <c r="P578" s="19"/>
      <c r="Q578" s="18"/>
      <c r="R578" s="19"/>
      <c r="S578" s="18"/>
      <c r="T578" s="96"/>
      <c r="U578" s="18"/>
      <c r="V578" s="18"/>
      <c r="W578" s="18"/>
      <c r="X578" s="18"/>
    </row>
    <row r="579" spans="2:24" ht="15" customHeight="1">
      <c r="B579" s="18"/>
      <c r="C579" s="18"/>
      <c r="D579" s="18"/>
      <c r="E579" s="18"/>
      <c r="F579" s="18"/>
      <c r="G579" s="96"/>
      <c r="H579" s="18"/>
      <c r="I579" s="18"/>
      <c r="J579" s="18"/>
      <c r="K579" s="18"/>
      <c r="L579" s="18"/>
      <c r="M579" s="96"/>
      <c r="N579" s="18"/>
      <c r="O579" s="96"/>
      <c r="P579" s="19"/>
      <c r="Q579" s="18"/>
      <c r="R579" s="19"/>
      <c r="S579" s="18"/>
      <c r="T579" s="96"/>
      <c r="U579" s="18"/>
      <c r="V579" s="18"/>
      <c r="W579" s="18"/>
      <c r="X579" s="18"/>
    </row>
    <row r="580" spans="2:24" ht="15" customHeight="1">
      <c r="B580" s="18"/>
      <c r="C580" s="18"/>
      <c r="D580" s="18"/>
      <c r="E580" s="18"/>
      <c r="F580" s="18"/>
      <c r="G580" s="96"/>
      <c r="H580" s="18"/>
      <c r="I580" s="18"/>
      <c r="J580" s="18"/>
      <c r="K580" s="18"/>
      <c r="L580" s="18"/>
      <c r="M580" s="96"/>
      <c r="N580" s="18"/>
      <c r="O580" s="96"/>
      <c r="P580" s="19"/>
      <c r="Q580" s="18"/>
      <c r="R580" s="19"/>
      <c r="S580" s="18"/>
      <c r="T580" s="96"/>
      <c r="U580" s="18"/>
      <c r="V580" s="18"/>
      <c r="W580" s="18"/>
      <c r="X580" s="18"/>
    </row>
    <row r="581" spans="2:24" ht="15" customHeight="1">
      <c r="B581" s="18"/>
      <c r="C581" s="18"/>
      <c r="D581" s="18"/>
      <c r="E581" s="18"/>
      <c r="F581" s="18"/>
      <c r="G581" s="96"/>
      <c r="H581" s="18"/>
      <c r="I581" s="18"/>
      <c r="J581" s="18"/>
      <c r="K581" s="18"/>
      <c r="L581" s="18"/>
      <c r="M581" s="96"/>
      <c r="N581" s="18"/>
      <c r="O581" s="96"/>
      <c r="P581" s="19"/>
      <c r="Q581" s="18"/>
      <c r="R581" s="19"/>
      <c r="S581" s="18"/>
      <c r="T581" s="96"/>
      <c r="U581" s="18"/>
      <c r="V581" s="18"/>
      <c r="W581" s="18"/>
      <c r="X581" s="18"/>
    </row>
    <row r="582" spans="2:24" ht="15" customHeight="1">
      <c r="B582" s="18"/>
      <c r="C582" s="18"/>
      <c r="D582" s="18"/>
      <c r="E582" s="18"/>
      <c r="F582" s="18"/>
      <c r="G582" s="96"/>
      <c r="H582" s="18"/>
      <c r="I582" s="18"/>
      <c r="J582" s="18"/>
      <c r="K582" s="18"/>
      <c r="L582" s="18"/>
      <c r="M582" s="96"/>
      <c r="N582" s="18"/>
      <c r="O582" s="96"/>
      <c r="P582" s="19"/>
      <c r="Q582" s="18"/>
      <c r="R582" s="19"/>
      <c r="S582" s="18"/>
      <c r="T582" s="96"/>
      <c r="U582" s="18"/>
      <c r="V582" s="18"/>
      <c r="W582" s="18"/>
      <c r="X582" s="18"/>
    </row>
    <row r="583" spans="2:24" ht="15" customHeight="1">
      <c r="B583" s="18"/>
      <c r="C583" s="18"/>
      <c r="D583" s="18"/>
      <c r="E583" s="18"/>
      <c r="F583" s="18"/>
      <c r="G583" s="96"/>
      <c r="H583" s="18"/>
      <c r="I583" s="18"/>
      <c r="J583" s="18"/>
      <c r="K583" s="18"/>
      <c r="L583" s="18"/>
      <c r="M583" s="96"/>
      <c r="N583" s="18"/>
      <c r="O583" s="96"/>
      <c r="P583" s="19"/>
      <c r="Q583" s="18"/>
      <c r="R583" s="19"/>
      <c r="S583" s="18"/>
      <c r="T583" s="96"/>
      <c r="U583" s="18"/>
      <c r="V583" s="18"/>
      <c r="W583" s="18"/>
      <c r="X583" s="18"/>
    </row>
    <row r="584" spans="2:24" ht="15" customHeight="1">
      <c r="B584" s="18"/>
      <c r="C584" s="18"/>
      <c r="D584" s="18"/>
      <c r="E584" s="18"/>
      <c r="F584" s="18"/>
      <c r="G584" s="96"/>
      <c r="H584" s="18"/>
      <c r="I584" s="18"/>
      <c r="J584" s="18"/>
      <c r="K584" s="18"/>
      <c r="L584" s="18"/>
      <c r="M584" s="96"/>
      <c r="N584" s="18"/>
      <c r="O584" s="96"/>
      <c r="P584" s="19"/>
      <c r="Q584" s="18"/>
      <c r="R584" s="19"/>
      <c r="S584" s="18"/>
      <c r="T584" s="96"/>
      <c r="U584" s="18"/>
      <c r="V584" s="18"/>
      <c r="W584" s="18"/>
      <c r="X584" s="18"/>
    </row>
    <row r="585" spans="2:24" ht="15" customHeight="1">
      <c r="B585" s="18"/>
      <c r="C585" s="18"/>
      <c r="D585" s="18"/>
      <c r="E585" s="18"/>
      <c r="F585" s="18"/>
      <c r="G585" s="96"/>
      <c r="H585" s="18"/>
      <c r="I585" s="18"/>
      <c r="J585" s="18"/>
      <c r="K585" s="18"/>
      <c r="L585" s="18"/>
      <c r="M585" s="96"/>
      <c r="N585" s="18"/>
      <c r="O585" s="96"/>
      <c r="P585" s="19"/>
      <c r="Q585" s="18"/>
      <c r="R585" s="19"/>
      <c r="S585" s="18"/>
      <c r="T585" s="96"/>
      <c r="U585" s="18"/>
      <c r="V585" s="18"/>
      <c r="W585" s="18"/>
      <c r="X585" s="18"/>
    </row>
    <row r="586" spans="2:24" ht="15" customHeight="1">
      <c r="B586" s="18"/>
      <c r="C586" s="18"/>
      <c r="D586" s="18"/>
      <c r="E586" s="18"/>
      <c r="F586" s="18"/>
      <c r="G586" s="96"/>
      <c r="H586" s="18"/>
      <c r="I586" s="18"/>
      <c r="J586" s="18"/>
      <c r="K586" s="18"/>
      <c r="L586" s="18"/>
      <c r="M586" s="96"/>
      <c r="N586" s="18"/>
      <c r="O586" s="96"/>
      <c r="P586" s="19"/>
      <c r="Q586" s="18"/>
      <c r="R586" s="19"/>
      <c r="S586" s="18"/>
      <c r="T586" s="96"/>
      <c r="U586" s="18"/>
      <c r="V586" s="18"/>
      <c r="W586" s="18"/>
      <c r="X586" s="18"/>
    </row>
    <row r="587" spans="2:24" ht="15" customHeight="1">
      <c r="B587" s="18"/>
      <c r="C587" s="18"/>
      <c r="D587" s="18"/>
      <c r="E587" s="18"/>
      <c r="F587" s="18"/>
      <c r="G587" s="96"/>
      <c r="H587" s="18"/>
      <c r="I587" s="18"/>
      <c r="J587" s="18"/>
      <c r="K587" s="18"/>
      <c r="L587" s="18"/>
      <c r="M587" s="96"/>
      <c r="N587" s="18"/>
      <c r="O587" s="96"/>
      <c r="P587" s="19"/>
      <c r="Q587" s="18"/>
      <c r="R587" s="19"/>
      <c r="S587" s="18"/>
      <c r="T587" s="96"/>
      <c r="U587" s="18"/>
      <c r="V587" s="18"/>
      <c r="W587" s="18"/>
      <c r="X587" s="18"/>
    </row>
    <row r="588" spans="2:24" ht="15" customHeight="1">
      <c r="B588" s="18"/>
      <c r="C588" s="18"/>
      <c r="D588" s="18"/>
      <c r="E588" s="18"/>
      <c r="F588" s="18"/>
      <c r="G588" s="96"/>
      <c r="H588" s="18"/>
      <c r="I588" s="18"/>
      <c r="J588" s="18"/>
      <c r="K588" s="18"/>
      <c r="L588" s="18"/>
      <c r="M588" s="96"/>
      <c r="N588" s="18"/>
      <c r="O588" s="96"/>
      <c r="P588" s="19"/>
      <c r="Q588" s="18"/>
      <c r="R588" s="19"/>
      <c r="S588" s="18"/>
      <c r="T588" s="96"/>
      <c r="U588" s="18"/>
      <c r="V588" s="18"/>
      <c r="W588" s="18"/>
      <c r="X588" s="18"/>
    </row>
    <row r="589" spans="2:24" ht="15" customHeight="1">
      <c r="B589" s="18"/>
      <c r="C589" s="18"/>
      <c r="D589" s="18"/>
      <c r="E589" s="18"/>
      <c r="F589" s="18"/>
      <c r="G589" s="96"/>
      <c r="H589" s="18"/>
      <c r="I589" s="18"/>
      <c r="J589" s="18"/>
      <c r="K589" s="18"/>
      <c r="L589" s="18"/>
      <c r="M589" s="96"/>
      <c r="N589" s="18"/>
      <c r="O589" s="96"/>
      <c r="P589" s="19"/>
      <c r="Q589" s="18"/>
      <c r="R589" s="19"/>
      <c r="S589" s="18"/>
      <c r="T589" s="96"/>
      <c r="U589" s="18"/>
      <c r="V589" s="18"/>
      <c r="W589" s="18"/>
      <c r="X589" s="18"/>
    </row>
    <row r="590" spans="2:24" ht="15" customHeight="1">
      <c r="B590" s="18"/>
      <c r="C590" s="18"/>
      <c r="D590" s="18"/>
      <c r="E590" s="18"/>
      <c r="F590" s="18"/>
      <c r="G590" s="96"/>
      <c r="H590" s="18"/>
      <c r="I590" s="18"/>
      <c r="J590" s="18"/>
      <c r="K590" s="18"/>
      <c r="L590" s="18"/>
      <c r="M590" s="96"/>
      <c r="N590" s="18"/>
      <c r="O590" s="96"/>
      <c r="P590" s="19"/>
      <c r="Q590" s="18"/>
      <c r="R590" s="19"/>
      <c r="S590" s="18"/>
      <c r="T590" s="96"/>
      <c r="U590" s="18"/>
      <c r="V590" s="18"/>
      <c r="W590" s="18"/>
      <c r="X590" s="18"/>
    </row>
    <row r="591" spans="2:24" ht="15" customHeight="1">
      <c r="B591" s="18"/>
      <c r="C591" s="18"/>
      <c r="D591" s="18"/>
      <c r="E591" s="18"/>
      <c r="F591" s="18"/>
      <c r="G591" s="96"/>
      <c r="H591" s="18"/>
      <c r="I591" s="18"/>
      <c r="J591" s="18"/>
      <c r="K591" s="18"/>
      <c r="L591" s="18"/>
      <c r="M591" s="96"/>
      <c r="N591" s="18"/>
      <c r="O591" s="96"/>
      <c r="P591" s="19"/>
      <c r="Q591" s="18"/>
      <c r="R591" s="19"/>
      <c r="S591" s="18"/>
      <c r="T591" s="96"/>
      <c r="U591" s="18"/>
      <c r="V591" s="18"/>
      <c r="W591" s="18"/>
      <c r="X591" s="18"/>
    </row>
    <row r="592" spans="2:24" ht="15" customHeight="1">
      <c r="B592" s="18"/>
      <c r="C592" s="18"/>
      <c r="D592" s="18"/>
      <c r="E592" s="18"/>
      <c r="F592" s="18"/>
      <c r="G592" s="96"/>
      <c r="H592" s="18"/>
      <c r="I592" s="18"/>
      <c r="J592" s="18"/>
      <c r="K592" s="18"/>
      <c r="L592" s="18"/>
      <c r="M592" s="96"/>
      <c r="N592" s="18"/>
      <c r="O592" s="96"/>
      <c r="P592" s="19"/>
      <c r="Q592" s="18"/>
      <c r="R592" s="19"/>
      <c r="S592" s="18"/>
      <c r="T592" s="96"/>
      <c r="U592" s="18"/>
      <c r="V592" s="18"/>
      <c r="W592" s="18"/>
      <c r="X592" s="18"/>
    </row>
    <row r="593" spans="2:24" ht="15" customHeight="1">
      <c r="B593" s="18"/>
      <c r="C593" s="18"/>
      <c r="D593" s="18"/>
      <c r="E593" s="18"/>
      <c r="F593" s="18"/>
      <c r="G593" s="96"/>
      <c r="H593" s="18"/>
      <c r="I593" s="18"/>
      <c r="J593" s="18"/>
      <c r="K593" s="18"/>
      <c r="L593" s="18"/>
      <c r="M593" s="96"/>
      <c r="N593" s="18"/>
      <c r="O593" s="96"/>
      <c r="P593" s="19"/>
      <c r="Q593" s="18"/>
      <c r="R593" s="19"/>
      <c r="S593" s="18"/>
      <c r="T593" s="96"/>
      <c r="U593" s="18"/>
      <c r="V593" s="18"/>
      <c r="W593" s="18"/>
      <c r="X593" s="18"/>
    </row>
    <row r="594" spans="2:24" ht="15" customHeight="1">
      <c r="B594" s="18"/>
      <c r="C594" s="18"/>
      <c r="D594" s="18"/>
      <c r="E594" s="18"/>
      <c r="F594" s="18"/>
      <c r="G594" s="96"/>
      <c r="H594" s="18"/>
      <c r="I594" s="18"/>
      <c r="J594" s="18"/>
      <c r="K594" s="18"/>
      <c r="L594" s="18"/>
      <c r="M594" s="96"/>
      <c r="N594" s="18"/>
      <c r="O594" s="96"/>
      <c r="P594" s="19"/>
      <c r="Q594" s="18"/>
      <c r="R594" s="19"/>
      <c r="S594" s="18"/>
      <c r="T594" s="96"/>
      <c r="U594" s="18"/>
      <c r="V594" s="18"/>
      <c r="W594" s="18"/>
      <c r="X594" s="18"/>
    </row>
    <row r="595" spans="2:24" ht="15" customHeight="1">
      <c r="B595" s="18"/>
      <c r="C595" s="18"/>
      <c r="D595" s="18"/>
      <c r="E595" s="18"/>
      <c r="F595" s="18"/>
      <c r="G595" s="96"/>
      <c r="H595" s="18"/>
      <c r="I595" s="18"/>
      <c r="J595" s="18"/>
      <c r="K595" s="18"/>
      <c r="L595" s="18"/>
      <c r="M595" s="96"/>
      <c r="N595" s="18"/>
      <c r="O595" s="96"/>
      <c r="P595" s="19"/>
      <c r="Q595" s="18"/>
      <c r="R595" s="19"/>
      <c r="S595" s="18"/>
      <c r="T595" s="96"/>
      <c r="U595" s="18"/>
      <c r="V595" s="18"/>
      <c r="W595" s="18"/>
      <c r="X595" s="18"/>
    </row>
    <row r="596" spans="2:24" ht="15" customHeight="1">
      <c r="B596" s="18"/>
      <c r="C596" s="18"/>
      <c r="D596" s="18"/>
      <c r="E596" s="18"/>
      <c r="F596" s="18"/>
      <c r="G596" s="96"/>
      <c r="H596" s="18"/>
      <c r="I596" s="18"/>
      <c r="J596" s="18"/>
      <c r="K596" s="18"/>
      <c r="L596" s="18"/>
      <c r="M596" s="96"/>
      <c r="N596" s="18"/>
      <c r="O596" s="96"/>
      <c r="P596" s="19"/>
      <c r="Q596" s="18"/>
      <c r="R596" s="19"/>
      <c r="S596" s="18"/>
      <c r="T596" s="96"/>
      <c r="U596" s="18"/>
      <c r="V596" s="18"/>
      <c r="W596" s="18"/>
      <c r="X596" s="18"/>
    </row>
    <row r="597" spans="2:24" ht="15" customHeight="1">
      <c r="B597" s="18"/>
      <c r="C597" s="18"/>
      <c r="D597" s="18"/>
      <c r="E597" s="18"/>
      <c r="F597" s="18"/>
      <c r="G597" s="96"/>
      <c r="H597" s="18"/>
      <c r="I597" s="18"/>
      <c r="J597" s="18"/>
      <c r="K597" s="18"/>
      <c r="L597" s="18"/>
      <c r="M597" s="96"/>
      <c r="N597" s="18"/>
      <c r="O597" s="96"/>
      <c r="P597" s="19"/>
      <c r="Q597" s="18"/>
      <c r="R597" s="19"/>
      <c r="S597" s="18"/>
      <c r="T597" s="96"/>
      <c r="U597" s="18"/>
      <c r="V597" s="18"/>
      <c r="W597" s="18"/>
      <c r="X597" s="18"/>
    </row>
    <row r="598" spans="2:24" ht="15" customHeight="1">
      <c r="B598" s="18"/>
      <c r="C598" s="18"/>
      <c r="D598" s="18"/>
      <c r="E598" s="18"/>
      <c r="F598" s="18"/>
      <c r="G598" s="96"/>
      <c r="H598" s="18"/>
      <c r="I598" s="18"/>
      <c r="J598" s="18"/>
      <c r="K598" s="18"/>
      <c r="L598" s="18"/>
      <c r="M598" s="96"/>
      <c r="N598" s="18"/>
      <c r="O598" s="96"/>
      <c r="P598" s="19"/>
      <c r="Q598" s="18"/>
      <c r="R598" s="19"/>
      <c r="S598" s="18"/>
      <c r="T598" s="96"/>
      <c r="U598" s="18"/>
      <c r="V598" s="18"/>
      <c r="W598" s="18"/>
      <c r="X598" s="18"/>
    </row>
    <row r="599" spans="2:24" ht="15" customHeight="1">
      <c r="B599" s="18"/>
      <c r="C599" s="18"/>
      <c r="D599" s="18"/>
      <c r="E599" s="18"/>
      <c r="F599" s="18"/>
      <c r="G599" s="96"/>
      <c r="H599" s="18"/>
      <c r="I599" s="18"/>
      <c r="J599" s="18"/>
      <c r="K599" s="18"/>
      <c r="L599" s="18"/>
      <c r="M599" s="96"/>
      <c r="N599" s="18"/>
      <c r="O599" s="96"/>
      <c r="P599" s="19"/>
      <c r="Q599" s="18"/>
      <c r="R599" s="19"/>
      <c r="S599" s="18"/>
      <c r="T599" s="96"/>
      <c r="U599" s="18"/>
      <c r="V599" s="18"/>
      <c r="W599" s="18"/>
      <c r="X599" s="18"/>
    </row>
    <row r="600" spans="2:24" ht="15" customHeight="1">
      <c r="B600" s="18"/>
      <c r="C600" s="18"/>
      <c r="D600" s="18"/>
      <c r="E600" s="18"/>
      <c r="F600" s="18"/>
      <c r="G600" s="96"/>
      <c r="H600" s="18"/>
      <c r="I600" s="18"/>
      <c r="J600" s="18"/>
      <c r="K600" s="18"/>
      <c r="L600" s="18"/>
      <c r="M600" s="96"/>
      <c r="N600" s="18"/>
      <c r="O600" s="96"/>
      <c r="P600" s="19"/>
      <c r="Q600" s="18"/>
      <c r="R600" s="19"/>
      <c r="S600" s="18"/>
      <c r="T600" s="96"/>
      <c r="U600" s="18"/>
      <c r="V600" s="18"/>
      <c r="W600" s="18"/>
      <c r="X600" s="18"/>
    </row>
    <row r="601" spans="2:24" ht="15" customHeight="1">
      <c r="B601" s="18"/>
      <c r="C601" s="18"/>
      <c r="D601" s="18"/>
      <c r="E601" s="18"/>
      <c r="F601" s="18"/>
      <c r="G601" s="96"/>
      <c r="H601" s="18"/>
      <c r="I601" s="18"/>
      <c r="J601" s="18"/>
      <c r="K601" s="18"/>
      <c r="L601" s="18"/>
      <c r="M601" s="96"/>
      <c r="N601" s="18"/>
      <c r="O601" s="96"/>
      <c r="P601" s="19"/>
      <c r="Q601" s="18"/>
      <c r="R601" s="19"/>
      <c r="S601" s="18"/>
      <c r="T601" s="96"/>
      <c r="U601" s="18"/>
      <c r="V601" s="18"/>
      <c r="W601" s="18"/>
      <c r="X601" s="18"/>
    </row>
    <row r="602" spans="2:24" ht="15" customHeight="1">
      <c r="B602" s="18"/>
      <c r="C602" s="18"/>
      <c r="D602" s="18"/>
      <c r="E602" s="18"/>
      <c r="F602" s="18"/>
      <c r="G602" s="96"/>
      <c r="H602" s="18"/>
      <c r="I602" s="18"/>
      <c r="J602" s="18"/>
      <c r="K602" s="18"/>
      <c r="L602" s="18"/>
      <c r="M602" s="96"/>
      <c r="N602" s="18"/>
      <c r="O602" s="96"/>
      <c r="P602" s="19"/>
      <c r="Q602" s="18"/>
      <c r="R602" s="19"/>
      <c r="S602" s="18"/>
      <c r="T602" s="96"/>
      <c r="U602" s="18"/>
      <c r="V602" s="18"/>
      <c r="W602" s="18"/>
      <c r="X602" s="18"/>
    </row>
    <row r="603" spans="2:24" ht="15" customHeight="1">
      <c r="B603" s="18"/>
      <c r="C603" s="18"/>
      <c r="D603" s="18"/>
      <c r="E603" s="18"/>
      <c r="F603" s="18"/>
      <c r="G603" s="96"/>
      <c r="H603" s="18"/>
      <c r="I603" s="18"/>
      <c r="J603" s="18"/>
      <c r="K603" s="18"/>
      <c r="L603" s="18"/>
      <c r="M603" s="96"/>
      <c r="N603" s="18"/>
      <c r="O603" s="96"/>
      <c r="P603" s="19"/>
      <c r="Q603" s="18"/>
      <c r="R603" s="19"/>
      <c r="S603" s="18"/>
      <c r="T603" s="96"/>
      <c r="U603" s="18"/>
      <c r="V603" s="18"/>
      <c r="W603" s="18"/>
      <c r="X603" s="18"/>
    </row>
    <row r="604" spans="2:24" ht="15" customHeight="1">
      <c r="B604" s="18"/>
      <c r="C604" s="18"/>
      <c r="D604" s="18"/>
      <c r="E604" s="18"/>
      <c r="F604" s="18"/>
      <c r="G604" s="96"/>
      <c r="H604" s="18"/>
      <c r="I604" s="18"/>
      <c r="J604" s="18"/>
      <c r="K604" s="18"/>
      <c r="L604" s="18"/>
      <c r="M604" s="96"/>
      <c r="N604" s="18"/>
      <c r="O604" s="96"/>
      <c r="P604" s="19"/>
      <c r="Q604" s="18"/>
      <c r="R604" s="19"/>
      <c r="S604" s="18"/>
      <c r="T604" s="96"/>
      <c r="U604" s="18"/>
      <c r="V604" s="18"/>
      <c r="W604" s="18"/>
      <c r="X604" s="18"/>
    </row>
    <row r="605" spans="2:24" ht="15" customHeight="1">
      <c r="B605" s="18"/>
      <c r="C605" s="18"/>
      <c r="D605" s="18"/>
      <c r="E605" s="18"/>
      <c r="F605" s="18"/>
      <c r="G605" s="96"/>
      <c r="H605" s="18"/>
      <c r="I605" s="18"/>
      <c r="J605" s="18"/>
      <c r="K605" s="18"/>
      <c r="L605" s="18"/>
      <c r="M605" s="96"/>
      <c r="N605" s="18"/>
      <c r="O605" s="96"/>
      <c r="P605" s="19"/>
      <c r="Q605" s="18"/>
      <c r="R605" s="19"/>
      <c r="S605" s="18"/>
      <c r="T605" s="96"/>
      <c r="U605" s="18"/>
      <c r="V605" s="18"/>
      <c r="W605" s="18"/>
      <c r="X605" s="18"/>
    </row>
    <row r="606" spans="2:24" ht="15" customHeight="1">
      <c r="B606" s="18"/>
      <c r="C606" s="18"/>
      <c r="D606" s="18"/>
      <c r="E606" s="18"/>
      <c r="F606" s="18"/>
      <c r="G606" s="96"/>
      <c r="H606" s="18"/>
      <c r="I606" s="18"/>
      <c r="J606" s="18"/>
      <c r="K606" s="18"/>
      <c r="L606" s="18"/>
      <c r="M606" s="96"/>
      <c r="N606" s="18"/>
      <c r="O606" s="96"/>
      <c r="P606" s="19"/>
      <c r="Q606" s="18"/>
      <c r="R606" s="19"/>
      <c r="S606" s="18"/>
      <c r="T606" s="96"/>
      <c r="U606" s="18"/>
      <c r="V606" s="18"/>
      <c r="W606" s="18"/>
      <c r="X606" s="18"/>
    </row>
    <row r="607" spans="2:24" ht="15" customHeight="1">
      <c r="B607" s="18"/>
      <c r="C607" s="18"/>
      <c r="D607" s="18"/>
      <c r="E607" s="18"/>
      <c r="F607" s="18"/>
      <c r="G607" s="96"/>
      <c r="H607" s="18"/>
      <c r="I607" s="18"/>
      <c r="J607" s="18"/>
      <c r="K607" s="18"/>
      <c r="L607" s="18"/>
      <c r="M607" s="96"/>
      <c r="N607" s="18"/>
      <c r="O607" s="96"/>
      <c r="P607" s="19"/>
      <c r="Q607" s="18"/>
      <c r="R607" s="19"/>
      <c r="S607" s="18"/>
      <c r="T607" s="96"/>
      <c r="U607" s="18"/>
      <c r="V607" s="18"/>
      <c r="W607" s="18"/>
      <c r="X607" s="18"/>
    </row>
    <row r="608" spans="2:24" ht="15" customHeight="1">
      <c r="B608" s="18"/>
      <c r="C608" s="18"/>
      <c r="D608" s="18"/>
      <c r="E608" s="18"/>
      <c r="F608" s="18"/>
      <c r="G608" s="96"/>
      <c r="H608" s="18"/>
      <c r="I608" s="18"/>
      <c r="J608" s="18"/>
      <c r="K608" s="18"/>
      <c r="L608" s="18"/>
      <c r="M608" s="96"/>
      <c r="N608" s="18"/>
      <c r="O608" s="96"/>
      <c r="P608" s="19"/>
      <c r="Q608" s="18"/>
      <c r="R608" s="19"/>
      <c r="S608" s="18"/>
      <c r="T608" s="96"/>
      <c r="U608" s="18"/>
      <c r="V608" s="18"/>
      <c r="W608" s="18"/>
      <c r="X608" s="18"/>
    </row>
    <row r="609" spans="2:24" ht="15" customHeight="1">
      <c r="B609" s="18"/>
      <c r="C609" s="18"/>
      <c r="D609" s="18"/>
      <c r="E609" s="18"/>
      <c r="F609" s="18"/>
      <c r="G609" s="96"/>
      <c r="H609" s="18"/>
      <c r="I609" s="18"/>
      <c r="J609" s="18"/>
      <c r="K609" s="18"/>
      <c r="L609" s="18"/>
      <c r="M609" s="96"/>
      <c r="N609" s="18"/>
      <c r="O609" s="96"/>
      <c r="P609" s="19"/>
      <c r="Q609" s="18"/>
      <c r="R609" s="19"/>
      <c r="S609" s="18"/>
      <c r="T609" s="96"/>
      <c r="U609" s="18"/>
      <c r="V609" s="18"/>
      <c r="W609" s="18"/>
      <c r="X609" s="18"/>
    </row>
    <row r="610" spans="2:24" ht="15" customHeight="1">
      <c r="B610" s="18"/>
      <c r="C610" s="18"/>
      <c r="D610" s="18"/>
      <c r="E610" s="18"/>
      <c r="F610" s="18"/>
      <c r="G610" s="96"/>
      <c r="H610" s="18"/>
      <c r="I610" s="18"/>
      <c r="J610" s="18"/>
      <c r="K610" s="18"/>
      <c r="L610" s="18"/>
      <c r="M610" s="96"/>
      <c r="N610" s="18"/>
      <c r="O610" s="96"/>
      <c r="P610" s="19"/>
      <c r="Q610" s="18"/>
      <c r="R610" s="19"/>
      <c r="S610" s="18"/>
      <c r="T610" s="96"/>
      <c r="U610" s="18"/>
      <c r="V610" s="18"/>
      <c r="W610" s="18"/>
      <c r="X610" s="18"/>
    </row>
    <row r="611" spans="2:24" ht="15" customHeight="1">
      <c r="B611" s="18"/>
      <c r="C611" s="18"/>
      <c r="D611" s="18"/>
      <c r="E611" s="18"/>
      <c r="F611" s="18"/>
      <c r="G611" s="96"/>
      <c r="H611" s="18"/>
      <c r="I611" s="18"/>
      <c r="J611" s="18"/>
      <c r="K611" s="18"/>
      <c r="L611" s="18"/>
      <c r="M611" s="96"/>
      <c r="N611" s="18"/>
      <c r="O611" s="96"/>
      <c r="P611" s="19"/>
      <c r="Q611" s="18"/>
      <c r="R611" s="19"/>
      <c r="S611" s="18"/>
      <c r="T611" s="96"/>
      <c r="U611" s="18"/>
      <c r="V611" s="18"/>
      <c r="W611" s="18"/>
      <c r="X611" s="18"/>
    </row>
    <row r="612" spans="2:24" ht="15" customHeight="1">
      <c r="B612" s="18"/>
      <c r="C612" s="18"/>
      <c r="D612" s="18"/>
      <c r="E612" s="18"/>
      <c r="F612" s="18"/>
      <c r="G612" s="96"/>
      <c r="H612" s="18"/>
      <c r="I612" s="18"/>
      <c r="J612" s="18"/>
      <c r="K612" s="18"/>
      <c r="L612" s="18"/>
      <c r="M612" s="96"/>
      <c r="N612" s="18"/>
      <c r="O612" s="96"/>
      <c r="P612" s="19"/>
      <c r="Q612" s="18"/>
      <c r="R612" s="19"/>
      <c r="S612" s="18"/>
      <c r="T612" s="96"/>
      <c r="U612" s="18"/>
      <c r="V612" s="18"/>
      <c r="W612" s="18"/>
      <c r="X612" s="18"/>
    </row>
    <row r="613" spans="2:24" ht="15" customHeight="1">
      <c r="B613" s="18"/>
      <c r="C613" s="18"/>
      <c r="D613" s="18"/>
      <c r="E613" s="18"/>
      <c r="F613" s="18"/>
      <c r="G613" s="96"/>
      <c r="H613" s="18"/>
      <c r="I613" s="18"/>
      <c r="J613" s="18"/>
      <c r="K613" s="18"/>
      <c r="L613" s="18"/>
      <c r="M613" s="96"/>
      <c r="N613" s="18"/>
      <c r="O613" s="96"/>
      <c r="P613" s="19"/>
      <c r="Q613" s="18"/>
      <c r="R613" s="19"/>
      <c r="S613" s="18"/>
      <c r="T613" s="96"/>
      <c r="U613" s="18"/>
      <c r="V613" s="18"/>
      <c r="W613" s="18"/>
      <c r="X613" s="18"/>
    </row>
    <row r="614" spans="2:24" ht="15" customHeight="1">
      <c r="B614" s="18"/>
      <c r="C614" s="18"/>
      <c r="D614" s="18"/>
      <c r="E614" s="18"/>
      <c r="F614" s="18"/>
      <c r="G614" s="96"/>
      <c r="H614" s="18"/>
      <c r="I614" s="18"/>
      <c r="J614" s="18"/>
      <c r="K614" s="18"/>
      <c r="L614" s="18"/>
      <c r="M614" s="96"/>
      <c r="N614" s="18"/>
      <c r="O614" s="96"/>
      <c r="P614" s="19"/>
      <c r="Q614" s="18"/>
      <c r="R614" s="19"/>
      <c r="S614" s="18"/>
      <c r="T614" s="96"/>
      <c r="U614" s="18"/>
      <c r="V614" s="18"/>
      <c r="W614" s="18"/>
      <c r="X614" s="18"/>
    </row>
    <row r="615" spans="2:24" ht="15" customHeight="1">
      <c r="B615" s="18"/>
      <c r="C615" s="18"/>
      <c r="D615" s="18"/>
      <c r="E615" s="18"/>
      <c r="F615" s="18"/>
      <c r="G615" s="96"/>
      <c r="H615" s="18"/>
      <c r="I615" s="18"/>
      <c r="J615" s="18"/>
      <c r="K615" s="18"/>
      <c r="L615" s="18"/>
      <c r="M615" s="96"/>
      <c r="N615" s="18"/>
      <c r="O615" s="96"/>
      <c r="P615" s="19"/>
      <c r="Q615" s="18"/>
      <c r="R615" s="19"/>
      <c r="S615" s="18"/>
      <c r="T615" s="96"/>
      <c r="U615" s="18"/>
      <c r="V615" s="18"/>
      <c r="W615" s="18"/>
      <c r="X615" s="18"/>
    </row>
    <row r="616" spans="2:24" ht="15" customHeight="1">
      <c r="B616" s="18"/>
      <c r="C616" s="18"/>
      <c r="D616" s="18"/>
      <c r="E616" s="18"/>
      <c r="F616" s="18"/>
      <c r="G616" s="96"/>
      <c r="H616" s="18"/>
      <c r="I616" s="18"/>
      <c r="J616" s="18"/>
      <c r="K616" s="18"/>
      <c r="L616" s="18"/>
      <c r="M616" s="96"/>
      <c r="N616" s="18"/>
      <c r="O616" s="96"/>
      <c r="P616" s="19"/>
      <c r="Q616" s="18"/>
      <c r="R616" s="19"/>
      <c r="S616" s="18"/>
      <c r="T616" s="96"/>
      <c r="U616" s="18"/>
      <c r="V616" s="18"/>
      <c r="W616" s="18"/>
      <c r="X616" s="18"/>
    </row>
    <row r="617" spans="2:24" ht="15" customHeight="1">
      <c r="B617" s="18"/>
      <c r="C617" s="18"/>
      <c r="D617" s="18"/>
      <c r="E617" s="18"/>
      <c r="F617" s="18"/>
      <c r="G617" s="96"/>
      <c r="H617" s="18"/>
      <c r="I617" s="18"/>
      <c r="J617" s="18"/>
      <c r="K617" s="18"/>
      <c r="L617" s="18"/>
      <c r="M617" s="96"/>
      <c r="N617" s="18"/>
      <c r="O617" s="96"/>
      <c r="P617" s="19"/>
      <c r="Q617" s="18"/>
      <c r="R617" s="19"/>
      <c r="S617" s="18"/>
      <c r="T617" s="96"/>
      <c r="U617" s="18"/>
      <c r="V617" s="18"/>
      <c r="W617" s="18"/>
      <c r="X617" s="18"/>
    </row>
    <row r="618" spans="2:24" ht="15" customHeight="1">
      <c r="B618" s="18"/>
      <c r="C618" s="18"/>
      <c r="D618" s="18"/>
      <c r="E618" s="18"/>
      <c r="F618" s="18"/>
      <c r="G618" s="96"/>
      <c r="H618" s="18"/>
      <c r="I618" s="18"/>
      <c r="J618" s="18"/>
      <c r="K618" s="18"/>
      <c r="L618" s="18"/>
      <c r="M618" s="96"/>
      <c r="N618" s="18"/>
      <c r="O618" s="96"/>
      <c r="P618" s="19"/>
      <c r="Q618" s="18"/>
      <c r="R618" s="19"/>
      <c r="S618" s="18"/>
      <c r="T618" s="96"/>
      <c r="U618" s="18"/>
      <c r="V618" s="18"/>
      <c r="W618" s="18"/>
      <c r="X618" s="18"/>
    </row>
    <row r="619" spans="2:24" ht="15" customHeight="1">
      <c r="B619" s="18"/>
      <c r="C619" s="18"/>
      <c r="D619" s="18"/>
      <c r="E619" s="18"/>
      <c r="F619" s="18"/>
      <c r="G619" s="96"/>
      <c r="H619" s="18"/>
      <c r="I619" s="18"/>
      <c r="J619" s="18"/>
      <c r="K619" s="18"/>
      <c r="L619" s="18"/>
      <c r="M619" s="96"/>
      <c r="N619" s="18"/>
      <c r="O619" s="96"/>
      <c r="P619" s="19"/>
      <c r="Q619" s="18"/>
      <c r="R619" s="19"/>
      <c r="S619" s="18"/>
      <c r="T619" s="96"/>
      <c r="U619" s="18"/>
      <c r="V619" s="18"/>
      <c r="W619" s="18"/>
      <c r="X619" s="18"/>
    </row>
    <row r="620" spans="2:24" ht="15" customHeight="1">
      <c r="B620" s="18"/>
      <c r="C620" s="18"/>
      <c r="D620" s="18"/>
      <c r="E620" s="18"/>
      <c r="F620" s="18"/>
      <c r="G620" s="96"/>
      <c r="H620" s="18"/>
      <c r="I620" s="18"/>
      <c r="J620" s="18"/>
      <c r="K620" s="18"/>
      <c r="L620" s="18"/>
      <c r="M620" s="96"/>
      <c r="N620" s="18"/>
      <c r="O620" s="96"/>
      <c r="P620" s="19"/>
      <c r="Q620" s="18"/>
      <c r="R620" s="19"/>
      <c r="S620" s="18"/>
      <c r="T620" s="96"/>
      <c r="U620" s="18"/>
      <c r="V620" s="18"/>
      <c r="W620" s="18"/>
      <c r="X620" s="18"/>
    </row>
    <row r="621" spans="2:24" ht="15" customHeight="1">
      <c r="B621" s="18"/>
      <c r="C621" s="18"/>
      <c r="D621" s="18"/>
      <c r="E621" s="18"/>
      <c r="F621" s="18"/>
      <c r="G621" s="96"/>
      <c r="H621" s="18"/>
      <c r="I621" s="18"/>
      <c r="J621" s="18"/>
      <c r="K621" s="18"/>
      <c r="L621" s="18"/>
      <c r="M621" s="96"/>
      <c r="N621" s="18"/>
      <c r="O621" s="96"/>
      <c r="P621" s="19"/>
      <c r="Q621" s="18"/>
      <c r="R621" s="19"/>
      <c r="S621" s="18"/>
      <c r="T621" s="96"/>
      <c r="U621" s="18"/>
      <c r="V621" s="18"/>
      <c r="W621" s="18"/>
      <c r="X621" s="18"/>
    </row>
    <row r="622" spans="2:24" ht="15" customHeight="1">
      <c r="B622" s="18"/>
      <c r="C622" s="18"/>
      <c r="D622" s="18"/>
      <c r="E622" s="18"/>
      <c r="F622" s="18"/>
      <c r="G622" s="96"/>
      <c r="H622" s="18"/>
      <c r="I622" s="18"/>
      <c r="J622" s="18"/>
      <c r="K622" s="18"/>
      <c r="L622" s="18"/>
      <c r="M622" s="96"/>
      <c r="N622" s="18"/>
      <c r="O622" s="96"/>
      <c r="P622" s="19"/>
      <c r="Q622" s="18"/>
      <c r="R622" s="19"/>
      <c r="S622" s="18"/>
      <c r="T622" s="96"/>
      <c r="U622" s="18"/>
      <c r="V622" s="18"/>
      <c r="W622" s="18"/>
      <c r="X622" s="18"/>
    </row>
    <row r="623" spans="2:24" ht="15" customHeight="1">
      <c r="B623" s="18"/>
      <c r="C623" s="18"/>
      <c r="D623" s="18"/>
      <c r="E623" s="18"/>
      <c r="F623" s="18"/>
      <c r="G623" s="96"/>
      <c r="H623" s="18"/>
      <c r="I623" s="18"/>
      <c r="J623" s="18"/>
      <c r="K623" s="18"/>
      <c r="L623" s="18"/>
      <c r="M623" s="96"/>
      <c r="N623" s="18"/>
      <c r="O623" s="96"/>
      <c r="P623" s="19"/>
      <c r="Q623" s="18"/>
      <c r="R623" s="19"/>
      <c r="S623" s="18"/>
      <c r="T623" s="96"/>
      <c r="U623" s="18"/>
      <c r="V623" s="18"/>
      <c r="W623" s="18"/>
      <c r="X623" s="18"/>
    </row>
    <row r="624" spans="2:24" ht="15" customHeight="1">
      <c r="B624" s="18"/>
      <c r="C624" s="18"/>
      <c r="D624" s="18"/>
      <c r="E624" s="18"/>
      <c r="F624" s="18"/>
      <c r="G624" s="96"/>
      <c r="H624" s="18"/>
      <c r="I624" s="18"/>
      <c r="J624" s="18"/>
      <c r="K624" s="18"/>
      <c r="L624" s="18"/>
      <c r="M624" s="96"/>
      <c r="N624" s="18"/>
      <c r="O624" s="96"/>
      <c r="P624" s="19"/>
      <c r="Q624" s="18"/>
      <c r="R624" s="19"/>
      <c r="S624" s="18"/>
      <c r="T624" s="96"/>
      <c r="U624" s="18"/>
      <c r="V624" s="18"/>
      <c r="W624" s="18"/>
      <c r="X624" s="18"/>
    </row>
    <row r="625" spans="2:24" ht="15" customHeight="1">
      <c r="B625" s="18"/>
      <c r="C625" s="18"/>
      <c r="D625" s="18"/>
      <c r="E625" s="18"/>
      <c r="F625" s="18"/>
      <c r="G625" s="96"/>
      <c r="H625" s="18"/>
      <c r="I625" s="18"/>
      <c r="J625" s="18"/>
      <c r="K625" s="18"/>
      <c r="L625" s="18"/>
      <c r="M625" s="96"/>
      <c r="N625" s="18"/>
      <c r="O625" s="96"/>
      <c r="P625" s="19"/>
      <c r="Q625" s="18"/>
      <c r="R625" s="19"/>
      <c r="S625" s="18"/>
      <c r="T625" s="96"/>
      <c r="U625" s="18"/>
      <c r="V625" s="18"/>
      <c r="W625" s="18"/>
      <c r="X625" s="18"/>
    </row>
    <row r="626" spans="2:24" ht="15" customHeight="1">
      <c r="B626" s="18"/>
      <c r="C626" s="18"/>
      <c r="D626" s="18"/>
      <c r="E626" s="18"/>
      <c r="F626" s="18"/>
      <c r="G626" s="96"/>
      <c r="H626" s="18"/>
      <c r="I626" s="18"/>
      <c r="J626" s="18"/>
      <c r="K626" s="18"/>
      <c r="L626" s="18"/>
      <c r="M626" s="96"/>
      <c r="N626" s="18"/>
      <c r="O626" s="96"/>
      <c r="P626" s="19"/>
      <c r="Q626" s="18"/>
      <c r="R626" s="19"/>
      <c r="S626" s="18"/>
      <c r="T626" s="96"/>
      <c r="U626" s="18"/>
      <c r="V626" s="18"/>
      <c r="W626" s="18"/>
      <c r="X626" s="18"/>
    </row>
    <row r="627" spans="2:24" ht="15" customHeight="1">
      <c r="B627" s="18"/>
      <c r="C627" s="18"/>
      <c r="D627" s="18"/>
      <c r="E627" s="18"/>
      <c r="F627" s="18"/>
      <c r="G627" s="96"/>
      <c r="H627" s="18"/>
      <c r="I627" s="18"/>
      <c r="J627" s="18"/>
      <c r="K627" s="18"/>
      <c r="L627" s="18"/>
      <c r="M627" s="96"/>
      <c r="N627" s="18"/>
      <c r="O627" s="96"/>
      <c r="P627" s="19"/>
      <c r="Q627" s="18"/>
      <c r="R627" s="19"/>
      <c r="S627" s="18"/>
      <c r="T627" s="96"/>
      <c r="U627" s="18"/>
      <c r="V627" s="18"/>
      <c r="W627" s="18"/>
      <c r="X627" s="18"/>
    </row>
    <row r="628" spans="2:24" ht="15" customHeight="1">
      <c r="B628" s="18"/>
      <c r="C628" s="18"/>
      <c r="D628" s="18"/>
      <c r="E628" s="18"/>
      <c r="F628" s="18"/>
      <c r="G628" s="96"/>
      <c r="H628" s="18"/>
      <c r="I628" s="18"/>
      <c r="J628" s="18"/>
      <c r="K628" s="18"/>
      <c r="L628" s="18"/>
      <c r="M628" s="96"/>
      <c r="N628" s="18"/>
      <c r="O628" s="96"/>
      <c r="P628" s="19"/>
      <c r="Q628" s="18"/>
      <c r="R628" s="19"/>
      <c r="S628" s="18"/>
      <c r="T628" s="96"/>
      <c r="U628" s="18"/>
      <c r="V628" s="18"/>
      <c r="W628" s="18"/>
      <c r="X628" s="18"/>
    </row>
    <row r="629" spans="2:24" ht="15" customHeight="1">
      <c r="B629" s="18"/>
      <c r="C629" s="18"/>
      <c r="D629" s="18"/>
      <c r="E629" s="18"/>
      <c r="F629" s="18"/>
      <c r="G629" s="96"/>
      <c r="H629" s="18"/>
      <c r="I629" s="18"/>
      <c r="J629" s="18"/>
      <c r="K629" s="18"/>
      <c r="L629" s="18"/>
      <c r="M629" s="96"/>
      <c r="N629" s="18"/>
      <c r="O629" s="96"/>
      <c r="P629" s="19"/>
      <c r="Q629" s="18"/>
      <c r="R629" s="19"/>
      <c r="S629" s="18"/>
      <c r="T629" s="96"/>
      <c r="U629" s="18"/>
      <c r="V629" s="18"/>
      <c r="W629" s="18"/>
      <c r="X629" s="18"/>
    </row>
    <row r="630" spans="2:24" ht="15" customHeight="1">
      <c r="B630" s="18"/>
      <c r="C630" s="18"/>
      <c r="D630" s="18"/>
      <c r="E630" s="18"/>
      <c r="F630" s="18"/>
      <c r="G630" s="96"/>
      <c r="H630" s="18"/>
      <c r="I630" s="18"/>
      <c r="J630" s="18"/>
      <c r="K630" s="18"/>
      <c r="L630" s="18"/>
      <c r="M630" s="96"/>
      <c r="N630" s="18"/>
      <c r="O630" s="96"/>
      <c r="P630" s="19"/>
      <c r="Q630" s="18"/>
      <c r="R630" s="19"/>
      <c r="S630" s="18"/>
      <c r="T630" s="96"/>
      <c r="U630" s="18"/>
      <c r="V630" s="18"/>
      <c r="W630" s="18"/>
      <c r="X630" s="18"/>
    </row>
    <row r="631" spans="2:24" ht="15" customHeight="1">
      <c r="B631" s="18"/>
      <c r="C631" s="18"/>
      <c r="D631" s="18"/>
      <c r="E631" s="18"/>
      <c r="F631" s="18"/>
      <c r="G631" s="96"/>
      <c r="H631" s="18"/>
      <c r="I631" s="18"/>
      <c r="J631" s="18"/>
      <c r="K631" s="18"/>
      <c r="L631" s="18"/>
      <c r="M631" s="96"/>
      <c r="N631" s="18"/>
      <c r="O631" s="96"/>
      <c r="P631" s="19"/>
      <c r="Q631" s="18"/>
      <c r="R631" s="19"/>
      <c r="S631" s="18"/>
      <c r="T631" s="96"/>
      <c r="U631" s="18"/>
      <c r="V631" s="18"/>
      <c r="W631" s="18"/>
      <c r="X631" s="18"/>
    </row>
    <row r="632" spans="2:24" ht="15" customHeight="1">
      <c r="B632" s="18"/>
      <c r="C632" s="18"/>
      <c r="D632" s="18"/>
      <c r="E632" s="18"/>
      <c r="F632" s="18"/>
      <c r="G632" s="96"/>
      <c r="H632" s="18"/>
      <c r="I632" s="18"/>
      <c r="J632" s="18"/>
      <c r="K632" s="18"/>
      <c r="L632" s="18"/>
      <c r="M632" s="96"/>
      <c r="N632" s="18"/>
      <c r="O632" s="96"/>
      <c r="P632" s="19"/>
      <c r="Q632" s="18"/>
      <c r="R632" s="19"/>
      <c r="S632" s="18"/>
      <c r="T632" s="96"/>
      <c r="U632" s="18"/>
      <c r="V632" s="18"/>
      <c r="W632" s="18"/>
      <c r="X632" s="18"/>
    </row>
    <row r="633" spans="2:24" ht="15" customHeight="1">
      <c r="B633" s="18"/>
      <c r="C633" s="18"/>
      <c r="D633" s="18"/>
      <c r="E633" s="18"/>
      <c r="F633" s="18"/>
      <c r="G633" s="96"/>
      <c r="H633" s="18"/>
      <c r="I633" s="18"/>
      <c r="J633" s="18"/>
      <c r="K633" s="18"/>
      <c r="L633" s="18"/>
      <c r="M633" s="96"/>
      <c r="N633" s="18"/>
      <c r="O633" s="96"/>
      <c r="P633" s="19"/>
      <c r="Q633" s="18"/>
      <c r="R633" s="19"/>
      <c r="S633" s="18"/>
      <c r="T633" s="96"/>
      <c r="U633" s="18"/>
      <c r="V633" s="18"/>
      <c r="W633" s="18"/>
      <c r="X633" s="18"/>
    </row>
    <row r="634" spans="2:24" ht="15" customHeight="1">
      <c r="B634" s="18"/>
      <c r="C634" s="18"/>
      <c r="D634" s="18"/>
      <c r="E634" s="18"/>
      <c r="F634" s="18"/>
      <c r="G634" s="96"/>
      <c r="H634" s="18"/>
      <c r="I634" s="18"/>
      <c r="J634" s="18"/>
      <c r="K634" s="18"/>
      <c r="L634" s="18"/>
      <c r="M634" s="96"/>
      <c r="N634" s="18"/>
      <c r="O634" s="96"/>
      <c r="P634" s="19"/>
      <c r="Q634" s="18"/>
      <c r="R634" s="19"/>
      <c r="S634" s="18"/>
      <c r="T634" s="96"/>
      <c r="U634" s="18"/>
      <c r="V634" s="18"/>
      <c r="W634" s="18"/>
      <c r="X634" s="18"/>
    </row>
    <row r="635" spans="2:24" ht="15" customHeight="1">
      <c r="B635" s="18"/>
      <c r="C635" s="18"/>
      <c r="D635" s="18"/>
      <c r="E635" s="18"/>
      <c r="F635" s="18"/>
      <c r="G635" s="96"/>
      <c r="H635" s="18"/>
      <c r="I635" s="18"/>
      <c r="J635" s="18"/>
      <c r="K635" s="18"/>
      <c r="L635" s="18"/>
      <c r="M635" s="96"/>
      <c r="N635" s="18"/>
      <c r="O635" s="96"/>
      <c r="P635" s="19"/>
      <c r="Q635" s="18"/>
      <c r="R635" s="19"/>
      <c r="S635" s="18"/>
      <c r="T635" s="96"/>
      <c r="U635" s="18"/>
      <c r="V635" s="18"/>
      <c r="W635" s="18"/>
      <c r="X635" s="18"/>
    </row>
    <row r="636" spans="2:24" ht="15" customHeight="1">
      <c r="B636" s="18"/>
      <c r="C636" s="18"/>
      <c r="D636" s="18"/>
      <c r="E636" s="18"/>
      <c r="F636" s="18"/>
      <c r="G636" s="96"/>
      <c r="H636" s="18"/>
      <c r="I636" s="18"/>
      <c r="J636" s="18"/>
      <c r="K636" s="18"/>
      <c r="L636" s="18"/>
      <c r="M636" s="96"/>
      <c r="N636" s="18"/>
      <c r="O636" s="96"/>
      <c r="P636" s="19"/>
      <c r="Q636" s="18"/>
      <c r="R636" s="19"/>
      <c r="S636" s="18"/>
      <c r="T636" s="96"/>
      <c r="U636" s="18"/>
      <c r="V636" s="18"/>
      <c r="W636" s="18"/>
      <c r="X636" s="18"/>
    </row>
    <row r="637" spans="2:24" ht="15" customHeight="1">
      <c r="B637" s="18"/>
      <c r="C637" s="18"/>
      <c r="D637" s="18"/>
      <c r="E637" s="18"/>
      <c r="F637" s="18"/>
      <c r="G637" s="96"/>
      <c r="H637" s="18"/>
      <c r="I637" s="18"/>
      <c r="J637" s="18"/>
      <c r="K637" s="18"/>
      <c r="L637" s="18"/>
      <c r="M637" s="96"/>
      <c r="N637" s="18"/>
      <c r="O637" s="96"/>
      <c r="P637" s="19"/>
      <c r="Q637" s="18"/>
      <c r="R637" s="19"/>
      <c r="S637" s="18"/>
      <c r="T637" s="96"/>
      <c r="U637" s="18"/>
      <c r="V637" s="18"/>
      <c r="W637" s="18"/>
      <c r="X637" s="18"/>
    </row>
    <row r="638" spans="2:24" ht="15" customHeight="1">
      <c r="B638" s="18"/>
      <c r="C638" s="18"/>
      <c r="D638" s="18"/>
      <c r="E638" s="18"/>
      <c r="F638" s="18"/>
      <c r="G638" s="96"/>
      <c r="H638" s="18"/>
      <c r="I638" s="18"/>
      <c r="J638" s="18"/>
      <c r="K638" s="18"/>
      <c r="L638" s="18"/>
      <c r="M638" s="96"/>
      <c r="N638" s="18"/>
      <c r="O638" s="96"/>
      <c r="P638" s="19"/>
      <c r="Q638" s="18"/>
      <c r="R638" s="19"/>
      <c r="S638" s="18"/>
      <c r="T638" s="96"/>
      <c r="U638" s="18"/>
      <c r="V638" s="18"/>
      <c r="W638" s="18"/>
      <c r="X638" s="18"/>
    </row>
    <row r="639" spans="2:24" ht="15" customHeight="1">
      <c r="B639" s="18"/>
      <c r="C639" s="18"/>
      <c r="D639" s="18"/>
      <c r="E639" s="18"/>
      <c r="F639" s="18"/>
      <c r="G639" s="96"/>
      <c r="H639" s="18"/>
      <c r="I639" s="18"/>
      <c r="J639" s="18"/>
      <c r="K639" s="18"/>
      <c r="L639" s="18"/>
      <c r="M639" s="96"/>
      <c r="N639" s="18"/>
      <c r="O639" s="96"/>
      <c r="P639" s="19"/>
      <c r="Q639" s="18"/>
      <c r="R639" s="19"/>
      <c r="S639" s="18"/>
      <c r="T639" s="96"/>
      <c r="U639" s="18"/>
      <c r="V639" s="18"/>
      <c r="W639" s="18"/>
      <c r="X639" s="18"/>
    </row>
    <row r="640" spans="2:24" ht="15" customHeight="1">
      <c r="B640" s="18"/>
      <c r="C640" s="18"/>
      <c r="D640" s="18"/>
      <c r="E640" s="18"/>
      <c r="F640" s="18"/>
      <c r="G640" s="96"/>
      <c r="H640" s="18"/>
      <c r="I640" s="18"/>
      <c r="J640" s="18"/>
      <c r="K640" s="18"/>
      <c r="L640" s="18"/>
      <c r="M640" s="96"/>
      <c r="N640" s="18"/>
      <c r="O640" s="96"/>
      <c r="P640" s="19"/>
      <c r="Q640" s="18"/>
      <c r="R640" s="19"/>
      <c r="S640" s="18"/>
      <c r="T640" s="96"/>
      <c r="U640" s="18"/>
      <c r="V640" s="18"/>
      <c r="W640" s="18"/>
      <c r="X640" s="18"/>
    </row>
    <row r="641" spans="2:24" ht="15" customHeight="1">
      <c r="B641" s="18"/>
      <c r="C641" s="18"/>
      <c r="D641" s="18"/>
      <c r="E641" s="18"/>
      <c r="F641" s="18"/>
      <c r="G641" s="96"/>
      <c r="H641" s="18"/>
      <c r="I641" s="18"/>
      <c r="J641" s="18"/>
      <c r="K641" s="18"/>
      <c r="L641" s="18"/>
      <c r="M641" s="96"/>
      <c r="N641" s="18"/>
      <c r="O641" s="96"/>
      <c r="P641" s="19"/>
      <c r="Q641" s="18"/>
      <c r="R641" s="19"/>
      <c r="S641" s="18"/>
      <c r="T641" s="96"/>
      <c r="U641" s="18"/>
      <c r="V641" s="18"/>
      <c r="W641" s="18"/>
      <c r="X641" s="18"/>
    </row>
    <row r="642" spans="2:24" ht="15" customHeight="1">
      <c r="B642" s="18"/>
      <c r="C642" s="18"/>
      <c r="D642" s="18"/>
      <c r="E642" s="18"/>
      <c r="F642" s="18"/>
      <c r="G642" s="96"/>
      <c r="H642" s="18"/>
      <c r="I642" s="18"/>
      <c r="J642" s="18"/>
      <c r="K642" s="18"/>
      <c r="L642" s="18"/>
      <c r="M642" s="96"/>
      <c r="N642" s="18"/>
      <c r="O642" s="96"/>
      <c r="P642" s="19"/>
      <c r="Q642" s="18"/>
      <c r="R642" s="19"/>
      <c r="S642" s="18"/>
      <c r="T642" s="96"/>
      <c r="U642" s="18"/>
      <c r="V642" s="18"/>
      <c r="W642" s="18"/>
      <c r="X642" s="18"/>
    </row>
    <row r="643" spans="2:24" ht="15" customHeight="1">
      <c r="B643" s="18"/>
      <c r="C643" s="18"/>
      <c r="D643" s="18"/>
      <c r="E643" s="18"/>
      <c r="F643" s="18"/>
      <c r="G643" s="96"/>
      <c r="H643" s="18"/>
      <c r="I643" s="18"/>
      <c r="J643" s="18"/>
      <c r="K643" s="18"/>
      <c r="L643" s="18"/>
      <c r="M643" s="96"/>
      <c r="N643" s="18"/>
      <c r="O643" s="96"/>
      <c r="P643" s="19"/>
      <c r="Q643" s="18"/>
      <c r="R643" s="19"/>
      <c r="S643" s="18"/>
      <c r="T643" s="96"/>
      <c r="U643" s="18"/>
      <c r="V643" s="18"/>
      <c r="W643" s="18"/>
      <c r="X643" s="18"/>
    </row>
    <row r="644" spans="2:24" ht="15" customHeight="1">
      <c r="B644" s="18"/>
      <c r="C644" s="18"/>
      <c r="D644" s="18"/>
      <c r="E644" s="18"/>
      <c r="F644" s="18"/>
      <c r="G644" s="96"/>
      <c r="H644" s="18"/>
      <c r="I644" s="18"/>
      <c r="J644" s="18"/>
      <c r="K644" s="18"/>
      <c r="L644" s="18"/>
      <c r="M644" s="96"/>
      <c r="N644" s="18"/>
      <c r="O644" s="96"/>
      <c r="P644" s="19"/>
      <c r="Q644" s="18"/>
      <c r="R644" s="19"/>
      <c r="S644" s="18"/>
      <c r="T644" s="96"/>
      <c r="U644" s="18"/>
      <c r="V644" s="18"/>
      <c r="W644" s="18"/>
      <c r="X644" s="18"/>
    </row>
    <row r="645" spans="2:24" ht="15" customHeight="1">
      <c r="B645" s="18"/>
      <c r="C645" s="18"/>
      <c r="D645" s="18"/>
      <c r="E645" s="18"/>
      <c r="F645" s="18"/>
      <c r="G645" s="96"/>
      <c r="H645" s="18"/>
      <c r="I645" s="18"/>
      <c r="J645" s="18"/>
      <c r="K645" s="18"/>
      <c r="L645" s="18"/>
      <c r="M645" s="96"/>
      <c r="N645" s="18"/>
      <c r="O645" s="96"/>
      <c r="P645" s="19"/>
      <c r="Q645" s="18"/>
      <c r="R645" s="19"/>
      <c r="S645" s="18"/>
      <c r="T645" s="96"/>
      <c r="U645" s="18"/>
      <c r="V645" s="18"/>
      <c r="W645" s="18"/>
      <c r="X645" s="18"/>
    </row>
    <row r="646" spans="2:24" ht="15" customHeight="1">
      <c r="B646" s="18"/>
      <c r="C646" s="18"/>
      <c r="D646" s="18"/>
      <c r="E646" s="18"/>
      <c r="F646" s="18"/>
      <c r="G646" s="96"/>
      <c r="H646" s="18"/>
      <c r="I646" s="18"/>
      <c r="J646" s="18"/>
      <c r="K646" s="18"/>
      <c r="L646" s="18"/>
      <c r="M646" s="96"/>
      <c r="N646" s="18"/>
      <c r="O646" s="96"/>
      <c r="P646" s="19"/>
      <c r="Q646" s="18"/>
      <c r="R646" s="19"/>
      <c r="S646" s="18"/>
      <c r="T646" s="96"/>
      <c r="U646" s="18"/>
      <c r="V646" s="18"/>
      <c r="W646" s="18"/>
      <c r="X646" s="18"/>
    </row>
    <row r="647" spans="2:24" ht="15" customHeight="1">
      <c r="B647" s="18"/>
      <c r="C647" s="18"/>
      <c r="D647" s="18"/>
      <c r="E647" s="18"/>
      <c r="F647" s="18"/>
      <c r="G647" s="96"/>
      <c r="H647" s="18"/>
      <c r="I647" s="18"/>
      <c r="J647" s="18"/>
      <c r="K647" s="18"/>
      <c r="L647" s="18"/>
      <c r="M647" s="96"/>
      <c r="N647" s="18"/>
      <c r="O647" s="96"/>
      <c r="P647" s="19"/>
      <c r="Q647" s="18"/>
      <c r="R647" s="19"/>
      <c r="S647" s="18"/>
      <c r="T647" s="96"/>
      <c r="U647" s="18"/>
      <c r="V647" s="18"/>
      <c r="W647" s="18"/>
      <c r="X647" s="18"/>
    </row>
    <row r="648" spans="2:24" ht="15" customHeight="1">
      <c r="B648" s="18"/>
      <c r="C648" s="18"/>
      <c r="D648" s="18"/>
      <c r="E648" s="18"/>
      <c r="F648" s="18"/>
      <c r="G648" s="96"/>
      <c r="H648" s="18"/>
      <c r="I648" s="18"/>
      <c r="J648" s="18"/>
      <c r="K648" s="18"/>
      <c r="L648" s="18"/>
      <c r="M648" s="96"/>
      <c r="N648" s="18"/>
      <c r="O648" s="96"/>
      <c r="P648" s="19"/>
      <c r="Q648" s="18"/>
      <c r="R648" s="19"/>
      <c r="S648" s="18"/>
      <c r="T648" s="96"/>
      <c r="U648" s="18"/>
      <c r="V648" s="18"/>
      <c r="W648" s="18"/>
      <c r="X648" s="18"/>
    </row>
    <row r="649" spans="2:24" ht="15" customHeight="1">
      <c r="B649" s="18"/>
      <c r="C649" s="18"/>
      <c r="D649" s="18"/>
      <c r="E649" s="18"/>
      <c r="F649" s="18"/>
      <c r="G649" s="96"/>
      <c r="H649" s="18"/>
      <c r="I649" s="18"/>
      <c r="J649" s="18"/>
      <c r="K649" s="18"/>
      <c r="L649" s="18"/>
      <c r="M649" s="96"/>
      <c r="N649" s="18"/>
      <c r="O649" s="96"/>
      <c r="P649" s="19"/>
      <c r="Q649" s="18"/>
      <c r="R649" s="19"/>
      <c r="S649" s="18"/>
      <c r="T649" s="96"/>
      <c r="U649" s="18"/>
      <c r="V649" s="18"/>
      <c r="W649" s="18"/>
      <c r="X649" s="18"/>
    </row>
    <row r="650" spans="2:24" ht="15" customHeight="1">
      <c r="B650" s="18"/>
      <c r="C650" s="18"/>
      <c r="D650" s="18"/>
      <c r="E650" s="18"/>
      <c r="F650" s="18"/>
      <c r="G650" s="96"/>
      <c r="H650" s="18"/>
      <c r="I650" s="18"/>
      <c r="J650" s="18"/>
      <c r="K650" s="18"/>
      <c r="L650" s="18"/>
      <c r="M650" s="96"/>
      <c r="N650" s="18"/>
      <c r="O650" s="96"/>
      <c r="P650" s="19"/>
      <c r="Q650" s="18"/>
      <c r="R650" s="19"/>
      <c r="S650" s="18"/>
      <c r="T650" s="96"/>
      <c r="U650" s="18"/>
      <c r="V650" s="18"/>
      <c r="W650" s="18"/>
      <c r="X650" s="18"/>
    </row>
    <row r="651" spans="2:24" ht="15" customHeight="1">
      <c r="B651" s="18"/>
      <c r="C651" s="18"/>
      <c r="D651" s="18"/>
      <c r="E651" s="18"/>
      <c r="F651" s="18"/>
      <c r="G651" s="96"/>
      <c r="H651" s="18"/>
      <c r="I651" s="18"/>
      <c r="J651" s="18"/>
      <c r="K651" s="18"/>
      <c r="L651" s="18"/>
      <c r="M651" s="96"/>
      <c r="N651" s="18"/>
      <c r="O651" s="96"/>
      <c r="P651" s="19"/>
      <c r="Q651" s="18"/>
      <c r="R651" s="19"/>
      <c r="S651" s="18"/>
      <c r="T651" s="96"/>
      <c r="U651" s="18"/>
      <c r="V651" s="18"/>
      <c r="W651" s="18"/>
      <c r="X651" s="18"/>
    </row>
    <row r="652" spans="2:24" ht="15" customHeight="1">
      <c r="B652" s="18"/>
      <c r="C652" s="18"/>
      <c r="D652" s="18"/>
      <c r="E652" s="18"/>
      <c r="F652" s="18"/>
      <c r="G652" s="96"/>
      <c r="H652" s="18"/>
      <c r="I652" s="18"/>
      <c r="J652" s="18"/>
      <c r="K652" s="18"/>
      <c r="L652" s="18"/>
      <c r="M652" s="96"/>
      <c r="N652" s="18"/>
      <c r="O652" s="96"/>
      <c r="P652" s="19"/>
      <c r="Q652" s="18"/>
      <c r="R652" s="19"/>
      <c r="S652" s="18"/>
      <c r="T652" s="96"/>
      <c r="U652" s="18"/>
      <c r="V652" s="18"/>
      <c r="W652" s="18"/>
      <c r="X652" s="18"/>
    </row>
    <row r="653" spans="2:24" ht="15" customHeight="1">
      <c r="B653" s="18"/>
      <c r="C653" s="18"/>
      <c r="D653" s="18"/>
      <c r="E653" s="18"/>
      <c r="F653" s="18"/>
      <c r="G653" s="96"/>
      <c r="H653" s="18"/>
      <c r="I653" s="18"/>
      <c r="J653" s="18"/>
      <c r="K653" s="18"/>
      <c r="L653" s="18"/>
      <c r="M653" s="96"/>
      <c r="N653" s="18"/>
      <c r="O653" s="96"/>
      <c r="P653" s="19"/>
      <c r="Q653" s="18"/>
      <c r="R653" s="19"/>
      <c r="S653" s="18"/>
      <c r="T653" s="96"/>
      <c r="U653" s="18"/>
      <c r="V653" s="18"/>
      <c r="W653" s="18"/>
      <c r="X653" s="18"/>
    </row>
    <row r="654" spans="2:24" ht="15" customHeight="1">
      <c r="B654" s="18"/>
      <c r="C654" s="18"/>
      <c r="D654" s="18"/>
      <c r="E654" s="18"/>
      <c r="F654" s="18"/>
      <c r="G654" s="96"/>
      <c r="H654" s="18"/>
      <c r="I654" s="18"/>
      <c r="J654" s="18"/>
      <c r="K654" s="18"/>
      <c r="L654" s="18"/>
      <c r="M654" s="96"/>
      <c r="N654" s="18"/>
      <c r="O654" s="96"/>
      <c r="P654" s="19"/>
      <c r="Q654" s="18"/>
      <c r="R654" s="19"/>
      <c r="S654" s="18"/>
      <c r="T654" s="96"/>
      <c r="U654" s="18"/>
      <c r="V654" s="18"/>
      <c r="W654" s="18"/>
      <c r="X654" s="18"/>
    </row>
    <row r="655" spans="2:24" ht="15" customHeight="1">
      <c r="B655" s="18"/>
      <c r="C655" s="18"/>
      <c r="D655" s="18"/>
      <c r="E655" s="18"/>
      <c r="F655" s="18"/>
      <c r="G655" s="96"/>
      <c r="H655" s="18"/>
      <c r="I655" s="18"/>
      <c r="J655" s="18"/>
      <c r="K655" s="18"/>
      <c r="L655" s="18"/>
      <c r="M655" s="96"/>
      <c r="N655" s="18"/>
      <c r="O655" s="96"/>
      <c r="P655" s="19"/>
      <c r="Q655" s="18"/>
      <c r="R655" s="19"/>
      <c r="S655" s="18"/>
      <c r="T655" s="96"/>
      <c r="U655" s="18"/>
      <c r="V655" s="18"/>
      <c r="W655" s="18"/>
      <c r="X655" s="18"/>
    </row>
    <row r="656" spans="2:24" ht="15" customHeight="1">
      <c r="B656" s="18"/>
      <c r="C656" s="18"/>
      <c r="D656" s="18"/>
      <c r="E656" s="18"/>
      <c r="F656" s="18"/>
      <c r="G656" s="96"/>
      <c r="H656" s="18"/>
      <c r="I656" s="18"/>
      <c r="J656" s="18"/>
      <c r="K656" s="18"/>
      <c r="L656" s="18"/>
      <c r="M656" s="96"/>
      <c r="N656" s="18"/>
      <c r="O656" s="96"/>
      <c r="P656" s="19"/>
      <c r="Q656" s="18"/>
      <c r="R656" s="19"/>
      <c r="S656" s="18"/>
      <c r="T656" s="96"/>
      <c r="U656" s="18"/>
      <c r="V656" s="18"/>
      <c r="W656" s="18"/>
      <c r="X656" s="18"/>
    </row>
    <row r="657" spans="2:24" ht="15" customHeight="1">
      <c r="B657" s="18"/>
      <c r="C657" s="18"/>
      <c r="D657" s="18"/>
      <c r="E657" s="18"/>
      <c r="F657" s="18"/>
      <c r="G657" s="96"/>
      <c r="H657" s="18"/>
      <c r="I657" s="18"/>
      <c r="J657" s="18"/>
      <c r="K657" s="18"/>
      <c r="L657" s="18"/>
      <c r="M657" s="96"/>
      <c r="N657" s="18"/>
      <c r="O657" s="96"/>
      <c r="P657" s="19"/>
      <c r="Q657" s="18"/>
      <c r="R657" s="19"/>
      <c r="S657" s="18"/>
      <c r="T657" s="96"/>
      <c r="U657" s="18"/>
      <c r="V657" s="18"/>
      <c r="W657" s="18"/>
      <c r="X657" s="18"/>
    </row>
    <row r="658" spans="2:24" ht="15" customHeight="1">
      <c r="B658" s="18"/>
      <c r="C658" s="18"/>
      <c r="D658" s="18"/>
      <c r="E658" s="18"/>
      <c r="F658" s="18"/>
      <c r="G658" s="96"/>
      <c r="H658" s="18"/>
      <c r="I658" s="18"/>
      <c r="J658" s="18"/>
      <c r="K658" s="18"/>
      <c r="L658" s="18"/>
      <c r="M658" s="96"/>
      <c r="N658" s="18"/>
      <c r="O658" s="96"/>
      <c r="P658" s="19"/>
      <c r="Q658" s="18"/>
      <c r="R658" s="19"/>
      <c r="S658" s="18"/>
      <c r="T658" s="96"/>
      <c r="U658" s="18"/>
      <c r="V658" s="18"/>
      <c r="W658" s="18"/>
      <c r="X658" s="18"/>
    </row>
    <row r="659" spans="2:24" ht="15" customHeight="1">
      <c r="B659" s="18"/>
      <c r="C659" s="18"/>
      <c r="D659" s="18"/>
      <c r="E659" s="18"/>
      <c r="F659" s="18"/>
      <c r="G659" s="96"/>
      <c r="H659" s="18"/>
      <c r="I659" s="18"/>
      <c r="J659" s="18"/>
      <c r="K659" s="18"/>
      <c r="L659" s="18"/>
      <c r="M659" s="96"/>
      <c r="N659" s="18"/>
      <c r="O659" s="96"/>
      <c r="P659" s="19"/>
      <c r="Q659" s="18"/>
      <c r="R659" s="19"/>
      <c r="S659" s="18"/>
      <c r="T659" s="96"/>
      <c r="U659" s="18"/>
      <c r="V659" s="18"/>
      <c r="W659" s="18"/>
      <c r="X659" s="18"/>
    </row>
    <row r="660" spans="2:24" ht="15" customHeight="1">
      <c r="B660" s="18"/>
      <c r="C660" s="18"/>
      <c r="D660" s="18"/>
      <c r="E660" s="18"/>
      <c r="F660" s="18"/>
      <c r="G660" s="96"/>
      <c r="H660" s="18"/>
      <c r="I660" s="18"/>
      <c r="J660" s="18"/>
      <c r="K660" s="18"/>
      <c r="L660" s="18"/>
      <c r="M660" s="96"/>
      <c r="N660" s="18"/>
      <c r="O660" s="96"/>
      <c r="P660" s="19"/>
      <c r="Q660" s="18"/>
      <c r="R660" s="19"/>
      <c r="S660" s="18"/>
      <c r="T660" s="96"/>
      <c r="U660" s="18"/>
      <c r="V660" s="18"/>
      <c r="W660" s="18"/>
      <c r="X660" s="18"/>
    </row>
    <row r="661" spans="2:24" ht="15" customHeight="1">
      <c r="B661" s="18"/>
      <c r="C661" s="18"/>
      <c r="D661" s="18"/>
      <c r="E661" s="18"/>
      <c r="F661" s="18"/>
      <c r="G661" s="96"/>
      <c r="H661" s="18"/>
      <c r="I661" s="18"/>
      <c r="J661" s="18"/>
      <c r="K661" s="18"/>
      <c r="L661" s="18"/>
      <c r="M661" s="96"/>
      <c r="N661" s="18"/>
      <c r="O661" s="96"/>
      <c r="P661" s="19"/>
      <c r="Q661" s="18"/>
      <c r="R661" s="19"/>
      <c r="S661" s="18"/>
      <c r="T661" s="96"/>
      <c r="U661" s="18"/>
      <c r="V661" s="18"/>
      <c r="W661" s="18"/>
      <c r="X661" s="18"/>
    </row>
    <row r="662" spans="2:24" ht="15" customHeight="1">
      <c r="B662" s="18"/>
      <c r="C662" s="18"/>
      <c r="D662" s="18"/>
      <c r="E662" s="18"/>
      <c r="F662" s="18"/>
      <c r="G662" s="96"/>
      <c r="H662" s="18"/>
      <c r="I662" s="18"/>
      <c r="J662" s="18"/>
      <c r="K662" s="18"/>
      <c r="L662" s="18"/>
      <c r="M662" s="96"/>
      <c r="N662" s="18"/>
      <c r="O662" s="96"/>
      <c r="P662" s="19"/>
      <c r="Q662" s="18"/>
      <c r="R662" s="19"/>
      <c r="S662" s="18"/>
      <c r="T662" s="96"/>
      <c r="U662" s="18"/>
      <c r="V662" s="18"/>
      <c r="W662" s="18"/>
      <c r="X662" s="18"/>
    </row>
    <row r="663" spans="2:24" ht="15" customHeight="1">
      <c r="B663" s="18"/>
      <c r="C663" s="18"/>
      <c r="D663" s="18"/>
      <c r="E663" s="18"/>
      <c r="F663" s="18"/>
      <c r="G663" s="96"/>
      <c r="H663" s="18"/>
      <c r="I663" s="18"/>
      <c r="J663" s="18"/>
      <c r="K663" s="18"/>
      <c r="L663" s="18"/>
      <c r="M663" s="96"/>
      <c r="N663" s="18"/>
      <c r="O663" s="96"/>
      <c r="P663" s="19"/>
      <c r="Q663" s="18"/>
      <c r="R663" s="19"/>
      <c r="S663" s="18"/>
      <c r="T663" s="96"/>
      <c r="U663" s="18"/>
      <c r="V663" s="18"/>
      <c r="W663" s="18"/>
      <c r="X663" s="18"/>
    </row>
    <row r="664" spans="2:24" ht="15" customHeight="1">
      <c r="B664" s="18"/>
      <c r="C664" s="18"/>
      <c r="D664" s="18"/>
      <c r="E664" s="18"/>
      <c r="F664" s="18"/>
      <c r="G664" s="96"/>
      <c r="H664" s="18"/>
      <c r="I664" s="18"/>
      <c r="J664" s="18"/>
      <c r="K664" s="18"/>
      <c r="L664" s="18"/>
      <c r="M664" s="96"/>
      <c r="N664" s="18"/>
      <c r="O664" s="96"/>
      <c r="P664" s="19"/>
      <c r="Q664" s="18"/>
      <c r="R664" s="19"/>
      <c r="S664" s="18"/>
      <c r="T664" s="96"/>
      <c r="U664" s="18"/>
      <c r="V664" s="18"/>
      <c r="W664" s="18"/>
      <c r="X664" s="18"/>
    </row>
    <row r="665" spans="2:24" ht="15" customHeight="1">
      <c r="B665" s="18"/>
      <c r="C665" s="18"/>
      <c r="D665" s="18"/>
      <c r="E665" s="18"/>
      <c r="F665" s="18"/>
      <c r="G665" s="96"/>
      <c r="H665" s="18"/>
      <c r="I665" s="18"/>
      <c r="J665" s="18"/>
      <c r="K665" s="18"/>
      <c r="L665" s="18"/>
      <c r="M665" s="96"/>
      <c r="N665" s="18"/>
      <c r="O665" s="96"/>
      <c r="P665" s="19"/>
      <c r="Q665" s="18"/>
      <c r="R665" s="19"/>
      <c r="S665" s="18"/>
      <c r="T665" s="96"/>
      <c r="U665" s="18"/>
      <c r="V665" s="18"/>
      <c r="W665" s="18"/>
      <c r="X665" s="18"/>
    </row>
    <row r="666" spans="2:24" ht="15" customHeight="1">
      <c r="B666" s="18"/>
      <c r="C666" s="18"/>
      <c r="D666" s="18"/>
      <c r="E666" s="18"/>
      <c r="F666" s="18"/>
      <c r="G666" s="96"/>
      <c r="H666" s="18"/>
      <c r="I666" s="18"/>
      <c r="J666" s="18"/>
      <c r="K666" s="18"/>
      <c r="L666" s="18"/>
      <c r="M666" s="96"/>
      <c r="N666" s="18"/>
      <c r="O666" s="96"/>
      <c r="P666" s="19"/>
      <c r="Q666" s="18"/>
      <c r="R666" s="19"/>
      <c r="S666" s="18"/>
      <c r="T666" s="96"/>
      <c r="U666" s="18"/>
      <c r="V666" s="18"/>
      <c r="W666" s="18"/>
      <c r="X666" s="18"/>
    </row>
    <row r="667" spans="2:24" ht="15" customHeight="1">
      <c r="B667" s="18"/>
      <c r="C667" s="18"/>
      <c r="D667" s="18"/>
      <c r="E667" s="18"/>
      <c r="F667" s="18"/>
      <c r="G667" s="96"/>
      <c r="H667" s="18"/>
      <c r="I667" s="18"/>
      <c r="J667" s="18"/>
      <c r="K667" s="18"/>
      <c r="L667" s="18"/>
      <c r="M667" s="96"/>
      <c r="N667" s="18"/>
      <c r="O667" s="96"/>
      <c r="P667" s="19"/>
      <c r="Q667" s="18"/>
      <c r="R667" s="19"/>
      <c r="S667" s="18"/>
      <c r="T667" s="96"/>
      <c r="U667" s="18"/>
      <c r="V667" s="18"/>
      <c r="W667" s="18"/>
      <c r="X667" s="18"/>
    </row>
    <row r="668" spans="2:24" ht="15" customHeight="1">
      <c r="B668" s="18"/>
      <c r="C668" s="18"/>
      <c r="D668" s="18"/>
      <c r="E668" s="18"/>
      <c r="F668" s="18"/>
      <c r="G668" s="96"/>
      <c r="H668" s="18"/>
      <c r="I668" s="18"/>
      <c r="J668" s="18"/>
      <c r="K668" s="18"/>
      <c r="L668" s="18"/>
      <c r="M668" s="96"/>
      <c r="N668" s="18"/>
      <c r="O668" s="96"/>
      <c r="P668" s="19"/>
      <c r="Q668" s="18"/>
      <c r="R668" s="19"/>
      <c r="S668" s="18"/>
      <c r="T668" s="96"/>
      <c r="U668" s="18"/>
      <c r="V668" s="18"/>
      <c r="W668" s="18"/>
      <c r="X668" s="18"/>
    </row>
    <row r="669" spans="2:24" ht="15" customHeight="1">
      <c r="B669" s="18"/>
      <c r="C669" s="18"/>
      <c r="D669" s="18"/>
      <c r="E669" s="18"/>
      <c r="F669" s="18"/>
      <c r="G669" s="96"/>
      <c r="H669" s="18"/>
      <c r="I669" s="18"/>
      <c r="J669" s="18"/>
      <c r="K669" s="18"/>
      <c r="L669" s="18"/>
      <c r="M669" s="96"/>
      <c r="N669" s="18"/>
      <c r="O669" s="96"/>
      <c r="P669" s="19"/>
      <c r="Q669" s="18"/>
      <c r="R669" s="19"/>
      <c r="S669" s="18"/>
      <c r="T669" s="96"/>
      <c r="U669" s="18"/>
      <c r="V669" s="18"/>
      <c r="W669" s="18"/>
      <c r="X669" s="18"/>
    </row>
    <row r="670" spans="2:24" ht="15" customHeight="1">
      <c r="B670" s="18"/>
      <c r="C670" s="18"/>
      <c r="D670" s="18"/>
      <c r="E670" s="18"/>
      <c r="F670" s="18"/>
      <c r="G670" s="96"/>
      <c r="H670" s="18"/>
      <c r="I670" s="18"/>
      <c r="J670" s="18"/>
      <c r="K670" s="18"/>
      <c r="L670" s="18"/>
      <c r="M670" s="96"/>
      <c r="N670" s="18"/>
      <c r="O670" s="96"/>
      <c r="P670" s="19"/>
      <c r="Q670" s="18"/>
      <c r="R670" s="19"/>
      <c r="S670" s="18"/>
      <c r="T670" s="96"/>
      <c r="U670" s="18"/>
      <c r="V670" s="18"/>
      <c r="W670" s="18"/>
      <c r="X670" s="18"/>
    </row>
    <row r="671" spans="2:24" ht="15" customHeight="1">
      <c r="B671" s="18"/>
      <c r="C671" s="18"/>
      <c r="D671" s="18"/>
      <c r="E671" s="18"/>
      <c r="F671" s="18"/>
      <c r="G671" s="96"/>
      <c r="H671" s="18"/>
      <c r="I671" s="18"/>
      <c r="J671" s="18"/>
      <c r="K671" s="18"/>
      <c r="L671" s="18"/>
      <c r="M671" s="96"/>
      <c r="N671" s="18"/>
      <c r="O671" s="96"/>
      <c r="P671" s="19"/>
      <c r="Q671" s="18"/>
      <c r="R671" s="19"/>
      <c r="S671" s="18"/>
      <c r="T671" s="96"/>
      <c r="U671" s="18"/>
      <c r="V671" s="18"/>
      <c r="W671" s="18"/>
      <c r="X671" s="18"/>
    </row>
    <row r="672" spans="2:24" ht="15" customHeight="1">
      <c r="B672" s="18"/>
      <c r="C672" s="18"/>
      <c r="D672" s="18"/>
      <c r="E672" s="18"/>
      <c r="F672" s="18"/>
      <c r="G672" s="96"/>
      <c r="H672" s="18"/>
      <c r="I672" s="18"/>
      <c r="J672" s="18"/>
      <c r="K672" s="18"/>
      <c r="L672" s="18"/>
      <c r="M672" s="96"/>
      <c r="N672" s="18"/>
      <c r="O672" s="96"/>
      <c r="P672" s="19"/>
      <c r="Q672" s="18"/>
      <c r="R672" s="19"/>
      <c r="S672" s="18"/>
      <c r="T672" s="96"/>
      <c r="U672" s="18"/>
      <c r="V672" s="18"/>
      <c r="W672" s="18"/>
      <c r="X672" s="18"/>
    </row>
    <row r="673" spans="2:24" ht="15" customHeight="1">
      <c r="B673" s="18"/>
      <c r="C673" s="18"/>
      <c r="D673" s="18"/>
      <c r="E673" s="18"/>
      <c r="F673" s="18"/>
      <c r="G673" s="96"/>
      <c r="H673" s="18"/>
      <c r="I673" s="18"/>
      <c r="J673" s="18"/>
      <c r="K673" s="18"/>
      <c r="L673" s="18"/>
      <c r="M673" s="96"/>
      <c r="N673" s="18"/>
      <c r="O673" s="96"/>
      <c r="P673" s="19"/>
      <c r="Q673" s="18"/>
      <c r="R673" s="19"/>
      <c r="S673" s="18"/>
      <c r="T673" s="96"/>
      <c r="U673" s="18"/>
      <c r="V673" s="18"/>
      <c r="W673" s="18"/>
      <c r="X673" s="18"/>
    </row>
    <row r="674" spans="2:24" ht="15" customHeight="1">
      <c r="B674" s="18"/>
      <c r="C674" s="18"/>
      <c r="D674" s="18"/>
      <c r="E674" s="18"/>
      <c r="F674" s="18"/>
      <c r="G674" s="96"/>
      <c r="H674" s="18"/>
      <c r="I674" s="18"/>
      <c r="J674" s="18"/>
      <c r="K674" s="18"/>
      <c r="L674" s="18"/>
      <c r="M674" s="96"/>
      <c r="N674" s="18"/>
      <c r="O674" s="96"/>
      <c r="P674" s="19"/>
      <c r="Q674" s="18"/>
      <c r="R674" s="19"/>
      <c r="S674" s="18"/>
      <c r="T674" s="96"/>
      <c r="U674" s="18"/>
      <c r="V674" s="18"/>
      <c r="W674" s="18"/>
      <c r="X674" s="18"/>
    </row>
    <row r="675" spans="2:24" ht="15" customHeight="1">
      <c r="B675" s="18"/>
      <c r="C675" s="18"/>
      <c r="D675" s="18"/>
      <c r="E675" s="18"/>
      <c r="F675" s="18"/>
      <c r="G675" s="96"/>
      <c r="H675" s="18"/>
      <c r="I675" s="18"/>
      <c r="J675" s="18"/>
      <c r="K675" s="18"/>
      <c r="L675" s="18"/>
      <c r="M675" s="96"/>
      <c r="N675" s="18"/>
      <c r="O675" s="96"/>
      <c r="P675" s="19"/>
      <c r="Q675" s="18"/>
      <c r="R675" s="19"/>
      <c r="S675" s="18"/>
      <c r="T675" s="96"/>
      <c r="U675" s="18"/>
      <c r="V675" s="18"/>
      <c r="W675" s="18"/>
      <c r="X675" s="18"/>
    </row>
    <row r="676" spans="2:24" ht="15" customHeight="1">
      <c r="B676" s="18"/>
      <c r="C676" s="18"/>
      <c r="D676" s="18"/>
      <c r="E676" s="18"/>
      <c r="F676" s="18"/>
      <c r="G676" s="96"/>
      <c r="H676" s="18"/>
      <c r="I676" s="18"/>
      <c r="J676" s="18"/>
      <c r="K676" s="18"/>
      <c r="L676" s="18"/>
      <c r="M676" s="96"/>
      <c r="N676" s="18"/>
      <c r="O676" s="96"/>
      <c r="P676" s="19"/>
      <c r="Q676" s="18"/>
      <c r="R676" s="19"/>
      <c r="S676" s="18"/>
      <c r="T676" s="96"/>
      <c r="U676" s="18"/>
      <c r="V676" s="18"/>
      <c r="W676" s="18"/>
      <c r="X676" s="18"/>
    </row>
    <row r="677" spans="2:24" ht="15" customHeight="1">
      <c r="B677" s="18"/>
      <c r="C677" s="18"/>
      <c r="D677" s="18"/>
      <c r="E677" s="18"/>
      <c r="F677" s="18"/>
      <c r="G677" s="96"/>
      <c r="H677" s="18"/>
      <c r="I677" s="18"/>
      <c r="J677" s="18"/>
      <c r="K677" s="18"/>
      <c r="L677" s="18"/>
      <c r="M677" s="96"/>
      <c r="N677" s="18"/>
      <c r="O677" s="96"/>
      <c r="P677" s="19"/>
      <c r="Q677" s="18"/>
      <c r="R677" s="19"/>
      <c r="S677" s="18"/>
      <c r="T677" s="96"/>
      <c r="U677" s="18"/>
      <c r="V677" s="18"/>
      <c r="W677" s="18"/>
      <c r="X677" s="18"/>
    </row>
    <row r="678" spans="2:24" ht="15" customHeight="1">
      <c r="B678" s="18"/>
      <c r="C678" s="18"/>
      <c r="D678" s="18"/>
      <c r="E678" s="18"/>
      <c r="F678" s="18"/>
      <c r="G678" s="96"/>
      <c r="H678" s="18"/>
      <c r="I678" s="18"/>
      <c r="J678" s="18"/>
      <c r="K678" s="18"/>
      <c r="L678" s="18"/>
      <c r="M678" s="96"/>
      <c r="N678" s="18"/>
      <c r="O678" s="96"/>
      <c r="P678" s="19"/>
      <c r="Q678" s="18"/>
      <c r="R678" s="19"/>
      <c r="S678" s="18"/>
      <c r="T678" s="96"/>
      <c r="U678" s="18"/>
      <c r="V678" s="18"/>
      <c r="W678" s="18"/>
      <c r="X678" s="18"/>
    </row>
    <row r="679" spans="2:24" ht="15" customHeight="1">
      <c r="B679" s="18"/>
      <c r="C679" s="18"/>
      <c r="D679" s="18"/>
      <c r="E679" s="18"/>
      <c r="F679" s="18"/>
      <c r="G679" s="96"/>
      <c r="H679" s="18"/>
      <c r="I679" s="18"/>
      <c r="J679" s="18"/>
      <c r="K679" s="18"/>
      <c r="L679" s="18"/>
      <c r="M679" s="96"/>
      <c r="N679" s="18"/>
      <c r="O679" s="96"/>
      <c r="P679" s="19"/>
      <c r="Q679" s="18"/>
      <c r="R679" s="19"/>
      <c r="S679" s="18"/>
      <c r="T679" s="96"/>
      <c r="U679" s="18"/>
      <c r="V679" s="18"/>
      <c r="W679" s="18"/>
      <c r="X679" s="18"/>
    </row>
    <row r="680" spans="2:24" ht="15" customHeight="1">
      <c r="B680" s="18"/>
      <c r="C680" s="18"/>
      <c r="D680" s="18"/>
      <c r="E680" s="18"/>
      <c r="F680" s="18"/>
      <c r="G680" s="96"/>
      <c r="H680" s="18"/>
      <c r="I680" s="18"/>
      <c r="J680" s="18"/>
      <c r="K680" s="18"/>
      <c r="L680" s="18"/>
      <c r="M680" s="96"/>
      <c r="N680" s="18"/>
      <c r="O680" s="96"/>
      <c r="P680" s="19"/>
      <c r="Q680" s="18"/>
      <c r="R680" s="19"/>
      <c r="S680" s="18"/>
      <c r="T680" s="96"/>
      <c r="U680" s="18"/>
      <c r="V680" s="18"/>
      <c r="W680" s="18"/>
      <c r="X680" s="18"/>
    </row>
    <row r="681" spans="2:24" ht="15" customHeight="1">
      <c r="B681" s="18"/>
      <c r="C681" s="18"/>
      <c r="D681" s="18"/>
      <c r="E681" s="18"/>
      <c r="F681" s="18"/>
      <c r="G681" s="96"/>
      <c r="H681" s="18"/>
      <c r="I681" s="18"/>
      <c r="J681" s="18"/>
      <c r="K681" s="18"/>
      <c r="L681" s="18"/>
      <c r="M681" s="96"/>
      <c r="N681" s="18"/>
      <c r="O681" s="96"/>
      <c r="P681" s="19"/>
      <c r="Q681" s="18"/>
      <c r="R681" s="19"/>
      <c r="S681" s="18"/>
      <c r="T681" s="96"/>
      <c r="U681" s="18"/>
      <c r="V681" s="18"/>
      <c r="W681" s="18"/>
      <c r="X681" s="18"/>
    </row>
    <row r="682" spans="2:24" ht="15" customHeight="1">
      <c r="B682" s="18"/>
      <c r="C682" s="18"/>
      <c r="D682" s="18"/>
      <c r="E682" s="18"/>
      <c r="F682" s="18"/>
      <c r="G682" s="96"/>
      <c r="H682" s="18"/>
      <c r="I682" s="18"/>
      <c r="J682" s="18"/>
      <c r="K682" s="18"/>
      <c r="L682" s="18"/>
      <c r="M682" s="96"/>
      <c r="N682" s="18"/>
      <c r="O682" s="96"/>
      <c r="P682" s="19"/>
      <c r="Q682" s="18"/>
      <c r="R682" s="19"/>
      <c r="S682" s="18"/>
      <c r="T682" s="96"/>
      <c r="U682" s="18"/>
      <c r="V682" s="18"/>
      <c r="W682" s="18"/>
      <c r="X682" s="18"/>
    </row>
    <row r="683" spans="2:24" ht="15" customHeight="1">
      <c r="B683" s="18"/>
      <c r="C683" s="18"/>
      <c r="D683" s="18"/>
      <c r="E683" s="18"/>
      <c r="F683" s="18"/>
      <c r="G683" s="96"/>
      <c r="H683" s="18"/>
      <c r="I683" s="18"/>
      <c r="J683" s="18"/>
      <c r="K683" s="18"/>
      <c r="L683" s="18"/>
      <c r="M683" s="96"/>
      <c r="N683" s="18"/>
      <c r="O683" s="96"/>
      <c r="P683" s="19"/>
      <c r="Q683" s="18"/>
      <c r="R683" s="19"/>
      <c r="S683" s="18"/>
      <c r="T683" s="96"/>
      <c r="U683" s="18"/>
      <c r="V683" s="18"/>
      <c r="W683" s="18"/>
      <c r="X683" s="18"/>
    </row>
    <row r="684" spans="2:24" ht="15" customHeight="1">
      <c r="B684" s="18"/>
      <c r="C684" s="18"/>
      <c r="D684" s="18"/>
      <c r="E684" s="18"/>
      <c r="F684" s="18"/>
      <c r="G684" s="96"/>
      <c r="H684" s="18"/>
      <c r="I684" s="18"/>
      <c r="J684" s="18"/>
      <c r="K684" s="18"/>
      <c r="L684" s="18"/>
      <c r="M684" s="96"/>
      <c r="N684" s="18"/>
      <c r="O684" s="96"/>
      <c r="P684" s="19"/>
      <c r="Q684" s="18"/>
      <c r="R684" s="19"/>
      <c r="S684" s="18"/>
      <c r="T684" s="96"/>
      <c r="U684" s="18"/>
      <c r="V684" s="18"/>
      <c r="W684" s="18"/>
      <c r="X684" s="18"/>
    </row>
    <row r="685" spans="2:24" ht="15" customHeight="1">
      <c r="B685" s="18"/>
      <c r="C685" s="18"/>
      <c r="D685" s="18"/>
      <c r="E685" s="18"/>
      <c r="F685" s="18"/>
      <c r="G685" s="96"/>
      <c r="H685" s="18"/>
      <c r="I685" s="18"/>
      <c r="J685" s="18"/>
      <c r="K685" s="18"/>
      <c r="L685" s="18"/>
      <c r="M685" s="96"/>
      <c r="N685" s="18"/>
      <c r="O685" s="96"/>
      <c r="P685" s="19"/>
      <c r="Q685" s="18"/>
      <c r="R685" s="19"/>
      <c r="S685" s="18"/>
      <c r="T685" s="96"/>
      <c r="U685" s="18"/>
      <c r="V685" s="18"/>
      <c r="W685" s="18"/>
      <c r="X685" s="18"/>
    </row>
    <row r="686" spans="2:24" ht="15" customHeight="1">
      <c r="B686" s="18"/>
      <c r="C686" s="18"/>
      <c r="D686" s="18"/>
      <c r="E686" s="18"/>
      <c r="F686" s="18"/>
      <c r="G686" s="96"/>
      <c r="H686" s="18"/>
      <c r="I686" s="18"/>
      <c r="J686" s="18"/>
      <c r="K686" s="18"/>
      <c r="L686" s="18"/>
      <c r="M686" s="96"/>
      <c r="N686" s="18"/>
      <c r="O686" s="96"/>
      <c r="P686" s="19"/>
      <c r="Q686" s="18"/>
      <c r="R686" s="19"/>
      <c r="S686" s="18"/>
      <c r="T686" s="96"/>
      <c r="U686" s="18"/>
      <c r="V686" s="18"/>
      <c r="W686" s="18"/>
      <c r="X686" s="18"/>
    </row>
    <row r="687" spans="2:24" ht="15" customHeight="1">
      <c r="B687" s="18"/>
      <c r="C687" s="18"/>
      <c r="D687" s="18"/>
      <c r="E687" s="18"/>
      <c r="F687" s="18"/>
      <c r="G687" s="96"/>
      <c r="H687" s="18"/>
      <c r="I687" s="18"/>
      <c r="J687" s="18"/>
      <c r="K687" s="18"/>
      <c r="L687" s="18"/>
      <c r="M687" s="96"/>
      <c r="N687" s="18"/>
      <c r="O687" s="96"/>
      <c r="P687" s="19"/>
      <c r="Q687" s="18"/>
      <c r="R687" s="19"/>
      <c r="S687" s="18"/>
      <c r="T687" s="96"/>
      <c r="U687" s="18"/>
      <c r="V687" s="18"/>
      <c r="W687" s="18"/>
      <c r="X687" s="18"/>
    </row>
    <row r="688" spans="2:24" ht="15" customHeight="1">
      <c r="B688" s="18"/>
      <c r="C688" s="18"/>
      <c r="D688" s="18"/>
      <c r="E688" s="18"/>
      <c r="F688" s="18"/>
      <c r="G688" s="96"/>
      <c r="H688" s="18"/>
      <c r="I688" s="18"/>
      <c r="J688" s="18"/>
      <c r="K688" s="18"/>
      <c r="L688" s="18"/>
      <c r="M688" s="96"/>
      <c r="N688" s="18"/>
      <c r="O688" s="96"/>
      <c r="P688" s="19"/>
      <c r="Q688" s="18"/>
      <c r="R688" s="19"/>
      <c r="S688" s="18"/>
      <c r="T688" s="96"/>
      <c r="U688" s="18"/>
      <c r="V688" s="18"/>
      <c r="W688" s="18"/>
      <c r="X688" s="18"/>
    </row>
    <row r="689" spans="2:24" ht="15" customHeight="1">
      <c r="B689" s="18"/>
      <c r="C689" s="18"/>
      <c r="D689" s="18"/>
      <c r="E689" s="18"/>
      <c r="F689" s="18"/>
      <c r="G689" s="96"/>
      <c r="H689" s="18"/>
      <c r="I689" s="18"/>
      <c r="J689" s="18"/>
      <c r="K689" s="18"/>
      <c r="L689" s="18"/>
      <c r="M689" s="96"/>
      <c r="N689" s="18"/>
      <c r="O689" s="96"/>
      <c r="P689" s="19"/>
      <c r="Q689" s="18"/>
      <c r="R689" s="19"/>
      <c r="S689" s="18"/>
      <c r="T689" s="96"/>
      <c r="U689" s="18"/>
      <c r="V689" s="18"/>
      <c r="W689" s="18"/>
      <c r="X689" s="18"/>
    </row>
    <row r="690" spans="2:24" ht="15" customHeight="1">
      <c r="B690" s="18"/>
      <c r="C690" s="18"/>
      <c r="D690" s="18"/>
      <c r="E690" s="18"/>
      <c r="F690" s="18"/>
      <c r="G690" s="96"/>
      <c r="H690" s="18"/>
      <c r="I690" s="18"/>
      <c r="J690" s="18"/>
      <c r="K690" s="18"/>
      <c r="L690" s="18"/>
      <c r="M690" s="96"/>
      <c r="N690" s="18"/>
      <c r="O690" s="96"/>
      <c r="P690" s="19"/>
      <c r="Q690" s="18"/>
      <c r="R690" s="19"/>
      <c r="S690" s="18"/>
      <c r="T690" s="96"/>
      <c r="U690" s="18"/>
      <c r="V690" s="18"/>
      <c r="W690" s="18"/>
      <c r="X690" s="18"/>
    </row>
    <row r="691" spans="2:24" ht="15" customHeight="1">
      <c r="B691" s="18"/>
      <c r="C691" s="18"/>
      <c r="D691" s="18"/>
      <c r="E691" s="18"/>
      <c r="F691" s="18"/>
      <c r="G691" s="96"/>
      <c r="H691" s="18"/>
      <c r="I691" s="18"/>
      <c r="J691" s="18"/>
      <c r="K691" s="18"/>
      <c r="L691" s="18"/>
      <c r="M691" s="96"/>
      <c r="N691" s="18"/>
      <c r="O691" s="96"/>
      <c r="P691" s="19"/>
      <c r="Q691" s="18"/>
      <c r="R691" s="19"/>
      <c r="S691" s="18"/>
      <c r="T691" s="96"/>
      <c r="U691" s="18"/>
      <c r="V691" s="18"/>
      <c r="W691" s="18"/>
      <c r="X691" s="18"/>
    </row>
    <row r="692" spans="2:24" ht="15" customHeight="1">
      <c r="B692" s="18"/>
      <c r="C692" s="18"/>
      <c r="D692" s="18"/>
      <c r="E692" s="18"/>
      <c r="F692" s="18"/>
      <c r="G692" s="96"/>
      <c r="H692" s="18"/>
      <c r="I692" s="18"/>
      <c r="J692" s="18"/>
      <c r="K692" s="18"/>
      <c r="L692" s="18"/>
      <c r="M692" s="96"/>
      <c r="N692" s="18"/>
      <c r="O692" s="96"/>
      <c r="P692" s="19"/>
      <c r="Q692" s="18"/>
      <c r="R692" s="19"/>
      <c r="S692" s="18"/>
      <c r="T692" s="96"/>
      <c r="U692" s="18"/>
      <c r="V692" s="18"/>
      <c r="W692" s="18"/>
      <c r="X692" s="18"/>
    </row>
    <row r="693" spans="2:24" ht="15" customHeight="1">
      <c r="B693" s="18"/>
      <c r="C693" s="18"/>
      <c r="D693" s="18"/>
      <c r="E693" s="18"/>
      <c r="F693" s="18"/>
      <c r="G693" s="96"/>
      <c r="H693" s="18"/>
      <c r="I693" s="18"/>
      <c r="J693" s="18"/>
      <c r="K693" s="18"/>
      <c r="L693" s="18"/>
      <c r="M693" s="96"/>
      <c r="N693" s="18"/>
      <c r="O693" s="96"/>
      <c r="P693" s="19"/>
      <c r="Q693" s="18"/>
      <c r="R693" s="19"/>
      <c r="S693" s="18"/>
      <c r="T693" s="96"/>
      <c r="U693" s="18"/>
      <c r="V693" s="18"/>
      <c r="W693" s="18"/>
      <c r="X693" s="18"/>
    </row>
    <row r="694" spans="2:24" ht="15" customHeight="1">
      <c r="B694" s="18"/>
      <c r="C694" s="18"/>
      <c r="D694" s="18"/>
      <c r="E694" s="18"/>
      <c r="F694" s="18"/>
      <c r="G694" s="96"/>
      <c r="H694" s="18"/>
      <c r="I694" s="18"/>
      <c r="J694" s="18"/>
      <c r="K694" s="18"/>
      <c r="L694" s="18"/>
      <c r="M694" s="96"/>
      <c r="N694" s="18"/>
      <c r="O694" s="96"/>
      <c r="P694" s="19"/>
      <c r="Q694" s="18"/>
      <c r="R694" s="19"/>
      <c r="S694" s="18"/>
      <c r="T694" s="96"/>
      <c r="U694" s="18"/>
      <c r="V694" s="18"/>
      <c r="W694" s="18"/>
      <c r="X694" s="18"/>
    </row>
    <row r="695" spans="2:24" ht="15" customHeight="1">
      <c r="B695" s="18"/>
      <c r="C695" s="18"/>
      <c r="D695" s="18"/>
      <c r="E695" s="18"/>
      <c r="F695" s="18"/>
      <c r="G695" s="96"/>
      <c r="H695" s="18"/>
      <c r="I695" s="18"/>
      <c r="J695" s="18"/>
      <c r="K695" s="18"/>
      <c r="L695" s="18"/>
      <c r="M695" s="96"/>
      <c r="N695" s="18"/>
      <c r="O695" s="96"/>
      <c r="P695" s="19"/>
      <c r="Q695" s="18"/>
      <c r="R695" s="19"/>
      <c r="S695" s="18"/>
      <c r="T695" s="96"/>
      <c r="U695" s="18"/>
      <c r="V695" s="18"/>
      <c r="W695" s="18"/>
      <c r="X695" s="18"/>
    </row>
    <row r="696" spans="2:24" ht="15" customHeight="1">
      <c r="B696" s="37"/>
      <c r="C696" s="37"/>
      <c r="D696" s="37"/>
      <c r="E696" s="37"/>
      <c r="F696" s="37"/>
      <c r="G696" s="163"/>
      <c r="H696" s="37"/>
      <c r="I696" s="37"/>
      <c r="J696" s="37"/>
      <c r="K696" s="37"/>
      <c r="L696" s="37"/>
      <c r="M696" s="163"/>
      <c r="N696" s="37"/>
      <c r="O696" s="163"/>
      <c r="P696" s="38"/>
      <c r="Q696" s="37"/>
      <c r="R696" s="38"/>
      <c r="S696" s="37"/>
      <c r="T696" s="163"/>
      <c r="U696" s="37"/>
      <c r="V696" s="37"/>
      <c r="W696" s="37"/>
      <c r="X696" s="37"/>
    </row>
  </sheetData>
  <phoneticPr fontId="5" type="noConversion"/>
  <conditionalFormatting sqref="K320 L510">
    <cfRule type="cellIs" dxfId="202" priority="380" operator="equal">
      <formula>"Medium"</formula>
    </cfRule>
    <cfRule type="cellIs" dxfId="201" priority="381" operator="equal">
      <formula>"Low"</formula>
    </cfRule>
    <cfRule type="cellIs" dxfId="200" priority="378" operator="equal">
      <formula>"Extremely High"</formula>
    </cfRule>
    <cfRule type="cellIs" dxfId="199" priority="379" operator="equal">
      <formula>"High"</formula>
    </cfRule>
  </conditionalFormatting>
  <conditionalFormatting sqref="L11:L276 K461:L461 L526:L529">
    <cfRule type="cellIs" dxfId="198" priority="303" operator="equal">
      <formula>"Medium"</formula>
    </cfRule>
    <cfRule type="cellIs" dxfId="197" priority="304" operator="equal">
      <formula>"Low"</formula>
    </cfRule>
    <cfRule type="cellIs" dxfId="196" priority="301" operator="equal">
      <formula>"Extremely High"</formula>
    </cfRule>
    <cfRule type="cellIs" dxfId="195" priority="302" operator="equal">
      <formula>"High"</formula>
    </cfRule>
  </conditionalFormatting>
  <conditionalFormatting sqref="L278:L460">
    <cfRule type="cellIs" dxfId="194" priority="44" operator="equal">
      <formula>"Low"</formula>
    </cfRule>
    <cfRule type="cellIs" dxfId="193" priority="41" operator="equal">
      <formula>"Extremely High"</formula>
    </cfRule>
    <cfRule type="cellIs" dxfId="192" priority="42" operator="equal">
      <formula>"High"</formula>
    </cfRule>
    <cfRule type="cellIs" dxfId="191" priority="43" operator="equal">
      <formula>"Medium"</formula>
    </cfRule>
  </conditionalFormatting>
  <conditionalFormatting sqref="L462:L465 L469:L501 K502:L507">
    <cfRule type="cellIs" dxfId="190" priority="128" operator="equal">
      <formula>"Extremely High"</formula>
    </cfRule>
    <cfRule type="cellIs" dxfId="189" priority="129" operator="equal">
      <formula>"High"</formula>
    </cfRule>
    <cfRule type="cellIs" dxfId="188" priority="130" operator="equal">
      <formula>"Medium"</formula>
    </cfRule>
    <cfRule type="cellIs" dxfId="187" priority="131" operator="equal">
      <formula>"Low"</formula>
    </cfRule>
  </conditionalFormatting>
  <conditionalFormatting sqref="L467">
    <cfRule type="cellIs" dxfId="186" priority="97" operator="equal">
      <formula>"Medium"</formula>
    </cfRule>
    <cfRule type="cellIs" dxfId="185" priority="96" operator="equal">
      <formula>"High"</formula>
    </cfRule>
    <cfRule type="cellIs" dxfId="184" priority="95" operator="equal">
      <formula>"Extremely High"</formula>
    </cfRule>
    <cfRule type="cellIs" dxfId="183" priority="98" operator="equal">
      <formula>"Low"</formula>
    </cfRule>
  </conditionalFormatting>
  <conditionalFormatting sqref="L517:L519">
    <cfRule type="cellIs" dxfId="182" priority="114" operator="equal">
      <formula>"Low"</formula>
    </cfRule>
    <cfRule type="cellIs" dxfId="181" priority="113" operator="equal">
      <formula>"Medium"</formula>
    </cfRule>
    <cfRule type="cellIs" dxfId="180" priority="111" operator="equal">
      <formula>"Extremely High"</formula>
    </cfRule>
    <cfRule type="cellIs" dxfId="179" priority="112" operator="equal">
      <formula>"High"</formula>
    </cfRule>
  </conditionalFormatting>
  <conditionalFormatting sqref="L521">
    <cfRule type="cellIs" dxfId="178" priority="103" operator="equal">
      <formula>"Low"</formula>
    </cfRule>
    <cfRule type="cellIs" dxfId="177" priority="102" operator="equal">
      <formula>"Medium"</formula>
    </cfRule>
    <cfRule type="cellIs" dxfId="176" priority="101" operator="equal">
      <formula>"High"</formula>
    </cfRule>
    <cfRule type="cellIs" dxfId="175" priority="100" operator="equal">
      <formula>"Extremely High"</formula>
    </cfRule>
  </conditionalFormatting>
  <conditionalFormatting sqref="N502:O507">
    <cfRule type="cellIs" dxfId="174" priority="133" operator="equal">
      <formula>$X$2</formula>
    </cfRule>
    <cfRule type="cellIs" dxfId="173" priority="134" operator="equal">
      <formula>$X$3</formula>
    </cfRule>
    <cfRule type="cellIs" dxfId="172" priority="132" operator="equal">
      <formula>$X$4</formula>
    </cfRule>
  </conditionalFormatting>
  <conditionalFormatting sqref="O121:O122 N461:O461 O510">
    <cfRule type="cellIs" dxfId="171" priority="307" operator="equal">
      <formula>$X$3</formula>
    </cfRule>
    <cfRule type="cellIs" dxfId="170" priority="305" operator="equal">
      <formula>$X$4</formula>
    </cfRule>
    <cfRule type="cellIs" dxfId="169" priority="306" operator="equal">
      <formula>$X$2</formula>
    </cfRule>
  </conditionalFormatting>
  <conditionalFormatting sqref="O371 O373:O375">
    <cfRule type="cellIs" dxfId="168" priority="70" operator="equal">
      <formula>$X$2</formula>
    </cfRule>
    <cfRule type="cellIs" dxfId="167" priority="71" operator="equal">
      <formula>$X$3</formula>
    </cfRule>
    <cfRule type="cellIs" dxfId="166" priority="69" operator="equal">
      <formula>$X$4</formula>
    </cfRule>
  </conditionalFormatting>
  <conditionalFormatting sqref="O478:O484">
    <cfRule type="cellIs" dxfId="165" priority="253" operator="equal">
      <formula>$X$4</formula>
    </cfRule>
    <cfRule type="cellIs" dxfId="164" priority="255" operator="equal">
      <formula>$X$3</formula>
    </cfRule>
    <cfRule type="cellIs" dxfId="163" priority="254" operator="equal">
      <formula>$X$2</formula>
    </cfRule>
  </conditionalFormatting>
  <conditionalFormatting sqref="O10:P117 O118 Q118 O119:P276 O278:P312 O314:P314 O316:P319 N320:P320 O321:P369 Q429:R443">
    <cfRule type="cellIs" dxfId="162" priority="443" operator="equal">
      <formula>$X$3</formula>
    </cfRule>
    <cfRule type="cellIs" dxfId="161" priority="442" operator="equal">
      <formula>$X$2</formula>
    </cfRule>
  </conditionalFormatting>
  <conditionalFormatting sqref="O119:P276 O321:P369 O10:P117 O118 Q118 O278:P312 O314:P314 O316:P319 N320:P320 Q429:R443">
    <cfRule type="cellIs" dxfId="160" priority="441" operator="equal">
      <formula>$X$4</formula>
    </cfRule>
  </conditionalFormatting>
  <conditionalFormatting sqref="O130:P130">
    <cfRule type="cellIs" dxfId="159" priority="433" operator="equal">
      <formula>$X$4</formula>
    </cfRule>
    <cfRule type="cellIs" dxfId="158" priority="434" operator="equal">
      <formula>$X$2</formula>
    </cfRule>
    <cfRule type="cellIs" dxfId="157" priority="435" operator="equal">
      <formula>$X$3</formula>
    </cfRule>
  </conditionalFormatting>
  <conditionalFormatting sqref="O216:P220">
    <cfRule type="cellIs" dxfId="156" priority="186" operator="equal">
      <formula>$X$3</formula>
    </cfRule>
    <cfRule type="cellIs" dxfId="155" priority="185" operator="equal">
      <formula>$X$2</formula>
    </cfRule>
    <cfRule type="cellIs" dxfId="154" priority="184" operator="equal">
      <formula>$X$4</formula>
    </cfRule>
  </conditionalFormatting>
  <conditionalFormatting sqref="O365:P365">
    <cfRule type="cellIs" dxfId="153" priority="409" operator="equal">
      <formula>$X$2</formula>
    </cfRule>
    <cfRule type="cellIs" dxfId="152" priority="410" operator="equal">
      <formula>$X$3</formula>
    </cfRule>
    <cfRule type="cellIs" dxfId="151" priority="408" operator="equal">
      <formula>$X$4</formula>
    </cfRule>
  </conditionalFormatting>
  <conditionalFormatting sqref="O370:P370">
    <cfRule type="cellIs" dxfId="150" priority="39" operator="equal">
      <formula>$X$3</formula>
    </cfRule>
    <cfRule type="cellIs" dxfId="149" priority="38" operator="equal">
      <formula>$X$2</formula>
    </cfRule>
    <cfRule type="cellIs" dxfId="148" priority="37" operator="equal">
      <formula>$X$4</formula>
    </cfRule>
  </conditionalFormatting>
  <conditionalFormatting sqref="O372:P372">
    <cfRule type="cellIs" dxfId="147" priority="34" operator="equal">
      <formula>$X$4</formula>
    </cfRule>
    <cfRule type="cellIs" dxfId="146" priority="36" operator="equal">
      <formula>$X$3</formula>
    </cfRule>
    <cfRule type="cellIs" dxfId="145" priority="35" operator="equal">
      <formula>$X$2</formula>
    </cfRule>
  </conditionalFormatting>
  <conditionalFormatting sqref="O376:P460">
    <cfRule type="cellIs" dxfId="144" priority="329" operator="equal">
      <formula>$X$4</formula>
    </cfRule>
    <cfRule type="cellIs" dxfId="143" priority="330" operator="equal">
      <formula>$X$2</formula>
    </cfRule>
    <cfRule type="cellIs" dxfId="142" priority="331" operator="equal">
      <formula>$X$3</formula>
    </cfRule>
  </conditionalFormatting>
  <conditionalFormatting sqref="O471:P477">
    <cfRule type="cellIs" dxfId="141" priority="267" operator="equal">
      <formula>$X$3</formula>
    </cfRule>
    <cfRule type="cellIs" dxfId="140" priority="265" operator="equal">
      <formula>$X$4</formula>
    </cfRule>
    <cfRule type="cellIs" dxfId="139" priority="266" operator="equal">
      <formula>$X$2</formula>
    </cfRule>
  </conditionalFormatting>
  <conditionalFormatting sqref="O485:P493">
    <cfRule type="cellIs" dxfId="138" priority="244" operator="equal">
      <formula>$X$4</formula>
    </cfRule>
    <cfRule type="cellIs" dxfId="137" priority="245" operator="equal">
      <formula>$X$2</formula>
    </cfRule>
    <cfRule type="cellIs" dxfId="136" priority="246" operator="equal">
      <formula>$X$3</formula>
    </cfRule>
  </conditionalFormatting>
  <conditionalFormatting sqref="O487:P493 O495:P495 O497:P497 O500:P500">
    <cfRule type="cellIs" dxfId="135" priority="182" operator="equal">
      <formula>$X$3</formula>
    </cfRule>
    <cfRule type="cellIs" dxfId="134" priority="181" operator="equal">
      <formula>$X$2</formula>
    </cfRule>
    <cfRule type="cellIs" dxfId="133" priority="180" operator="equal">
      <formula>$X$4</formula>
    </cfRule>
  </conditionalFormatting>
  <conditionalFormatting sqref="O517:P519">
    <cfRule type="cellIs" dxfId="132" priority="106" operator="equal">
      <formula>$X$3</formula>
    </cfRule>
    <cfRule type="cellIs" dxfId="131" priority="104" operator="equal">
      <formula>$X$4</formula>
    </cfRule>
    <cfRule type="cellIs" dxfId="130" priority="105" operator="equal">
      <formula>$X$2</formula>
    </cfRule>
  </conditionalFormatting>
  <conditionalFormatting sqref="O526:P527">
    <cfRule type="cellIs" dxfId="129" priority="89" operator="equal">
      <formula>$X$3</formula>
    </cfRule>
    <cfRule type="cellIs" dxfId="128" priority="88" operator="equal">
      <formula>$X$2</formula>
    </cfRule>
    <cfRule type="cellIs" dxfId="127" priority="87" operator="equal">
      <formula>$X$4</formula>
    </cfRule>
    <cfRule type="cellIs" dxfId="126" priority="80" operator="equal">
      <formula>$X$3</formula>
    </cfRule>
    <cfRule type="cellIs" dxfId="125" priority="79" operator="equal">
      <formula>$X$2</formula>
    </cfRule>
    <cfRule type="cellIs" dxfId="124" priority="78" operator="equal">
      <formula>$X$4</formula>
    </cfRule>
  </conditionalFormatting>
  <conditionalFormatting sqref="P121">
    <cfRule type="cellIs" dxfId="123" priority="93" operator="equal">
      <formula>$X$3</formula>
    </cfRule>
    <cfRule type="cellIs" dxfId="122" priority="92" operator="equal">
      <formula>$X$2</formula>
    </cfRule>
    <cfRule type="cellIs" dxfId="121" priority="91" operator="equal">
      <formula>$X$4</formula>
    </cfRule>
  </conditionalFormatting>
  <conditionalFormatting sqref="P371 P373:P375">
    <cfRule type="cellIs" dxfId="120" priority="68" operator="equal">
      <formula>$X$3</formula>
    </cfRule>
    <cfRule type="cellIs" dxfId="119" priority="67" operator="equal">
      <formula>$X$2</formula>
    </cfRule>
    <cfRule type="cellIs" dxfId="118" priority="66" operator="equal">
      <formula>$X$4</formula>
    </cfRule>
  </conditionalFormatting>
  <conditionalFormatting sqref="P478:P484">
    <cfRule type="cellIs" dxfId="117" priority="256" operator="equal">
      <formula>$X$4</formula>
    </cfRule>
    <cfRule type="cellIs" dxfId="116" priority="257" operator="equal">
      <formula>$X$2</formula>
    </cfRule>
    <cfRule type="cellIs" dxfId="115" priority="258" operator="equal">
      <formula>$X$3</formula>
    </cfRule>
  </conditionalFormatting>
  <conditionalFormatting sqref="Q121:Q122">
    <cfRule type="cellIs" dxfId="114" priority="126" operator="equal">
      <formula>$X$2</formula>
    </cfRule>
    <cfRule type="cellIs" dxfId="113" priority="125" operator="equal">
      <formula>$X$4</formula>
    </cfRule>
    <cfRule type="cellIs" dxfId="112" priority="127" operator="equal">
      <formula>$X$3</formula>
    </cfRule>
  </conditionalFormatting>
  <conditionalFormatting sqref="S278:T278">
    <cfRule type="cellIs" dxfId="111" priority="360" operator="equal">
      <formula>"Closed"</formula>
    </cfRule>
    <cfRule type="cellIs" dxfId="110" priority="355" operator="equal">
      <formula>"""Closed"""</formula>
    </cfRule>
  </conditionalFormatting>
  <conditionalFormatting sqref="T1:T155 T157:T175 T180 T279:T314 T316 T321:T493 T495 T497 T500 T507 T530:T1048576">
    <cfRule type="cellIs" dxfId="109" priority="423" operator="equal">
      <formula>"Closed"</formula>
    </cfRule>
  </conditionalFormatting>
  <conditionalFormatting sqref="T10:T155">
    <cfRule type="cellIs" dxfId="108" priority="94" operator="equal">
      <formula>"""Closed"""</formula>
    </cfRule>
  </conditionalFormatting>
  <conditionalFormatting sqref="T157:T175 T180 T279:T314 T507">
    <cfRule type="cellIs" dxfId="107" priority="343" operator="equal">
      <formula>"""Closed"""</formula>
    </cfRule>
  </conditionalFormatting>
  <conditionalFormatting sqref="T189:T277 S320">
    <cfRule type="cellIs" dxfId="106" priority="382" operator="equal">
      <formula>"""Closed"""</formula>
    </cfRule>
    <cfRule type="cellIs" dxfId="105" priority="383" operator="equal">
      <formula>"Closed"</formula>
    </cfRule>
  </conditionalFormatting>
  <conditionalFormatting sqref="T316">
    <cfRule type="cellIs" dxfId="104" priority="407" operator="equal">
      <formula>"""Closed"""</formula>
    </cfRule>
  </conditionalFormatting>
  <conditionalFormatting sqref="T318:T319">
    <cfRule type="cellIs" dxfId="103" priority="354" operator="equal">
      <formula>"Closed"</formula>
    </cfRule>
    <cfRule type="cellIs" dxfId="102" priority="353" operator="equal">
      <formula>"""Closed"""</formula>
    </cfRule>
  </conditionalFormatting>
  <conditionalFormatting sqref="T321:T458">
    <cfRule type="cellIs" dxfId="101" priority="40" operator="equal">
      <formula>"""Closed"""</formula>
    </cfRule>
  </conditionalFormatting>
  <conditionalFormatting sqref="T474:T493">
    <cfRule type="cellIs" dxfId="100" priority="90" operator="equal">
      <formula>"""Closed"""</formula>
    </cfRule>
  </conditionalFormatting>
  <conditionalFormatting sqref="T495 T497 T500">
    <cfRule type="cellIs" dxfId="99" priority="183" operator="equal">
      <formula>"""Closed"""</formula>
    </cfRule>
  </conditionalFormatting>
  <conditionalFormatting sqref="T510:T527">
    <cfRule type="cellIs" dxfId="98" priority="86" operator="equal">
      <formula>"Closed"</formula>
    </cfRule>
  </conditionalFormatting>
  <conditionalFormatting sqref="T517:T519">
    <cfRule type="cellIs" dxfId="97" priority="107" operator="equal">
      <formula>"""Closed"""</formula>
    </cfRule>
  </conditionalFormatting>
  <conditionalFormatting sqref="T521">
    <cfRule type="cellIs" dxfId="96" priority="99" operator="equal">
      <formula>"""Closed"""</formula>
    </cfRule>
  </conditionalFormatting>
  <conditionalFormatting sqref="T526:T527">
    <cfRule type="cellIs" dxfId="95" priority="85" operator="equal">
      <formula>"""Closed"""</formula>
    </cfRule>
  </conditionalFormatting>
  <conditionalFormatting sqref="U462">
    <cfRule type="cellIs" dxfId="94" priority="215" operator="equal">
      <formula>"Closed"</formula>
    </cfRule>
  </conditionalFormatting>
  <conditionalFormatting sqref="O528:P528">
    <cfRule type="cellIs" dxfId="93" priority="32" operator="equal">
      <formula>$X$2</formula>
    </cfRule>
    <cfRule type="cellIs" dxfId="92" priority="33" operator="equal">
      <formula>$X$3</formula>
    </cfRule>
  </conditionalFormatting>
  <conditionalFormatting sqref="O528:P528">
    <cfRule type="cellIs" dxfId="91" priority="31" operator="equal">
      <formula>$X$4</formula>
    </cfRule>
  </conditionalFormatting>
  <conditionalFormatting sqref="T528:T529">
    <cfRule type="cellIs" dxfId="90" priority="29" operator="equal">
      <formula>"""Closed"""</formula>
    </cfRule>
    <cfRule type="cellIs" dxfId="89" priority="30" operator="equal">
      <formula>"Closed"</formula>
    </cfRule>
  </conditionalFormatting>
  <conditionalFormatting sqref="O529:P529">
    <cfRule type="cellIs" dxfId="88" priority="27" operator="equal">
      <formula>$X$2</formula>
    </cfRule>
    <cfRule type="cellIs" dxfId="87" priority="28" operator="equal">
      <formula>$X$3</formula>
    </cfRule>
  </conditionalFormatting>
  <conditionalFormatting sqref="O529:P529">
    <cfRule type="cellIs" dxfId="86" priority="26" operator="equal">
      <formula>$X$4</formula>
    </cfRule>
  </conditionalFormatting>
  <conditionalFormatting sqref="T502">
    <cfRule type="cellIs" dxfId="85" priority="24" operator="equal">
      <formula>"""Closed"""</formula>
    </cfRule>
    <cfRule type="cellIs" dxfId="84" priority="25" operator="equal">
      <formula>"Closed"</formula>
    </cfRule>
  </conditionalFormatting>
  <conditionalFormatting sqref="T503">
    <cfRule type="cellIs" dxfId="83" priority="22" operator="equal">
      <formula>"""Closed"""</formula>
    </cfRule>
    <cfRule type="cellIs" dxfId="82" priority="23" operator="equal">
      <formula>"Closed"</formula>
    </cfRule>
  </conditionalFormatting>
  <conditionalFormatting sqref="T504">
    <cfRule type="cellIs" dxfId="81" priority="20" operator="equal">
      <formula>"""Closed"""</formula>
    </cfRule>
    <cfRule type="cellIs" dxfId="80" priority="21" operator="equal">
      <formula>"Closed"</formula>
    </cfRule>
  </conditionalFormatting>
  <conditionalFormatting sqref="T505:T506">
    <cfRule type="cellIs" dxfId="79" priority="18" operator="equal">
      <formula>"""Closed"""</formula>
    </cfRule>
    <cfRule type="cellIs" dxfId="78" priority="19" operator="equal">
      <formula>"Closed"</formula>
    </cfRule>
  </conditionalFormatting>
  <conditionalFormatting sqref="L530:L533">
    <cfRule type="cellIs" dxfId="77" priority="10" operator="equal">
      <formula>"Extremely High"</formula>
    </cfRule>
    <cfRule type="cellIs" dxfId="76" priority="11" operator="equal">
      <formula>"High"</formula>
    </cfRule>
    <cfRule type="cellIs" dxfId="75" priority="12" operator="equal">
      <formula>"Medium"</formula>
    </cfRule>
    <cfRule type="cellIs" dxfId="74" priority="13" operator="equal">
      <formula>"Low"</formula>
    </cfRule>
  </conditionalFormatting>
  <conditionalFormatting sqref="N530:O530">
    <cfRule type="cellIs" dxfId="73" priority="14" operator="equal">
      <formula>$X$4</formula>
    </cfRule>
    <cfRule type="cellIs" dxfId="72" priority="15" operator="equal">
      <formula>$X$2</formula>
    </cfRule>
    <cfRule type="cellIs" dxfId="71" priority="16" operator="equal">
      <formula>$X$3</formula>
    </cfRule>
  </conditionalFormatting>
  <conditionalFormatting sqref="T530:T533">
    <cfRule type="cellIs" dxfId="70" priority="17" operator="equal">
      <formula>"""Closed"""</formula>
    </cfRule>
  </conditionalFormatting>
  <conditionalFormatting sqref="N531:O531">
    <cfRule type="cellIs" dxfId="69" priority="7" operator="equal">
      <formula>$X$4</formula>
    </cfRule>
    <cfRule type="cellIs" dxfId="68" priority="8" operator="equal">
      <formula>$X$2</formula>
    </cfRule>
    <cfRule type="cellIs" dxfId="67" priority="9" operator="equal">
      <formula>$X$3</formula>
    </cfRule>
  </conditionalFormatting>
  <conditionalFormatting sqref="N532:O532">
    <cfRule type="cellIs" dxfId="66" priority="4" operator="equal">
      <formula>$X$4</formula>
    </cfRule>
    <cfRule type="cellIs" dxfId="65" priority="5" operator="equal">
      <formula>$X$2</formula>
    </cfRule>
    <cfRule type="cellIs" dxfId="64" priority="6" operator="equal">
      <formula>$X$3</formula>
    </cfRule>
  </conditionalFormatting>
  <conditionalFormatting sqref="N533:O533">
    <cfRule type="cellIs" dxfId="63" priority="1" operator="equal">
      <formula>$X$4</formula>
    </cfRule>
    <cfRule type="cellIs" dxfId="62" priority="2" operator="equal">
      <formula>$X$2</formula>
    </cfRule>
    <cfRule type="cellIs" dxfId="61" priority="3" operator="equal">
      <formula>$X$3</formula>
    </cfRule>
  </conditionalFormatting>
  <dataValidations count="3">
    <dataValidation type="list" allowBlank="1" showInputMessage="1" showErrorMessage="1" sqref="J1:J9 J419:J455 J180 L400:L402 L444 L456:L459 L497:L498 L87:L226 L278:L369 L467 L10:L84 L228:L276 L469:L494 L521 L462:L465 L526:L529 J457:J507 L376:L395 J370:J375 J510:J527 J530:J1048576" xr:uid="{9E4D3F77-64E5-4847-A25E-BF892A4C0156}">
      <formula1>$Y$2:$Y$5</formula1>
    </dataValidation>
    <dataValidation type="list" allowBlank="1" showInputMessage="1" showErrorMessage="1" sqref="I278:I318 I474:I477 H379 H382 H392 H395 H402 I456:I460 I11:I53 I526:I529 I59:I276 I376:I443 I355:I369 I320:I351" xr:uid="{97D0D1B7-E21F-4D73-885F-6174E9F794CA}">
      <formula1>Issue_Type</formula1>
    </dataValidation>
    <dataValidation type="list" allowBlank="1" showInputMessage="1" showErrorMessage="1" sqref="O444:P444 O456:P460 P478:P484 O471:P477 O501 O510:P510 O485:P493 O11:P276 P517:P519 O521:P521 O517 P494:P501 O497:O499 O278:P395 O528:P529" xr:uid="{66E40665-9799-4748-B49C-6C68DE69E11D}">
      <formula1>$X$2:$X$4</formula1>
    </dataValidation>
  </dataValidations>
  <hyperlinks>
    <hyperlink ref="V352" r:id="rId1" display="https://alfanargroup.sharepoint.com/:x:/s/ProjectPlanningdepartment/EVCy_S1B3ZhJqFG5mO3UVwQBo6GdvnwjHtfiLZ_rc_9lFQ?e=K6YZ2W" xr:uid="{B5AA0242-5684-4E08-BAE4-E9B5C02E6AF9}"/>
    <hyperlink ref="V203" r:id="rId2" xr:uid="{8FE4E22F-3EA7-4CDA-8B10-EBDCC5701750}"/>
    <hyperlink ref="V89" r:id="rId3" xr:uid="{FD97C1CE-2979-4936-81AD-5399BE1723A2}"/>
    <hyperlink ref="V436" r:id="rId4" xr:uid="{CBEB3085-58DA-46CE-83DE-8DF381E4CCB3}"/>
    <hyperlink ref="V127" r:id="rId5" xr:uid="{3A0C9479-EC80-4F57-B313-12A2C1695DDE}"/>
    <hyperlink ref="V125" r:id="rId6" xr:uid="{B251E960-08DC-40D0-A22A-48153908108F}"/>
    <hyperlink ref="V423" r:id="rId7" xr:uid="{06E62040-C909-43C6-BAF1-8C37812E4914}"/>
    <hyperlink ref="V131" r:id="rId8" xr:uid="{E0312FA1-193E-4474-BCB0-DE6B235FA9D5}"/>
    <hyperlink ref="V23" r:id="rId9" xr:uid="{47B3B452-0ED7-492F-8EC4-AD5B3E06BA3F}"/>
    <hyperlink ref="V416" r:id="rId10" xr:uid="{1775FA35-1764-416F-95F0-B3F0E50336CE}"/>
    <hyperlink ref="V293" r:id="rId11" xr:uid="{898752B4-F134-41D1-87A1-E8E69CE54348}"/>
    <hyperlink ref="V71" r:id="rId12" xr:uid="{BBC0BA15-AD6B-4DDE-AAE4-E58B7FFEED7A}"/>
    <hyperlink ref="V417" r:id="rId13" xr:uid="{31B956C3-7B39-457B-A9A6-85049B1245B9}"/>
    <hyperlink ref="V419" r:id="rId14" xr:uid="{62A58FD8-A2E9-4FE8-8D89-2E2C384E7F4A}"/>
    <hyperlink ref="V296" r:id="rId15" xr:uid="{DBBB5FB7-AE44-4F30-B40B-EEF5B30D9DF7}"/>
    <hyperlink ref="X8" r:id="rId16" xr:uid="{C4DCD07E-C6CC-4D63-95EA-92144939BF73}"/>
    <hyperlink ref="V253" r:id="rId17" xr:uid="{61F97216-0294-4060-AD86-CD4200F9EBCC}"/>
    <hyperlink ref="V413" r:id="rId18" display="https://alfanargroup-my.sharepoint.com/:b:/g/personal/irfan_shaik_alfanar_com/EbTW6uuxC-FChmlDle4mBF8BbHcn_lTAZzLz_IUJip4-gw?e=MQlJ8q" xr:uid="{2A0DD72D-944F-4D97-B5BD-F68D587BC9F1}"/>
    <hyperlink ref="V297" r:id="rId19" xr:uid="{0ED6EDCD-31BD-413D-9AEE-25A0B335020D}"/>
    <hyperlink ref="V261" r:id="rId20" xr:uid="{7FC75BE7-1033-45DD-9614-D91D0F62EFD8}"/>
    <hyperlink ref="V262" r:id="rId21" xr:uid="{8FE84058-8B97-413E-BEC2-B55D678F03A7}"/>
  </hyperlinks>
  <pageMargins left="0.7" right="0.7" top="0.75" bottom="0.75" header="0.3" footer="0.3"/>
  <pageSetup orientation="portrait" r:id="rId22"/>
  <headerFooter>
    <oddFooter>&amp;C_x000D_&amp;1#&amp;"Calibri"&amp;10&amp;K0000FF CLASSIFICATION: Public</oddFooter>
  </headerFooter>
  <drawing r:id="rId23"/>
  <tableParts count="1">
    <tablePart r:id="rId24"/>
  </tableParts>
  <extLst>
    <ext xmlns:x14="http://schemas.microsoft.com/office/spreadsheetml/2009/9/main" uri="{CCE6A557-97BC-4b89-ADB6-D9C93CAAB3DF}">
      <x14:dataValidations xmlns:xm="http://schemas.microsoft.com/office/excel/2006/main" count="2">
        <x14:dataValidation type="list" allowBlank="1" showInputMessage="1" showErrorMessage="1" xr:uid="{BAFAEEDD-F373-4C46-ABE4-D0FD23D524AE}">
          <x14:formula1>
            <xm:f>Lists!$D$2:$D$18</xm:f>
          </x14:formula1>
          <xm:sqref>I444:I455</xm:sqref>
        </x14:dataValidation>
        <x14:dataValidation type="list" allowBlank="1" showInputMessage="1" showErrorMessage="1" xr:uid="{E8B8DD96-FD47-42FB-90BB-24D0A9492F75}">
          <x14:formula1>
            <xm:f>Lists!$G$2:$G$9</xm:f>
          </x14:formula1>
          <xm:sqref>G11:G84 G526:G529 G87:G478</xm:sqref>
        </x14:dataValidation>
      </x14:dataValidations>
    </ext>
    <ext xmlns:x15="http://schemas.microsoft.com/office/spreadsheetml/2010/11/main" uri="{3A4CF648-6AED-40f4-86FF-DC5316D8AED3}">
      <x14:slicerList xmlns:x14="http://schemas.microsoft.com/office/spreadsheetml/2009/9/main">
        <x14:slicer r:id="rId2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E361-C732-4628-92FD-75270D6FB44C}">
  <sheetPr codeName="Sheet3"/>
  <dimension ref="A3:U96"/>
  <sheetViews>
    <sheetView showGridLines="0" topLeftCell="H9" zoomScale="70" zoomScaleNormal="70" workbookViewId="0">
      <selection activeCell="G37" sqref="G37"/>
    </sheetView>
  </sheetViews>
  <sheetFormatPr defaultColWidth="9.140625" defaultRowHeight="14.45"/>
  <cols>
    <col min="1" max="1" width="30.7109375" style="55" bestFit="1" customWidth="1"/>
    <col min="2" max="2" width="36.5703125" style="55" bestFit="1" customWidth="1"/>
    <col min="3" max="7" width="9.140625" style="55"/>
    <col min="8" max="8" width="8.5703125" style="55" customWidth="1"/>
    <col min="9" max="9" width="9.140625" style="55"/>
    <col min="10" max="12" width="19" style="55" customWidth="1"/>
    <col min="13" max="13" width="8.42578125" style="55" customWidth="1"/>
    <col min="14" max="14" width="17.5703125" style="55" bestFit="1" customWidth="1"/>
    <col min="15" max="16" width="19" style="55" customWidth="1"/>
    <col min="17" max="17" width="8.42578125" style="55" customWidth="1"/>
    <col min="18" max="20" width="18.42578125" style="55" customWidth="1"/>
    <col min="21" max="21" width="9.140625" style="55"/>
    <col min="22" max="24" width="19" style="55" customWidth="1"/>
    <col min="25" max="16384" width="9.140625" style="55"/>
  </cols>
  <sheetData>
    <row r="3" spans="1:21" ht="15" thickBot="1">
      <c r="A3" s="55" t="s">
        <v>2061</v>
      </c>
      <c r="B3" s="55">
        <f>COUNTA(Table1[Project])</f>
        <v>508</v>
      </c>
    </row>
    <row r="4" spans="1:21" ht="15" customHeight="1">
      <c r="I4" s="227" t="s">
        <v>2062</v>
      </c>
      <c r="J4" s="228"/>
      <c r="K4" s="228"/>
      <c r="L4" s="228"/>
      <c r="M4" s="228"/>
      <c r="N4" s="228"/>
      <c r="O4" s="228"/>
      <c r="P4" s="228"/>
      <c r="Q4" s="228"/>
      <c r="R4" s="228"/>
      <c r="S4" s="228"/>
      <c r="T4" s="228"/>
      <c r="U4" s="229"/>
    </row>
    <row r="5" spans="1:21" ht="15" customHeight="1">
      <c r="I5" s="230"/>
      <c r="J5" s="231"/>
      <c r="K5" s="231"/>
      <c r="L5" s="231"/>
      <c r="M5" s="231"/>
      <c r="N5" s="231"/>
      <c r="O5" s="231"/>
      <c r="P5" s="231"/>
      <c r="Q5" s="231"/>
      <c r="R5" s="231"/>
      <c r="S5" s="231"/>
      <c r="T5" s="231"/>
      <c r="U5" s="232"/>
    </row>
    <row r="6" spans="1:21" ht="15" customHeight="1" thickBot="1">
      <c r="I6" s="233"/>
      <c r="J6" s="234"/>
      <c r="K6" s="234"/>
      <c r="L6" s="234"/>
      <c r="M6" s="234"/>
      <c r="N6" s="234"/>
      <c r="O6" s="234"/>
      <c r="P6" s="234"/>
      <c r="Q6" s="234"/>
      <c r="R6" s="234"/>
      <c r="S6" s="234"/>
      <c r="T6" s="234"/>
      <c r="U6" s="235"/>
    </row>
    <row r="7" spans="1:21">
      <c r="I7" s="89"/>
      <c r="J7" s="90"/>
      <c r="K7" s="90"/>
      <c r="L7" s="90"/>
      <c r="M7" s="90"/>
      <c r="N7" s="90"/>
      <c r="O7" s="90"/>
      <c r="P7" s="90"/>
      <c r="Q7" s="90"/>
      <c r="R7" s="90"/>
      <c r="S7" s="90"/>
      <c r="T7" s="90"/>
      <c r="U7" s="91"/>
    </row>
    <row r="8" spans="1:21">
      <c r="I8" s="58"/>
      <c r="U8" s="59"/>
    </row>
    <row r="9" spans="1:21">
      <c r="I9" s="58"/>
      <c r="U9" s="59"/>
    </row>
    <row r="10" spans="1:21">
      <c r="I10" s="58"/>
      <c r="U10" s="59"/>
    </row>
    <row r="11" spans="1:21">
      <c r="I11" s="58"/>
      <c r="U11" s="59"/>
    </row>
    <row r="12" spans="1:21">
      <c r="A12" s="55" t="s">
        <v>53</v>
      </c>
      <c r="B12" s="68">
        <f>COUNTIFS(Table1[Issue owner],A12,Table1[Status],"open")</f>
        <v>83</v>
      </c>
      <c r="I12" s="58"/>
      <c r="U12" s="59"/>
    </row>
    <row r="13" spans="1:21" ht="15.95">
      <c r="A13" s="55" t="s">
        <v>445</v>
      </c>
      <c r="B13" s="68">
        <f>COUNTIFS(Table1[Issue owner],A13,Table1[Status],"open")</f>
        <v>1</v>
      </c>
      <c r="I13" s="58"/>
      <c r="S13" s="92"/>
      <c r="U13" s="59"/>
    </row>
    <row r="14" spans="1:21">
      <c r="A14" s="55" t="s">
        <v>69</v>
      </c>
      <c r="B14" s="68">
        <f>COUNTIFS(Table1[Issue owner],A14,Table1[Status],"open")</f>
        <v>87</v>
      </c>
      <c r="I14" s="58"/>
      <c r="U14" s="59"/>
    </row>
    <row r="15" spans="1:21">
      <c r="A15" s="55" t="s">
        <v>39</v>
      </c>
      <c r="B15" s="68">
        <f>COUNTIFS(Table1[Issue owner],A15,Table1[Status],"open")</f>
        <v>50</v>
      </c>
      <c r="I15" s="58"/>
      <c r="U15" s="59"/>
    </row>
    <row r="16" spans="1:21">
      <c r="B16" s="55">
        <f>SUM(B12:B15)</f>
        <v>221</v>
      </c>
      <c r="I16" s="58"/>
      <c r="U16" s="59"/>
    </row>
    <row r="17" spans="1:21">
      <c r="A17" s="55" t="s">
        <v>69</v>
      </c>
      <c r="B17" s="55" t="s">
        <v>2063</v>
      </c>
      <c r="I17" s="58"/>
      <c r="U17" s="59"/>
    </row>
    <row r="18" spans="1:21">
      <c r="A18" s="55" t="s">
        <v>95</v>
      </c>
      <c r="B18" s="68">
        <f>COUNTIFS(Table1[Name],Statistics!A18,Table1[Status],"open")</f>
        <v>2</v>
      </c>
      <c r="I18" s="58"/>
      <c r="U18" s="59"/>
    </row>
    <row r="19" spans="1:21">
      <c r="A19" s="55" t="s">
        <v>632</v>
      </c>
      <c r="B19" s="68">
        <f>COUNTIFS(Table1[Name],Statistics!A19,Table1[Status],"open")</f>
        <v>0</v>
      </c>
      <c r="I19" s="58"/>
      <c r="U19" s="59"/>
    </row>
    <row r="20" spans="1:21">
      <c r="A20" s="55" t="s">
        <v>637</v>
      </c>
      <c r="B20" s="68">
        <f>COUNTIFS(Table1[Name],Statistics!A20,Table1[Status],"open")</f>
        <v>2</v>
      </c>
      <c r="I20" s="58"/>
      <c r="U20" s="59"/>
    </row>
    <row r="21" spans="1:21">
      <c r="A21" s="55" t="s">
        <v>128</v>
      </c>
      <c r="B21" s="68">
        <f>COUNTIFS(Table1[Name],Statistics!A21,Table1[Status],"open")</f>
        <v>17</v>
      </c>
      <c r="I21" s="58"/>
      <c r="U21" s="59"/>
    </row>
    <row r="22" spans="1:21">
      <c r="A22" s="55" t="s">
        <v>70</v>
      </c>
      <c r="B22" s="68">
        <f>COUNTIFS(Table1[Name],Statistics!A22,Table1[Status],"open")</f>
        <v>21</v>
      </c>
      <c r="I22" s="58"/>
      <c r="U22" s="59"/>
    </row>
    <row r="23" spans="1:21">
      <c r="A23" s="55" t="s">
        <v>1474</v>
      </c>
      <c r="B23" s="68">
        <f>COUNTIFS(Table1[Name],Statistics!A23,Table1[Status],"open")</f>
        <v>1</v>
      </c>
      <c r="I23" s="58"/>
      <c r="U23" s="59"/>
    </row>
    <row r="24" spans="1:21">
      <c r="A24" s="55" t="s">
        <v>278</v>
      </c>
      <c r="B24" s="68">
        <f>COUNTIFS(Table1[Name],Statistics!A24,Table1[Status],"open")</f>
        <v>1</v>
      </c>
      <c r="I24" s="58"/>
      <c r="J24" s="56" t="s">
        <v>30</v>
      </c>
      <c r="K24" s="56" t="s">
        <v>2064</v>
      </c>
      <c r="L24" s="56" t="s">
        <v>2065</v>
      </c>
      <c r="M24" s="93"/>
      <c r="N24" s="56" t="s">
        <v>2066</v>
      </c>
      <c r="O24" s="56" t="s">
        <v>2067</v>
      </c>
      <c r="P24" s="56" t="s">
        <v>2065</v>
      </c>
      <c r="Q24" s="93"/>
      <c r="R24" s="56" t="s">
        <v>2068</v>
      </c>
      <c r="S24" s="56" t="s">
        <v>2067</v>
      </c>
      <c r="T24" s="56" t="s">
        <v>2065</v>
      </c>
      <c r="U24" s="59"/>
    </row>
    <row r="25" spans="1:21">
      <c r="A25" s="55" t="s">
        <v>708</v>
      </c>
      <c r="B25" s="68">
        <f>COUNTIFS(Table1[Name],Statistics!A25,Table1[Status],"open")</f>
        <v>2</v>
      </c>
      <c r="I25" s="58"/>
      <c r="J25" s="57" t="s">
        <v>65</v>
      </c>
      <c r="K25" s="53">
        <f>B87</f>
        <v>222</v>
      </c>
      <c r="L25" s="54">
        <f>K25/$K$27</f>
        <v>0.43960396039603961</v>
      </c>
      <c r="M25" s="93"/>
      <c r="N25" s="57" t="s">
        <v>4</v>
      </c>
      <c r="O25" s="53">
        <f>COUNTIFS(Table1[Impact],Statistics!N25,Table1[Status],"open")</f>
        <v>97</v>
      </c>
      <c r="P25" s="54">
        <f>O25/$O$29</f>
        <v>0.43693693693693691</v>
      </c>
      <c r="Q25" s="93"/>
      <c r="R25" s="57" t="s">
        <v>53</v>
      </c>
      <c r="S25" s="53">
        <f>B12+B13</f>
        <v>84</v>
      </c>
      <c r="T25" s="54">
        <f>S25/$S$28</f>
        <v>0.38009049773755654</v>
      </c>
      <c r="U25" s="59"/>
    </row>
    <row r="26" spans="1:21">
      <c r="A26" s="55" t="s">
        <v>605</v>
      </c>
      <c r="B26" s="68">
        <f>COUNTIFS(Table1[Name],Statistics!A26,Table1[Status],"open")</f>
        <v>1</v>
      </c>
      <c r="I26" s="58"/>
      <c r="J26" s="57" t="s">
        <v>45</v>
      </c>
      <c r="K26" s="53">
        <f>B88</f>
        <v>283</v>
      </c>
      <c r="L26" s="54">
        <f>K26/$K$27</f>
        <v>0.56039603960396045</v>
      </c>
      <c r="M26" s="93"/>
      <c r="N26" s="57" t="s">
        <v>6</v>
      </c>
      <c r="O26" s="53">
        <f>COUNTIFS(Table1[Impact],Statistics!N26,Table1[Status],"open")</f>
        <v>102</v>
      </c>
      <c r="P26" s="54">
        <f>O26/$O$29</f>
        <v>0.45945945945945948</v>
      </c>
      <c r="Q26" s="93"/>
      <c r="R26" s="57" t="s">
        <v>39</v>
      </c>
      <c r="S26" s="53">
        <f>B15</f>
        <v>50</v>
      </c>
      <c r="T26" s="54">
        <f t="shared" ref="T26:T27" si="0">S26/$S$28</f>
        <v>0.22624434389140272</v>
      </c>
      <c r="U26" s="59"/>
    </row>
    <row r="27" spans="1:21">
      <c r="A27" s="55" t="s">
        <v>964</v>
      </c>
      <c r="B27" s="68">
        <f>COUNTIFS(Table1[Name],Statistics!A27,Table1[Status],"open")</f>
        <v>0</v>
      </c>
      <c r="I27" s="58"/>
      <c r="J27" s="57" t="s">
        <v>2061</v>
      </c>
      <c r="K27" s="53">
        <f>SUM(K25:K26)</f>
        <v>505</v>
      </c>
      <c r="L27" s="54">
        <f>K27/$K$27</f>
        <v>1</v>
      </c>
      <c r="M27" s="93"/>
      <c r="N27" s="57" t="s">
        <v>8</v>
      </c>
      <c r="O27" s="53">
        <f>COUNTIFS(Table1[Impact],Statistics!N27,Table1[Status],"open")</f>
        <v>23</v>
      </c>
      <c r="P27" s="54">
        <f>O27/$O$29</f>
        <v>0.1036036036036036</v>
      </c>
      <c r="Q27" s="93"/>
      <c r="R27" s="57" t="s">
        <v>69</v>
      </c>
      <c r="S27" s="53">
        <f>B14</f>
        <v>87</v>
      </c>
      <c r="T27" s="54">
        <f t="shared" si="0"/>
        <v>0.39366515837104071</v>
      </c>
      <c r="U27" s="59"/>
    </row>
    <row r="28" spans="1:21">
      <c r="A28" s="55" t="s">
        <v>114</v>
      </c>
      <c r="B28" s="68">
        <f>COUNTIFS(Table1[Name],Statistics!A28,Table1[Status],"open")</f>
        <v>2</v>
      </c>
      <c r="I28" s="58"/>
      <c r="J28" s="93"/>
      <c r="K28" s="93"/>
      <c r="L28" s="93"/>
      <c r="M28" s="93"/>
      <c r="N28" s="57" t="s">
        <v>9</v>
      </c>
      <c r="O28" s="53">
        <f>COUNTIFS(Table1[Impact],Statistics!N28,Table1[Status],"open")</f>
        <v>0</v>
      </c>
      <c r="P28" s="54">
        <f>O28/$O$29</f>
        <v>0</v>
      </c>
      <c r="Q28" s="93"/>
      <c r="R28" s="57" t="s">
        <v>2061</v>
      </c>
      <c r="S28" s="53">
        <f>SUM(S25:S27)</f>
        <v>221</v>
      </c>
      <c r="T28" s="54">
        <f>S28/$S$28</f>
        <v>1</v>
      </c>
      <c r="U28" s="59"/>
    </row>
    <row r="29" spans="1:21">
      <c r="A29" s="55" t="s">
        <v>422</v>
      </c>
      <c r="B29" s="68">
        <f>COUNTIFS(Table1[Name],Statistics!A29,Table1[Status],"open")</f>
        <v>1</v>
      </c>
      <c r="I29" s="58"/>
      <c r="N29" s="57" t="s">
        <v>2061</v>
      </c>
      <c r="O29" s="53">
        <f>SUM(O25:O28)</f>
        <v>222</v>
      </c>
      <c r="P29" s="54">
        <f>O29/$O$29</f>
        <v>1</v>
      </c>
      <c r="Q29" s="93"/>
      <c r="R29" s="93"/>
      <c r="S29" s="93"/>
      <c r="T29" s="93"/>
      <c r="U29" s="59"/>
    </row>
    <row r="30" spans="1:21">
      <c r="A30" s="55" t="s">
        <v>1208</v>
      </c>
      <c r="B30" s="68">
        <f>COUNTIFS(Table1[Name],Statistics!A30,Table1[Status],"open")</f>
        <v>1</v>
      </c>
      <c r="I30" s="58"/>
      <c r="U30" s="59"/>
    </row>
    <row r="31" spans="1:21">
      <c r="A31" s="55" t="s">
        <v>1725</v>
      </c>
      <c r="B31" s="68">
        <f>COUNTIFS(Table1[Name],Statistics!A31,Table1[Status],"open")</f>
        <v>1</v>
      </c>
      <c r="I31" s="58"/>
      <c r="U31" s="59"/>
    </row>
    <row r="32" spans="1:21">
      <c r="A32" s="55" t="s">
        <v>1731</v>
      </c>
      <c r="B32" s="68">
        <f>COUNTIFS(Table1[Name],Statistics!A32,Table1[Status],"open")</f>
        <v>1</v>
      </c>
      <c r="I32" s="58"/>
      <c r="U32" s="59"/>
    </row>
    <row r="33" spans="1:21">
      <c r="A33" s="55" t="s">
        <v>1247</v>
      </c>
      <c r="B33" s="68">
        <f>COUNTIFS(Table1[Name],Statistics!A33,Table1[Status],"open")</f>
        <v>0</v>
      </c>
      <c r="I33" s="58"/>
      <c r="U33" s="59"/>
    </row>
    <row r="34" spans="1:21">
      <c r="A34" s="55" t="s">
        <v>1059</v>
      </c>
      <c r="B34" s="68">
        <f>COUNTIFS(Table1[Name],Statistics!A34,Table1[Status],"open")</f>
        <v>0</v>
      </c>
      <c r="I34" s="58"/>
      <c r="U34" s="59"/>
    </row>
    <row r="35" spans="1:21">
      <c r="A35" s="55" t="s">
        <v>1255</v>
      </c>
      <c r="B35" s="68">
        <f>COUNTIFS(Table1[Name],Statistics!A35,Table1[Status],"open")</f>
        <v>0</v>
      </c>
      <c r="I35" s="58"/>
      <c r="U35" s="59"/>
    </row>
    <row r="36" spans="1:21">
      <c r="A36" s="55" t="s">
        <v>2069</v>
      </c>
      <c r="B36" s="68">
        <f>COUNTIFS(Table1[Name],Statistics!A36,Table1[Status],"open")</f>
        <v>0</v>
      </c>
      <c r="I36" s="58"/>
      <c r="U36" s="59"/>
    </row>
    <row r="37" spans="1:21">
      <c r="A37" s="55" t="s">
        <v>1042</v>
      </c>
      <c r="B37" s="68">
        <f>COUNTIFS(Table1[Name],Statistics!A37,Table1[Status],"open")</f>
        <v>1</v>
      </c>
      <c r="I37" s="58"/>
      <c r="U37" s="59"/>
    </row>
    <row r="38" spans="1:21">
      <c r="A38" s="55" t="s">
        <v>541</v>
      </c>
      <c r="B38" s="68">
        <f>COUNTIFS(Table1[Name],Statistics!A38,Table1[Status],"open")</f>
        <v>1</v>
      </c>
      <c r="I38" s="58"/>
      <c r="U38" s="59"/>
    </row>
    <row r="39" spans="1:21">
      <c r="A39" s="55" t="s">
        <v>548</v>
      </c>
      <c r="B39" s="68">
        <f>COUNTIFS(Table1[Name],Statistics!A39,Table1[Status],"open")</f>
        <v>1</v>
      </c>
      <c r="I39" s="58"/>
      <c r="U39" s="59"/>
    </row>
    <row r="40" spans="1:21">
      <c r="A40" s="55" t="s">
        <v>124</v>
      </c>
      <c r="B40" s="68">
        <f>COUNTIFS(Table1[Name],Statistics!A40,Table1[Status],"open")</f>
        <v>0</v>
      </c>
      <c r="I40" s="58"/>
      <c r="U40" s="59"/>
    </row>
    <row r="41" spans="1:21">
      <c r="A41" s="55" t="s">
        <v>102</v>
      </c>
      <c r="B41" s="68">
        <f>COUNTIFS(Table1[Name],Statistics!A41,Table1[Status],"open")</f>
        <v>0</v>
      </c>
      <c r="I41" s="58"/>
      <c r="U41" s="59"/>
    </row>
    <row r="42" spans="1:21">
      <c r="A42" s="55" t="s">
        <v>1219</v>
      </c>
      <c r="B42" s="68">
        <f>COUNTIFS(Table1[Name],Statistics!A42,Table1[Status],"open")</f>
        <v>0</v>
      </c>
      <c r="I42" s="58"/>
      <c r="U42" s="59"/>
    </row>
    <row r="43" spans="1:21">
      <c r="A43" s="55" t="s">
        <v>1128</v>
      </c>
      <c r="B43" s="68">
        <f>COUNTIFS(Table1[Name],Statistics!A43,Table1[Status],"open")</f>
        <v>3</v>
      </c>
      <c r="I43" s="58"/>
      <c r="U43" s="59"/>
    </row>
    <row r="44" spans="1:21">
      <c r="A44" s="55" t="s">
        <v>274</v>
      </c>
      <c r="B44" s="68">
        <f>COUNTIFS(Table1[Name],Statistics!A44,Table1[Status],"open")</f>
        <v>0</v>
      </c>
      <c r="I44" s="58"/>
      <c r="U44" s="59"/>
    </row>
    <row r="45" spans="1:21">
      <c r="A45" s="55" t="s">
        <v>348</v>
      </c>
      <c r="B45" s="68">
        <f>COUNTIFS(Table1[Name],Statistics!A45,Table1[Status],"open")</f>
        <v>3</v>
      </c>
      <c r="I45" s="58"/>
      <c r="U45" s="59"/>
    </row>
    <row r="46" spans="1:21">
      <c r="A46" s="55" t="s">
        <v>138</v>
      </c>
      <c r="B46" s="68">
        <f>COUNTIFS(Table1[Name],Statistics!A46,Table1[Status],"open")</f>
        <v>0</v>
      </c>
      <c r="I46" s="58"/>
      <c r="U46" s="59"/>
    </row>
    <row r="47" spans="1:21">
      <c r="A47" s="55" t="s">
        <v>291</v>
      </c>
      <c r="B47" s="68">
        <f>COUNTIFS(Table1[Name],Statistics!A47,Table1[Status],"open")</f>
        <v>1</v>
      </c>
      <c r="I47" s="58"/>
      <c r="U47" s="59"/>
    </row>
    <row r="48" spans="1:21">
      <c r="A48" s="55" t="s">
        <v>332</v>
      </c>
      <c r="B48" s="68">
        <f>COUNTIFS(Table1[Name],Statistics!A48,Table1[Status],"open")</f>
        <v>0</v>
      </c>
      <c r="I48" s="58"/>
      <c r="U48" s="59"/>
    </row>
    <row r="49" spans="1:21">
      <c r="A49" s="55" t="s">
        <v>415</v>
      </c>
      <c r="B49" s="68">
        <f>COUNTIFS(Table1[Name],Statistics!A49,Table1[Status],"open")</f>
        <v>0</v>
      </c>
      <c r="I49" s="58"/>
      <c r="U49" s="59"/>
    </row>
    <row r="50" spans="1:21">
      <c r="A50" s="55" t="s">
        <v>486</v>
      </c>
      <c r="B50" s="68">
        <f>COUNTIFS(Table1[Name],Statistics!A50,Table1[Status],"open")</f>
        <v>1</v>
      </c>
      <c r="I50" s="58"/>
      <c r="U50" s="59"/>
    </row>
    <row r="51" spans="1:21">
      <c r="A51" s="55" t="s">
        <v>565</v>
      </c>
      <c r="B51" s="68">
        <f>COUNTIFS(Table1[Name],Statistics!A51,Table1[Status],"open")</f>
        <v>0</v>
      </c>
      <c r="I51" s="58"/>
      <c r="U51" s="59"/>
    </row>
    <row r="52" spans="1:21">
      <c r="A52" s="55" t="s">
        <v>646</v>
      </c>
      <c r="B52" s="68">
        <f>COUNTIFS(Table1[Name],Statistics!A52,Table1[Status],"open")</f>
        <v>0</v>
      </c>
      <c r="I52" s="58"/>
      <c r="U52" s="59"/>
    </row>
    <row r="53" spans="1:21">
      <c r="A53" s="55" t="s">
        <v>714</v>
      </c>
      <c r="B53" s="68">
        <f>COUNTIFS(Table1[Name],Statistics!A53,Table1[Status],"open")</f>
        <v>3</v>
      </c>
      <c r="I53" s="58"/>
      <c r="U53" s="59"/>
    </row>
    <row r="54" spans="1:21">
      <c r="A54" s="55" t="s">
        <v>728</v>
      </c>
      <c r="B54" s="68">
        <f>COUNTIFS(Table1[Name],Statistics!A54,Table1[Status],"open")</f>
        <v>3</v>
      </c>
      <c r="I54" s="58"/>
      <c r="U54" s="59"/>
    </row>
    <row r="55" spans="1:21">
      <c r="A55" s="55" t="s">
        <v>734</v>
      </c>
      <c r="B55" s="68">
        <f>COUNTIFS(Table1[Name],Statistics!A55,Table1[Status],"open")</f>
        <v>6</v>
      </c>
      <c r="I55" s="58"/>
      <c r="U55" s="59"/>
    </row>
    <row r="56" spans="1:21">
      <c r="A56" s="55" t="s">
        <v>750</v>
      </c>
      <c r="B56" s="68">
        <f>COUNTIFS(Table1[Name],Statistics!A56,Table1[Status],"open")</f>
        <v>1</v>
      </c>
      <c r="I56" s="58"/>
      <c r="U56" s="59"/>
    </row>
    <row r="57" spans="1:21">
      <c r="A57" s="55" t="s">
        <v>1132</v>
      </c>
      <c r="B57" s="68">
        <f>COUNTIFS(Table1[Name],Statistics!A57,Table1[Status],"open")</f>
        <v>0</v>
      </c>
      <c r="I57" s="58"/>
      <c r="U57" s="59"/>
    </row>
    <row r="58" spans="1:21">
      <c r="A58" s="55" t="s">
        <v>1136</v>
      </c>
      <c r="B58" s="68">
        <f>COUNTIFS(Table1[Name],Statistics!A58,Table1[Status],"open")</f>
        <v>0</v>
      </c>
      <c r="I58" s="58"/>
      <c r="U58" s="59"/>
    </row>
    <row r="59" spans="1:21">
      <c r="A59" s="55" t="s">
        <v>1575</v>
      </c>
      <c r="B59" s="68">
        <f>COUNTIFS(Table1[Name],Statistics!A59,Table1[Status],"open")</f>
        <v>3</v>
      </c>
      <c r="I59" s="58"/>
      <c r="U59" s="59"/>
    </row>
    <row r="60" spans="1:21">
      <c r="A60" s="55" t="s">
        <v>2070</v>
      </c>
      <c r="B60" s="68">
        <f>COUNTIFS(Table1[Name],Statistics!A60,Table1[Status],"open")</f>
        <v>0</v>
      </c>
      <c r="I60" s="58"/>
      <c r="U60" s="59"/>
    </row>
    <row r="61" spans="1:21">
      <c r="B61" s="68"/>
      <c r="I61" s="58"/>
      <c r="U61" s="59"/>
    </row>
    <row r="62" spans="1:21">
      <c r="B62" s="68"/>
      <c r="I62" s="58"/>
      <c r="U62" s="59"/>
    </row>
    <row r="63" spans="1:21">
      <c r="B63" s="68"/>
      <c r="I63" s="58"/>
      <c r="U63" s="59"/>
    </row>
    <row r="64" spans="1:21">
      <c r="B64" s="68"/>
      <c r="I64" s="58"/>
      <c r="U64" s="59"/>
    </row>
    <row r="65" spans="1:21">
      <c r="B65" s="55">
        <f>SUM(B18:B64)</f>
        <v>80</v>
      </c>
      <c r="I65" s="58"/>
      <c r="U65" s="59"/>
    </row>
    <row r="66" spans="1:21">
      <c r="I66" s="58"/>
      <c r="U66" s="59"/>
    </row>
    <row r="67" spans="1:21">
      <c r="I67" s="58"/>
      <c r="U67" s="59"/>
    </row>
    <row r="68" spans="1:21">
      <c r="I68" s="58"/>
      <c r="U68" s="59"/>
    </row>
    <row r="69" spans="1:21">
      <c r="I69" s="58"/>
      <c r="U69" s="59"/>
    </row>
    <row r="70" spans="1:21">
      <c r="I70" s="58"/>
      <c r="U70" s="59"/>
    </row>
    <row r="71" spans="1:21">
      <c r="I71" s="58"/>
      <c r="U71" s="59"/>
    </row>
    <row r="72" spans="1:21">
      <c r="I72" s="58"/>
      <c r="U72" s="59"/>
    </row>
    <row r="73" spans="1:21">
      <c r="I73" s="58"/>
      <c r="U73" s="59"/>
    </row>
    <row r="74" spans="1:21">
      <c r="A74" s="55" t="s">
        <v>2071</v>
      </c>
      <c r="B74" s="55" t="s">
        <v>2064</v>
      </c>
      <c r="I74" s="58"/>
      <c r="U74" s="59"/>
    </row>
    <row r="75" spans="1:21">
      <c r="A75" s="55" t="s">
        <v>0</v>
      </c>
      <c r="B75" s="55">
        <f>COUNTIFS(Table1[Name],Statistics!A75,Table1[Status],"open")</f>
        <v>6</v>
      </c>
      <c r="I75" s="58"/>
      <c r="U75" s="59"/>
    </row>
    <row r="76" spans="1:21">
      <c r="A76" s="55" t="s">
        <v>1</v>
      </c>
      <c r="B76" s="55">
        <f>COUNTIFS(Table1[Name],Statistics!A76,Table1[Status],"open")</f>
        <v>1</v>
      </c>
      <c r="I76" s="58"/>
      <c r="U76" s="59"/>
    </row>
    <row r="77" spans="1:21">
      <c r="A77" s="55" t="s">
        <v>1499</v>
      </c>
      <c r="B77" s="55">
        <f>COUNTIFS(Table1[Name],Statistics!A77,Table1[Status],"open")</f>
        <v>0</v>
      </c>
      <c r="I77" s="58"/>
      <c r="U77" s="59"/>
    </row>
    <row r="78" spans="1:21">
      <c r="A78" s="55" t="s">
        <v>834</v>
      </c>
      <c r="B78" s="55">
        <f>COUNTIFS(Table1[Name],Statistics!A78,Table1[Status],"open")</f>
        <v>0</v>
      </c>
      <c r="I78" s="58"/>
      <c r="U78" s="59"/>
    </row>
    <row r="79" spans="1:21">
      <c r="A79" s="55" t="s">
        <v>2</v>
      </c>
      <c r="B79" s="55">
        <f>COUNTIFS(Table1[Name],Statistics!A79,Table1[Status],"open")</f>
        <v>0</v>
      </c>
      <c r="I79" s="58"/>
      <c r="U79" s="59"/>
    </row>
    <row r="80" spans="1:21">
      <c r="A80" s="55" t="s">
        <v>86</v>
      </c>
      <c r="B80" s="55">
        <f>COUNTIFS(Table1[Name],Statistics!A80,Table1[Status],"open")</f>
        <v>16</v>
      </c>
      <c r="I80" s="58"/>
      <c r="U80" s="59"/>
    </row>
    <row r="81" spans="1:21">
      <c r="A81" s="55" t="s">
        <v>166</v>
      </c>
      <c r="B81" s="55">
        <f>COUNTIFS(Table1[Name],Statistics!A81,Table1[Status],"open")</f>
        <v>0</v>
      </c>
      <c r="I81" s="58"/>
      <c r="U81" s="59"/>
    </row>
    <row r="82" spans="1:21">
      <c r="A82" s="55" t="s">
        <v>2072</v>
      </c>
      <c r="B82" s="55">
        <f>COUNTIFS(Table1[Name],Statistics!A82,Table1[Status],"open")</f>
        <v>0</v>
      </c>
      <c r="I82" s="58"/>
      <c r="U82" s="59"/>
    </row>
    <row r="83" spans="1:21">
      <c r="A83" s="55" t="s">
        <v>195</v>
      </c>
      <c r="B83" s="55">
        <f>COUNTIFS(Table1[Name],Statistics!A83,Table1[Status],"open")</f>
        <v>7</v>
      </c>
      <c r="I83" s="58"/>
      <c r="U83" s="59"/>
    </row>
    <row r="84" spans="1:21">
      <c r="A84" s="55" t="s">
        <v>282</v>
      </c>
      <c r="B84" s="55">
        <f>COUNTIFS(Table1[Name],Statistics!A84,Table1[Status],"open")</f>
        <v>0</v>
      </c>
      <c r="I84" s="58"/>
      <c r="U84" s="59"/>
    </row>
    <row r="85" spans="1:21">
      <c r="B85" s="55">
        <f>SUM(B75:B84)</f>
        <v>30</v>
      </c>
      <c r="I85" s="58"/>
      <c r="U85" s="59"/>
    </row>
    <row r="86" spans="1:21">
      <c r="I86" s="58"/>
      <c r="U86" s="59"/>
    </row>
    <row r="87" spans="1:21">
      <c r="A87" s="55" t="s">
        <v>65</v>
      </c>
      <c r="B87" s="55">
        <f>COUNTIF(Table1[Status],Statistics!A87)</f>
        <v>222</v>
      </c>
      <c r="I87" s="58"/>
      <c r="U87" s="59"/>
    </row>
    <row r="88" spans="1:21">
      <c r="A88" s="55" t="s">
        <v>45</v>
      </c>
      <c r="B88" s="55">
        <f>COUNTIF(Table1[Status],Statistics!A88)</f>
        <v>283</v>
      </c>
      <c r="I88" s="58"/>
      <c r="U88" s="59"/>
    </row>
    <row r="89" spans="1:21">
      <c r="B89" s="55">
        <f>SUM(B87:B88)</f>
        <v>505</v>
      </c>
      <c r="I89" s="58"/>
      <c r="U89" s="59"/>
    </row>
    <row r="90" spans="1:21">
      <c r="I90" s="58"/>
      <c r="U90" s="59"/>
    </row>
    <row r="91" spans="1:21">
      <c r="A91" s="55" t="s">
        <v>2073</v>
      </c>
      <c r="B91" s="55" t="s">
        <v>2064</v>
      </c>
      <c r="I91" s="58"/>
      <c r="U91" s="59"/>
    </row>
    <row r="92" spans="1:21">
      <c r="A92" s="55" t="s">
        <v>3</v>
      </c>
      <c r="B92" s="55">
        <f>COUNTIFS(Table1[Priority By SEC],Statistics!A92,Table1[Status],"open")</f>
        <v>148</v>
      </c>
      <c r="I92" s="58"/>
      <c r="U92" s="59"/>
    </row>
    <row r="93" spans="1:21">
      <c r="A93" s="55" t="s">
        <v>5</v>
      </c>
      <c r="B93" s="55">
        <f>COUNTIFS(Table1[Priority By SEC],Statistics!A93,Table1[Status],"open")</f>
        <v>40</v>
      </c>
      <c r="I93" s="58"/>
      <c r="U93" s="59"/>
    </row>
    <row r="94" spans="1:21">
      <c r="A94" s="55" t="s">
        <v>7</v>
      </c>
      <c r="B94" s="55">
        <f>COUNTIFS(Table1[Priority By SEC],Statistics!A94,Table1[Status],"open")</f>
        <v>10</v>
      </c>
      <c r="I94" s="58"/>
      <c r="U94" s="59"/>
    </row>
    <row r="95" spans="1:21">
      <c r="B95" s="55">
        <f>SUM(B92:B94)</f>
        <v>198</v>
      </c>
      <c r="I95" s="58"/>
      <c r="U95" s="59"/>
    </row>
    <row r="96" spans="1:21" ht="15" thickBot="1">
      <c r="I96" s="60"/>
      <c r="J96" s="61"/>
      <c r="K96" s="61"/>
      <c r="L96" s="61"/>
      <c r="M96" s="61"/>
      <c r="N96" s="61"/>
      <c r="O96" s="61"/>
      <c r="P96" s="61"/>
      <c r="Q96" s="61"/>
      <c r="R96" s="61"/>
      <c r="S96" s="61"/>
      <c r="T96" s="61"/>
      <c r="U96" s="62"/>
    </row>
  </sheetData>
  <mergeCells count="1">
    <mergeCell ref="I4:U6"/>
  </mergeCells>
  <conditionalFormatting sqref="B18:B57">
    <cfRule type="dataBar" priority="1">
      <dataBar>
        <cfvo type="min"/>
        <cfvo type="max"/>
        <color rgb="FF638EC6"/>
      </dataBar>
      <extLst>
        <ext xmlns:x14="http://schemas.microsoft.com/office/spreadsheetml/2009/9/main" uri="{B025F937-C7B1-47D3-B67F-A62EFF666E3E}">
          <x14:id>{8C10DB08-2B61-496B-A930-1A2162F0BA7E}</x14:id>
        </ext>
      </extLst>
    </cfRule>
  </conditionalFormatting>
  <conditionalFormatting sqref="L25:L26">
    <cfRule type="dataBar" priority="5">
      <dataBar>
        <cfvo type="min"/>
        <cfvo type="max"/>
        <color rgb="FF638EC6"/>
      </dataBar>
      <extLst>
        <ext xmlns:x14="http://schemas.microsoft.com/office/spreadsheetml/2009/9/main" uri="{B025F937-C7B1-47D3-B67F-A62EFF666E3E}">
          <x14:id>{98075251-056A-415E-81CB-8C55EFE37270}</x14:id>
        </ext>
      </extLst>
    </cfRule>
  </conditionalFormatting>
  <conditionalFormatting sqref="L25:L27">
    <cfRule type="dataBar" priority="4">
      <dataBar>
        <cfvo type="min"/>
        <cfvo type="max"/>
        <color rgb="FF638EC6"/>
      </dataBar>
      <extLst>
        <ext xmlns:x14="http://schemas.microsoft.com/office/spreadsheetml/2009/9/main" uri="{B025F937-C7B1-47D3-B67F-A62EFF666E3E}">
          <x14:id>{6C8FB7F2-A753-447B-A200-33CE02238829}</x14:id>
        </ext>
      </extLst>
    </cfRule>
  </conditionalFormatting>
  <conditionalFormatting sqref="P25:P28">
    <cfRule type="dataBar" priority="6">
      <dataBar>
        <cfvo type="min"/>
        <cfvo type="max"/>
        <color rgb="FF638EC6"/>
      </dataBar>
      <extLst>
        <ext xmlns:x14="http://schemas.microsoft.com/office/spreadsheetml/2009/9/main" uri="{B025F937-C7B1-47D3-B67F-A62EFF666E3E}">
          <x14:id>{2A55C4A4-42BD-43BC-BB7B-AA2829DAD7CE}</x14:id>
        </ext>
      </extLst>
    </cfRule>
  </conditionalFormatting>
  <conditionalFormatting sqref="P25:P29">
    <cfRule type="dataBar" priority="3">
      <dataBar>
        <cfvo type="min"/>
        <cfvo type="max"/>
        <color rgb="FF638EC6"/>
      </dataBar>
      <extLst>
        <ext xmlns:x14="http://schemas.microsoft.com/office/spreadsheetml/2009/9/main" uri="{B025F937-C7B1-47D3-B67F-A62EFF666E3E}">
          <x14:id>{872FE56F-07DE-4BDE-AEA1-A051A4F553DF}</x14:id>
        </ext>
      </extLst>
    </cfRule>
  </conditionalFormatting>
  <conditionalFormatting sqref="T25:T27">
    <cfRule type="dataBar" priority="7">
      <dataBar>
        <cfvo type="min"/>
        <cfvo type="max"/>
        <color rgb="FF638EC6"/>
      </dataBar>
      <extLst>
        <ext xmlns:x14="http://schemas.microsoft.com/office/spreadsheetml/2009/9/main" uri="{B025F937-C7B1-47D3-B67F-A62EFF666E3E}">
          <x14:id>{B8739C7A-E0D1-436A-B422-718B24112D8F}</x14:id>
        </ext>
      </extLst>
    </cfRule>
  </conditionalFormatting>
  <conditionalFormatting sqref="T25:T28">
    <cfRule type="dataBar" priority="2">
      <dataBar>
        <cfvo type="min"/>
        <cfvo type="max"/>
        <color rgb="FF638EC6"/>
      </dataBar>
      <extLst>
        <ext xmlns:x14="http://schemas.microsoft.com/office/spreadsheetml/2009/9/main" uri="{B025F937-C7B1-47D3-B67F-A62EFF666E3E}">
          <x14:id>{15BDA1DF-A315-4F2F-A103-CED3A57E6EA9}</x14:id>
        </ext>
      </extLst>
    </cfRule>
  </conditionalFormatting>
  <pageMargins left="0.7" right="0.7" top="0.75" bottom="0.75" header="0.3" footer="0.3"/>
  <pageSetup paperSize="9" orientation="portrait" r:id="rId1"/>
  <headerFooter>
    <oddFooter>&amp;C_x000D_&amp;1#&amp;"Calibri"&amp;10&amp;K0000FF CLASSIFICATION: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C10DB08-2B61-496B-A930-1A2162F0BA7E}">
            <x14:dataBar minLength="0" maxLength="100" border="1" negativeBarBorderColorSameAsPositive="0">
              <x14:cfvo type="autoMin"/>
              <x14:cfvo type="autoMax"/>
              <x14:borderColor rgb="FF638EC6"/>
              <x14:negativeFillColor rgb="FFFF0000"/>
              <x14:negativeBorderColor rgb="FFFF0000"/>
              <x14:axisColor rgb="FF000000"/>
            </x14:dataBar>
          </x14:cfRule>
          <xm:sqref>B18:B57</xm:sqref>
        </x14:conditionalFormatting>
        <x14:conditionalFormatting xmlns:xm="http://schemas.microsoft.com/office/excel/2006/main">
          <x14:cfRule type="dataBar" id="{98075251-056A-415E-81CB-8C55EFE37270}">
            <x14:dataBar minLength="0" maxLength="100" border="1" negativeBarBorderColorSameAsPositive="0">
              <x14:cfvo type="autoMin"/>
              <x14:cfvo type="autoMax"/>
              <x14:borderColor rgb="FF638EC6"/>
              <x14:negativeFillColor rgb="FFFF0000"/>
              <x14:negativeBorderColor rgb="FFFF0000"/>
              <x14:axisColor rgb="FF000000"/>
            </x14:dataBar>
          </x14:cfRule>
          <xm:sqref>L25:L26</xm:sqref>
        </x14:conditionalFormatting>
        <x14:conditionalFormatting xmlns:xm="http://schemas.microsoft.com/office/excel/2006/main">
          <x14:cfRule type="dataBar" id="{6C8FB7F2-A753-447B-A200-33CE02238829}">
            <x14:dataBar minLength="0" maxLength="100" gradient="0">
              <x14:cfvo type="autoMin"/>
              <x14:cfvo type="autoMax"/>
              <x14:negativeFillColor rgb="FFFF0000"/>
              <x14:axisColor rgb="FF000000"/>
            </x14:dataBar>
          </x14:cfRule>
          <xm:sqref>L25:L27</xm:sqref>
        </x14:conditionalFormatting>
        <x14:conditionalFormatting xmlns:xm="http://schemas.microsoft.com/office/excel/2006/main">
          <x14:cfRule type="dataBar" id="{2A55C4A4-42BD-43BC-BB7B-AA2829DAD7CE}">
            <x14:dataBar minLength="0" maxLength="100" border="1" negativeBarBorderColorSameAsPositive="0">
              <x14:cfvo type="autoMin"/>
              <x14:cfvo type="autoMax"/>
              <x14:borderColor rgb="FF638EC6"/>
              <x14:negativeFillColor rgb="FFFF0000"/>
              <x14:negativeBorderColor rgb="FFFF0000"/>
              <x14:axisColor rgb="FF000000"/>
            </x14:dataBar>
          </x14:cfRule>
          <xm:sqref>P25:P28</xm:sqref>
        </x14:conditionalFormatting>
        <x14:conditionalFormatting xmlns:xm="http://schemas.microsoft.com/office/excel/2006/main">
          <x14:cfRule type="dataBar" id="{872FE56F-07DE-4BDE-AEA1-A051A4F553DF}">
            <x14:dataBar minLength="0" maxLength="100" gradient="0">
              <x14:cfvo type="autoMin"/>
              <x14:cfvo type="autoMax"/>
              <x14:negativeFillColor rgb="FFFF0000"/>
              <x14:axisColor rgb="FF000000"/>
            </x14:dataBar>
          </x14:cfRule>
          <xm:sqref>P25:P29</xm:sqref>
        </x14:conditionalFormatting>
        <x14:conditionalFormatting xmlns:xm="http://schemas.microsoft.com/office/excel/2006/main">
          <x14:cfRule type="dataBar" id="{B8739C7A-E0D1-436A-B422-718B24112D8F}">
            <x14:dataBar minLength="0" maxLength="100" border="1" negativeBarBorderColorSameAsPositive="0">
              <x14:cfvo type="autoMin"/>
              <x14:cfvo type="autoMax"/>
              <x14:borderColor rgb="FF638EC6"/>
              <x14:negativeFillColor rgb="FFFF0000"/>
              <x14:negativeBorderColor rgb="FFFF0000"/>
              <x14:axisColor rgb="FF000000"/>
            </x14:dataBar>
          </x14:cfRule>
          <xm:sqref>T25:T27</xm:sqref>
        </x14:conditionalFormatting>
        <x14:conditionalFormatting xmlns:xm="http://schemas.microsoft.com/office/excel/2006/main">
          <x14:cfRule type="dataBar" id="{15BDA1DF-A315-4F2F-A103-CED3A57E6EA9}">
            <x14:dataBar minLength="0" maxLength="100" gradient="0">
              <x14:cfvo type="autoMin"/>
              <x14:cfvo type="autoMax"/>
              <x14:negativeFillColor rgb="FFFF0000"/>
              <x14:axisColor rgb="FF000000"/>
            </x14:dataBar>
          </x14:cfRule>
          <xm:sqref>T25:T28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28F3-5C4E-4B9E-A211-D4BF1D22D0BD}">
  <dimension ref="B2:B28"/>
  <sheetViews>
    <sheetView workbookViewId="0">
      <selection activeCell="B2" sqref="B2"/>
    </sheetView>
  </sheetViews>
  <sheetFormatPr defaultRowHeight="14.45"/>
  <sheetData>
    <row r="2" spans="2:2" ht="15.95">
      <c r="B2" s="25" t="s">
        <v>95</v>
      </c>
    </row>
    <row r="3" spans="2:2" ht="15.95">
      <c r="B3" s="28" t="s">
        <v>632</v>
      </c>
    </row>
    <row r="4" spans="2:2" ht="15.95">
      <c r="B4" s="25" t="s">
        <v>637</v>
      </c>
    </row>
    <row r="5" spans="2:2" ht="15.95">
      <c r="B5" s="25" t="s">
        <v>128</v>
      </c>
    </row>
    <row r="6" spans="2:2" ht="15.95">
      <c r="B6" s="25" t="s">
        <v>70</v>
      </c>
    </row>
    <row r="7" spans="2:2" ht="15.95">
      <c r="B7" s="25" t="s">
        <v>1474</v>
      </c>
    </row>
    <row r="8" spans="2:2" ht="15.95">
      <c r="B8" s="28" t="s">
        <v>278</v>
      </c>
    </row>
    <row r="9" spans="2:2" ht="15.95">
      <c r="B9" s="25" t="s">
        <v>2074</v>
      </c>
    </row>
    <row r="10" spans="2:2" ht="15.95">
      <c r="B10" s="25" t="s">
        <v>605</v>
      </c>
    </row>
    <row r="11" spans="2:2" ht="15.95">
      <c r="B11" s="28" t="s">
        <v>964</v>
      </c>
    </row>
    <row r="12" spans="2:2" ht="15.95">
      <c r="B12" s="28" t="s">
        <v>114</v>
      </c>
    </row>
    <row r="13" spans="2:2" ht="48">
      <c r="B13" s="28" t="s">
        <v>422</v>
      </c>
    </row>
    <row r="14" spans="2:2" ht="15.95">
      <c r="B14" s="25" t="s">
        <v>1208</v>
      </c>
    </row>
    <row r="15" spans="2:2" ht="15.95">
      <c r="B15" s="25" t="s">
        <v>1725</v>
      </c>
    </row>
    <row r="16" spans="2:2" ht="32.1">
      <c r="B16" s="25" t="s">
        <v>1731</v>
      </c>
    </row>
    <row r="17" spans="2:2" ht="15.95">
      <c r="B17" s="28" t="s">
        <v>1247</v>
      </c>
    </row>
    <row r="18" spans="2:2" ht="15.95">
      <c r="B18" s="25" t="s">
        <v>2075</v>
      </c>
    </row>
    <row r="19" spans="2:2" ht="15.95">
      <c r="B19" s="28" t="s">
        <v>1255</v>
      </c>
    </row>
    <row r="20" spans="2:2" ht="15.95">
      <c r="B20" s="28" t="s">
        <v>2069</v>
      </c>
    </row>
    <row r="21" spans="2:2" ht="15.95">
      <c r="B21" s="98" t="s">
        <v>1042</v>
      </c>
    </row>
    <row r="22" spans="2:2" ht="15.95">
      <c r="B22" s="97" t="s">
        <v>541</v>
      </c>
    </row>
    <row r="23" spans="2:2" ht="15.95">
      <c r="B23" s="98" t="s">
        <v>548</v>
      </c>
    </row>
    <row r="24" spans="2:2" ht="96">
      <c r="B24" s="26" t="s">
        <v>124</v>
      </c>
    </row>
    <row r="25" spans="2:2" ht="15.95">
      <c r="B25" s="25" t="s">
        <v>102</v>
      </c>
    </row>
    <row r="26" spans="2:2">
      <c r="B26" s="81" t="s">
        <v>1219</v>
      </c>
    </row>
    <row r="27" spans="2:2">
      <c r="B27" s="80" t="s">
        <v>1128</v>
      </c>
    </row>
    <row r="28" spans="2:2" ht="43.5">
      <c r="B28" s="81" t="s">
        <v>274</v>
      </c>
    </row>
  </sheetData>
  <pageMargins left="0.7" right="0.7" top="0.75" bottom="0.75" header="0.3" footer="0.3"/>
  <headerFooter>
    <oddFooter>&amp;C_x000D_&amp;1#&amp;"Calibri"&amp;10&amp;K0000FF 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8F6F-E337-4715-A395-F7BBC6557BEC}">
  <dimension ref="A1"/>
  <sheetViews>
    <sheetView workbookViewId="0">
      <selection activeCell="J14" sqref="J14"/>
    </sheetView>
  </sheetViews>
  <sheetFormatPr defaultRowHeight="14.45"/>
  <sheetData>
    <row r="1" spans="1:1">
      <c r="A1" t="s">
        <v>2076</v>
      </c>
    </row>
  </sheetData>
  <pageMargins left="0.7" right="0.7" top="0.75" bottom="0.75" header="0.3" footer="0.3"/>
  <headerFooter>
    <oddFooter>&amp;C_x000D_&amp;1#&amp;"Calibri"&amp;10&amp;K0000FF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F417-E829-439F-8773-8742A67C34A3}">
  <dimension ref="A1"/>
  <sheetViews>
    <sheetView workbookViewId="0"/>
  </sheetViews>
  <sheetFormatPr defaultRowHeight="14.45"/>
  <sheetData/>
  <pageMargins left="0.7" right="0.7" top="0.75" bottom="0.75" header="0.3" footer="0.3"/>
  <headerFooter>
    <oddFooter>&amp;C_x000D_&amp;1#&amp;"Calibri"&amp;10&amp;K0000FF 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449B-7D20-401C-956B-2538DE867EF9}">
  <dimension ref="A1:Q31"/>
  <sheetViews>
    <sheetView workbookViewId="0">
      <selection activeCell="G7" sqref="G7"/>
    </sheetView>
  </sheetViews>
  <sheetFormatPr defaultRowHeight="14.45"/>
  <cols>
    <col min="1" max="1" width="13.85546875" customWidth="1"/>
    <col min="4" max="4" width="32.140625" bestFit="1" customWidth="1"/>
    <col min="5" max="5" width="32.140625" customWidth="1"/>
    <col min="7" max="7" width="25.28515625" customWidth="1"/>
    <col min="9" max="9" width="28" bestFit="1" customWidth="1"/>
    <col min="11" max="11" width="13.5703125" customWidth="1"/>
    <col min="12" max="12" width="31.28515625" bestFit="1" customWidth="1"/>
    <col min="17" max="17" width="22.5703125" bestFit="1" customWidth="1"/>
  </cols>
  <sheetData>
    <row r="1" spans="1:17">
      <c r="A1" s="3" t="s">
        <v>30</v>
      </c>
      <c r="D1" s="49" t="s">
        <v>19</v>
      </c>
      <c r="E1" s="88" t="s">
        <v>2077</v>
      </c>
      <c r="G1" s="49" t="s">
        <v>2068</v>
      </c>
    </row>
    <row r="2" spans="1:17">
      <c r="A2" t="s">
        <v>65</v>
      </c>
      <c r="D2" t="s">
        <v>203</v>
      </c>
      <c r="E2">
        <f>COUNTIFS(Table1[Issue Type],Table3[[#This Row],[Issue Type]],Table1[Status],"open")</f>
        <v>11</v>
      </c>
      <c r="G2" t="s">
        <v>53</v>
      </c>
    </row>
    <row r="3" spans="1:17" ht="15.95">
      <c r="A3" t="s">
        <v>45</v>
      </c>
      <c r="D3" t="s">
        <v>40</v>
      </c>
      <c r="E3">
        <f>COUNTIFS(Table1[Issue Type],Table3[[#This Row],[Issue Type]],Table1[Status],"open")</f>
        <v>58</v>
      </c>
      <c r="G3" t="s">
        <v>445</v>
      </c>
      <c r="Q3" s="25" t="s">
        <v>70</v>
      </c>
    </row>
    <row r="4" spans="1:17" ht="15.95">
      <c r="D4" t="s">
        <v>81</v>
      </c>
      <c r="E4">
        <f>COUNTIFS(Table1[Issue Type],Table3[[#This Row],[Issue Type]],Table1[Status],"open")</f>
        <v>11</v>
      </c>
      <c r="G4" t="s">
        <v>69</v>
      </c>
      <c r="Q4" s="28" t="s">
        <v>95</v>
      </c>
    </row>
    <row r="5" spans="1:17" ht="15.95">
      <c r="D5" t="s">
        <v>75</v>
      </c>
      <c r="E5">
        <f>COUNTIFS(Table1[Issue Type],Table3[[#This Row],[Issue Type]],Table1[Status],"open")</f>
        <v>6</v>
      </c>
      <c r="G5" t="s">
        <v>53</v>
      </c>
      <c r="Q5" s="25" t="s">
        <v>637</v>
      </c>
    </row>
    <row r="6" spans="1:17" ht="15.95">
      <c r="D6" t="s">
        <v>115</v>
      </c>
      <c r="E6">
        <f>COUNTIFS(Table1[Issue Type],Table3[[#This Row],[Issue Type]],Table1[Status],"open")</f>
        <v>27</v>
      </c>
      <c r="G6" t="s">
        <v>39</v>
      </c>
      <c r="K6" t="s">
        <v>2078</v>
      </c>
      <c r="L6" t="s">
        <v>203</v>
      </c>
      <c r="Q6" s="25" t="s">
        <v>632</v>
      </c>
    </row>
    <row r="7" spans="1:17" ht="15.95">
      <c r="D7" t="s">
        <v>167</v>
      </c>
      <c r="E7">
        <f>COUNTIFS(Table1[Issue Type],Table3[[#This Row],[Issue Type]],Table1[Status],"open")</f>
        <v>2</v>
      </c>
      <c r="K7" t="s">
        <v>2078</v>
      </c>
      <c r="L7" t="s">
        <v>40</v>
      </c>
      <c r="Q7" s="28" t="s">
        <v>646</v>
      </c>
    </row>
    <row r="8" spans="1:17" ht="15.95">
      <c r="D8" t="s">
        <v>207</v>
      </c>
      <c r="E8">
        <f>COUNTIFS(Table1[Issue Type],Table3[[#This Row],[Issue Type]],Table1[Status],"open")</f>
        <v>8</v>
      </c>
      <c r="K8" t="s">
        <v>2078</v>
      </c>
      <c r="L8" t="s">
        <v>81</v>
      </c>
      <c r="Q8" s="25" t="s">
        <v>128</v>
      </c>
    </row>
    <row r="9" spans="1:17" ht="15.95">
      <c r="D9" t="s">
        <v>817</v>
      </c>
      <c r="E9">
        <f>COUNTIFS(Table1[Issue Type],Table3[[#This Row],[Issue Type]],Table1[Status],"open")</f>
        <v>0</v>
      </c>
      <c r="K9" t="s">
        <v>2078</v>
      </c>
      <c r="L9" t="s">
        <v>75</v>
      </c>
      <c r="Q9" s="25" t="s">
        <v>1474</v>
      </c>
    </row>
    <row r="10" spans="1:17" ht="15.95">
      <c r="D10" t="s">
        <v>1365</v>
      </c>
      <c r="E10">
        <f>COUNTIFS(Table1[Issue Type],Table3[[#This Row],[Issue Type]],Table1[Status],"open")</f>
        <v>0</v>
      </c>
      <c r="K10" t="s">
        <v>2078</v>
      </c>
      <c r="L10" t="s">
        <v>115</v>
      </c>
      <c r="Q10" s="28" t="s">
        <v>278</v>
      </c>
    </row>
    <row r="11" spans="1:17" ht="15.95">
      <c r="D11" t="s">
        <v>835</v>
      </c>
      <c r="E11">
        <f>COUNTIFS(Table1[Issue Type],Table3[[#This Row],[Issue Type]],Table1[Status],"open")</f>
        <v>0</v>
      </c>
      <c r="K11" t="s">
        <v>167</v>
      </c>
      <c r="L11" t="s">
        <v>167</v>
      </c>
      <c r="Q11" s="25" t="s">
        <v>2074</v>
      </c>
    </row>
    <row r="12" spans="1:17" ht="15.95">
      <c r="D12" t="s">
        <v>86</v>
      </c>
      <c r="E12">
        <f>COUNTIFS(Table1[Issue Type],Table3[[#This Row],[Issue Type]],Table1[Status],"open")</f>
        <v>24</v>
      </c>
      <c r="K12" t="s">
        <v>1834</v>
      </c>
      <c r="L12" t="s">
        <v>207</v>
      </c>
      <c r="Q12" s="25" t="s">
        <v>605</v>
      </c>
    </row>
    <row r="13" spans="1:17" ht="15.95">
      <c r="D13" t="s">
        <v>2</v>
      </c>
      <c r="E13">
        <f>COUNTIFS(Table1[Issue Type],Table3[[#This Row],[Issue Type]],Table1[Status],"open")</f>
        <v>0</v>
      </c>
      <c r="K13" t="s">
        <v>1834</v>
      </c>
      <c r="L13" t="s">
        <v>817</v>
      </c>
      <c r="Q13" s="25" t="s">
        <v>964</v>
      </c>
    </row>
    <row r="14" spans="1:17" ht="15.95">
      <c r="D14" t="s">
        <v>153</v>
      </c>
      <c r="E14">
        <f>COUNTIFS(Table1[Issue Type],Table3[[#This Row],[Issue Type]],Table1[Status],"open")</f>
        <v>15</v>
      </c>
      <c r="L14" t="s">
        <v>1365</v>
      </c>
      <c r="Q14" s="28" t="s">
        <v>114</v>
      </c>
    </row>
    <row r="15" spans="1:17" ht="15.95">
      <c r="D15" t="s">
        <v>511</v>
      </c>
      <c r="E15">
        <f>COUNTIFS(Table1[Issue Type],Table3[[#This Row],[Issue Type]],Table1[Status],"open")</f>
        <v>9</v>
      </c>
      <c r="L15" t="s">
        <v>835</v>
      </c>
      <c r="Q15" s="25" t="s">
        <v>1725</v>
      </c>
    </row>
    <row r="16" spans="1:17" ht="15.95">
      <c r="D16" t="s">
        <v>46</v>
      </c>
      <c r="E16">
        <f>COUNTIFS(Table1[Issue Type],Table3[[#This Row],[Issue Type]],Table1[Status],"open")</f>
        <v>5</v>
      </c>
      <c r="L16" t="s">
        <v>86</v>
      </c>
      <c r="Q16" s="28" t="s">
        <v>138</v>
      </c>
    </row>
    <row r="17" spans="4:17" ht="15.95">
      <c r="D17" s="55" t="s">
        <v>55</v>
      </c>
      <c r="E17" s="55">
        <f>COUNTIFS(Table1[Issue Type],Table3[[#This Row],[Issue Type]],Table1[Status],"open")</f>
        <v>18</v>
      </c>
      <c r="Q17" s="28" t="s">
        <v>1731</v>
      </c>
    </row>
    <row r="18" spans="4:17" ht="15.95">
      <c r="D18" t="s">
        <v>282</v>
      </c>
      <c r="E18">
        <f>COUNTIFS(Table1[Issue Type],Table3[[#This Row],[Issue Type]],Table1[Status],"open")</f>
        <v>0</v>
      </c>
      <c r="Q18" s="25" t="s">
        <v>1247</v>
      </c>
    </row>
    <row r="19" spans="4:17" ht="15.95">
      <c r="D19" t="s">
        <v>788</v>
      </c>
      <c r="E19">
        <f>COUNTIFS(Table1[Issue Type],Table3[[#This Row],[Issue Type]],Table1[Status],"open")</f>
        <v>2</v>
      </c>
      <c r="Q19" s="28" t="s">
        <v>2075</v>
      </c>
    </row>
    <row r="20" spans="4:17" ht="15.95">
      <c r="D20" t="s">
        <v>493</v>
      </c>
      <c r="E20">
        <f>COUNTIFS(Table1[Issue Type],Table3[[#This Row],[Issue Type]],Table1[Status],"open")</f>
        <v>2</v>
      </c>
      <c r="Q20" s="25" t="s">
        <v>1255</v>
      </c>
    </row>
    <row r="21" spans="4:17" ht="15.95">
      <c r="D21" t="s">
        <v>975</v>
      </c>
      <c r="E21">
        <f>COUNTIFS(Table1[Issue Type],Table3[[#This Row],[Issue Type]],Table1[Status],"open")</f>
        <v>0</v>
      </c>
      <c r="Q21" s="28" t="s">
        <v>2069</v>
      </c>
    </row>
    <row r="22" spans="4:17" ht="15.95">
      <c r="Q22" s="25" t="s">
        <v>1042</v>
      </c>
    </row>
    <row r="23" spans="4:17" ht="15.95">
      <c r="Q23" s="25" t="s">
        <v>541</v>
      </c>
    </row>
    <row r="24" spans="4:17" ht="15.95">
      <c r="Q24" s="25" t="s">
        <v>548</v>
      </c>
    </row>
    <row r="25" spans="4:17" ht="15.95">
      <c r="Q25" s="26" t="s">
        <v>2079</v>
      </c>
    </row>
    <row r="26" spans="4:17" ht="32.1">
      <c r="Q26" s="79" t="s">
        <v>124</v>
      </c>
    </row>
    <row r="27" spans="4:17" ht="15.95">
      <c r="Q27" s="25" t="s">
        <v>102</v>
      </c>
    </row>
    <row r="28" spans="4:17">
      <c r="Q28" s="81" t="s">
        <v>2080</v>
      </c>
    </row>
    <row r="29" spans="4:17">
      <c r="Q29" s="80" t="s">
        <v>274</v>
      </c>
    </row>
    <row r="30" spans="4:17">
      <c r="Q30" s="80" t="s">
        <v>348</v>
      </c>
    </row>
    <row r="31" spans="4:17">
      <c r="Q31" s="80" t="s">
        <v>2081</v>
      </c>
    </row>
  </sheetData>
  <conditionalFormatting sqref="A1">
    <cfRule type="cellIs" dxfId="30" priority="1" operator="equal">
      <formula>"Closed"</formula>
    </cfRule>
  </conditionalFormatting>
  <pageMargins left="0.7" right="0.7" top="0.75" bottom="0.75" header="0.3" footer="0.3"/>
  <headerFooter>
    <oddFooter>&amp;C_x000D_&amp;1#&amp;"Calibri"&amp;10&amp;K0000FF CLASSIFICATION: Public</oddFooter>
  </headerFooter>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5E88-EE87-465E-9EB7-A4EB02581E40}">
  <sheetPr codeName="Sheet4"/>
  <dimension ref="A3:O123"/>
  <sheetViews>
    <sheetView zoomScale="80" zoomScaleNormal="80" workbookViewId="0">
      <selection activeCell="H24" sqref="H24"/>
    </sheetView>
  </sheetViews>
  <sheetFormatPr defaultRowHeight="14.45"/>
  <cols>
    <col min="1" max="1" width="9" customWidth="1"/>
    <col min="2" max="2" width="5.140625" customWidth="1"/>
    <col min="3" max="3" width="13.140625" customWidth="1"/>
    <col min="4" max="4" width="8.5703125" bestFit="1" customWidth="1"/>
    <col min="5" max="5" width="12.5703125" customWidth="1"/>
    <col min="6" max="6" width="41.140625" customWidth="1"/>
    <col min="7" max="7" width="8.85546875" customWidth="1"/>
    <col min="8" max="8" width="50.5703125" customWidth="1"/>
    <col min="9" max="9" width="46.42578125" customWidth="1"/>
    <col min="10" max="10" width="11" customWidth="1"/>
    <col min="11" max="11" width="15.85546875" customWidth="1"/>
    <col min="12" max="12" width="24.5703125" customWidth="1"/>
    <col min="13" max="13" width="8.140625" customWidth="1"/>
    <col min="14" max="14" width="22.85546875" customWidth="1"/>
    <col min="15" max="15" width="14.140625" customWidth="1"/>
  </cols>
  <sheetData>
    <row r="3" spans="1:15" ht="18.95" customHeight="1"/>
    <row r="4" spans="1:15" ht="18.95" customHeight="1"/>
    <row r="9" spans="1:15">
      <c r="A9" s="1" t="s">
        <v>12</v>
      </c>
      <c r="B9" s="2" t="s">
        <v>16</v>
      </c>
      <c r="C9" s="1" t="s">
        <v>17</v>
      </c>
      <c r="D9" s="1" t="s">
        <v>18</v>
      </c>
      <c r="E9" s="3" t="s">
        <v>2082</v>
      </c>
      <c r="F9" s="3" t="s">
        <v>21</v>
      </c>
      <c r="G9" s="3" t="s">
        <v>22</v>
      </c>
      <c r="H9" s="3" t="s">
        <v>23</v>
      </c>
      <c r="I9" s="3" t="s">
        <v>24</v>
      </c>
      <c r="J9" s="3" t="s">
        <v>27</v>
      </c>
      <c r="K9" s="4" t="s">
        <v>28</v>
      </c>
      <c r="L9" s="3" t="s">
        <v>29</v>
      </c>
      <c r="M9" s="3" t="s">
        <v>30</v>
      </c>
      <c r="N9" s="3" t="s">
        <v>31</v>
      </c>
      <c r="O9" s="5" t="s">
        <v>32</v>
      </c>
    </row>
    <row r="10" spans="1:15" ht="57.95">
      <c r="A10" s="29" t="s">
        <v>1269</v>
      </c>
      <c r="B10" s="6">
        <v>3</v>
      </c>
      <c r="C10" s="6" t="s">
        <v>69</v>
      </c>
      <c r="D10" s="25" t="s">
        <v>1295</v>
      </c>
      <c r="E10" s="7">
        <v>45581</v>
      </c>
      <c r="F10" s="8" t="s">
        <v>2083</v>
      </c>
      <c r="G10" s="9" t="s">
        <v>6</v>
      </c>
      <c r="H10" s="8" t="s">
        <v>1293</v>
      </c>
      <c r="I10" s="8" t="s">
        <v>2084</v>
      </c>
      <c r="J10" s="10" t="s">
        <v>1295</v>
      </c>
      <c r="K10" s="11">
        <v>45704</v>
      </c>
      <c r="L10" s="12">
        <v>45762</v>
      </c>
      <c r="M10" s="12" t="s">
        <v>65</v>
      </c>
      <c r="N10" s="12" t="s">
        <v>1296</v>
      </c>
      <c r="O10" s="13"/>
    </row>
    <row r="11" spans="1:15" ht="63.95">
      <c r="A11" s="30" t="s">
        <v>620</v>
      </c>
      <c r="B11" s="27">
        <v>1</v>
      </c>
      <c r="C11" s="27" t="s">
        <v>69</v>
      </c>
      <c r="D11" s="28" t="s">
        <v>95</v>
      </c>
      <c r="E11" s="15">
        <v>45580</v>
      </c>
      <c r="F11" s="16" t="s">
        <v>2085</v>
      </c>
      <c r="G11" s="17" t="s">
        <v>6</v>
      </c>
      <c r="H11" s="16" t="s">
        <v>2086</v>
      </c>
      <c r="I11" s="16" t="s">
        <v>2087</v>
      </c>
      <c r="J11" s="18" t="s">
        <v>650</v>
      </c>
      <c r="K11" s="19">
        <v>45655</v>
      </c>
      <c r="L11" s="20">
        <v>45901</v>
      </c>
      <c r="M11" s="20" t="s">
        <v>65</v>
      </c>
      <c r="N11" s="20" t="s">
        <v>2088</v>
      </c>
      <c r="O11" s="21" t="s">
        <v>2089</v>
      </c>
    </row>
    <row r="12" spans="1:15" ht="87">
      <c r="A12" s="29" t="s">
        <v>620</v>
      </c>
      <c r="B12" s="6">
        <v>2</v>
      </c>
      <c r="C12" s="6" t="s">
        <v>69</v>
      </c>
      <c r="D12" s="25" t="s">
        <v>637</v>
      </c>
      <c r="E12" s="7">
        <v>45580</v>
      </c>
      <c r="F12" s="8" t="s">
        <v>2090</v>
      </c>
      <c r="G12" s="9" t="s">
        <v>6</v>
      </c>
      <c r="H12" s="8" t="s">
        <v>2091</v>
      </c>
      <c r="I12" s="8" t="s">
        <v>2092</v>
      </c>
      <c r="J12" s="10" t="s">
        <v>2093</v>
      </c>
      <c r="K12" s="11">
        <v>45636</v>
      </c>
      <c r="L12" s="12">
        <v>45839</v>
      </c>
      <c r="M12" s="12" t="s">
        <v>65</v>
      </c>
      <c r="N12" s="12" t="s">
        <v>641</v>
      </c>
      <c r="O12" s="13" t="s">
        <v>2089</v>
      </c>
    </row>
    <row r="13" spans="1:15" ht="63.95">
      <c r="A13" s="30" t="s">
        <v>620</v>
      </c>
      <c r="B13" s="27">
        <v>3</v>
      </c>
      <c r="C13" s="27" t="s">
        <v>69</v>
      </c>
      <c r="D13" s="28" t="s">
        <v>70</v>
      </c>
      <c r="E13" s="15">
        <v>45580</v>
      </c>
      <c r="F13" s="16" t="s">
        <v>2094</v>
      </c>
      <c r="G13" s="17" t="s">
        <v>6</v>
      </c>
      <c r="H13" s="16" t="s">
        <v>2095</v>
      </c>
      <c r="I13" s="16" t="s">
        <v>649</v>
      </c>
      <c r="J13" s="18" t="s">
        <v>650</v>
      </c>
      <c r="K13" s="19">
        <v>45651</v>
      </c>
      <c r="L13" s="20">
        <v>45778</v>
      </c>
      <c r="M13" s="20" t="s">
        <v>65</v>
      </c>
      <c r="N13" s="20" t="s">
        <v>2096</v>
      </c>
      <c r="O13" s="21" t="s">
        <v>2089</v>
      </c>
    </row>
    <row r="14" spans="1:15" ht="43.5">
      <c r="A14" s="29" t="s">
        <v>620</v>
      </c>
      <c r="B14" s="6">
        <v>4</v>
      </c>
      <c r="C14" s="6" t="s">
        <v>69</v>
      </c>
      <c r="D14" s="25" t="s">
        <v>632</v>
      </c>
      <c r="E14" s="7"/>
      <c r="F14" s="8" t="s">
        <v>2097</v>
      </c>
      <c r="G14" s="9" t="s">
        <v>6</v>
      </c>
      <c r="H14" s="8" t="s">
        <v>2098</v>
      </c>
      <c r="I14" s="8" t="s">
        <v>2099</v>
      </c>
      <c r="J14" s="10" t="s">
        <v>626</v>
      </c>
      <c r="K14" s="11">
        <v>45731</v>
      </c>
      <c r="L14" s="12">
        <v>45838</v>
      </c>
      <c r="M14" s="12" t="s">
        <v>65</v>
      </c>
      <c r="N14" s="12" t="s">
        <v>2096</v>
      </c>
      <c r="O14" s="13"/>
    </row>
    <row r="15" spans="1:15" ht="43.5">
      <c r="A15" s="30" t="s">
        <v>620</v>
      </c>
      <c r="B15" s="27">
        <v>5</v>
      </c>
      <c r="C15" s="27" t="s">
        <v>69</v>
      </c>
      <c r="D15" s="28" t="s">
        <v>646</v>
      </c>
      <c r="E15" s="15">
        <v>45597</v>
      </c>
      <c r="F15" s="16" t="s">
        <v>647</v>
      </c>
      <c r="G15" s="17" t="s">
        <v>8</v>
      </c>
      <c r="H15" s="16" t="s">
        <v>2100</v>
      </c>
      <c r="I15" s="16" t="s">
        <v>649</v>
      </c>
      <c r="J15" s="18" t="s">
        <v>650</v>
      </c>
      <c r="K15" s="19">
        <v>45597</v>
      </c>
      <c r="L15" s="20">
        <v>45823</v>
      </c>
      <c r="M15" s="20" t="s">
        <v>65</v>
      </c>
      <c r="N15" s="20" t="s">
        <v>641</v>
      </c>
      <c r="O15" s="21"/>
    </row>
    <row r="16" spans="1:15" ht="43.5">
      <c r="A16" s="29" t="s">
        <v>656</v>
      </c>
      <c r="B16" s="6">
        <v>1</v>
      </c>
      <c r="C16" s="6" t="s">
        <v>69</v>
      </c>
      <c r="D16" s="25" t="s">
        <v>95</v>
      </c>
      <c r="E16" s="7">
        <v>45543</v>
      </c>
      <c r="F16" s="8" t="s">
        <v>2101</v>
      </c>
      <c r="G16" s="9" t="s">
        <v>6</v>
      </c>
      <c r="H16" s="8" t="s">
        <v>2102</v>
      </c>
      <c r="I16" s="8" t="s">
        <v>2087</v>
      </c>
      <c r="J16" s="10" t="s">
        <v>929</v>
      </c>
      <c r="K16" s="11">
        <v>45736</v>
      </c>
      <c r="L16" s="12">
        <v>45884</v>
      </c>
      <c r="M16" s="12" t="s">
        <v>65</v>
      </c>
      <c r="N16" s="12" t="s">
        <v>669</v>
      </c>
      <c r="O16" s="13" t="s">
        <v>663</v>
      </c>
    </row>
    <row r="17" spans="1:15" ht="43.5">
      <c r="A17" s="30" t="s">
        <v>656</v>
      </c>
      <c r="B17" s="27">
        <v>3</v>
      </c>
      <c r="C17" s="27" t="s">
        <v>69</v>
      </c>
      <c r="D17" s="28" t="s">
        <v>1975</v>
      </c>
      <c r="E17" s="15">
        <v>45653</v>
      </c>
      <c r="F17" s="16" t="s">
        <v>642</v>
      </c>
      <c r="G17" s="17" t="s">
        <v>6</v>
      </c>
      <c r="H17" s="16" t="s">
        <v>2103</v>
      </c>
      <c r="I17" s="16" t="s">
        <v>2104</v>
      </c>
      <c r="J17" s="18" t="s">
        <v>929</v>
      </c>
      <c r="K17" s="19">
        <v>45725</v>
      </c>
      <c r="L17" s="20">
        <v>45777</v>
      </c>
      <c r="M17" s="20" t="s">
        <v>65</v>
      </c>
      <c r="N17" s="20" t="s">
        <v>654</v>
      </c>
      <c r="O17" s="21"/>
    </row>
    <row r="18" spans="1:15" ht="43.5">
      <c r="A18" s="29" t="s">
        <v>656</v>
      </c>
      <c r="B18" s="6">
        <v>4</v>
      </c>
      <c r="C18" s="6" t="s">
        <v>69</v>
      </c>
      <c r="D18" s="25" t="s">
        <v>632</v>
      </c>
      <c r="E18" s="7">
        <v>45641</v>
      </c>
      <c r="F18" s="8" t="s">
        <v>2097</v>
      </c>
      <c r="G18" s="9" t="s">
        <v>6</v>
      </c>
      <c r="H18" s="8" t="s">
        <v>2098</v>
      </c>
      <c r="I18" s="8" t="s">
        <v>2099</v>
      </c>
      <c r="J18" s="10" t="s">
        <v>626</v>
      </c>
      <c r="K18" s="11">
        <v>45731</v>
      </c>
      <c r="L18" s="12">
        <v>45838</v>
      </c>
      <c r="M18" s="12" t="s">
        <v>65</v>
      </c>
      <c r="N18" s="12" t="s">
        <v>2096</v>
      </c>
      <c r="O18" s="13"/>
    </row>
    <row r="19" spans="1:15" ht="87">
      <c r="A19" s="30" t="s">
        <v>656</v>
      </c>
      <c r="B19" s="27">
        <v>5</v>
      </c>
      <c r="C19" s="27" t="s">
        <v>69</v>
      </c>
      <c r="D19" s="28" t="s">
        <v>1992</v>
      </c>
      <c r="E19" s="15">
        <v>45571</v>
      </c>
      <c r="F19" s="16" t="s">
        <v>2105</v>
      </c>
      <c r="G19" s="17" t="s">
        <v>8</v>
      </c>
      <c r="H19" s="16" t="s">
        <v>2106</v>
      </c>
      <c r="I19" s="16" t="s">
        <v>2092</v>
      </c>
      <c r="J19" s="18" t="s">
        <v>929</v>
      </c>
      <c r="K19" s="19">
        <v>45735</v>
      </c>
      <c r="L19" s="20">
        <v>45839</v>
      </c>
      <c r="M19" s="20" t="s">
        <v>65</v>
      </c>
      <c r="N19" s="20" t="s">
        <v>673</v>
      </c>
      <c r="O19" s="21"/>
    </row>
    <row r="20" spans="1:15" ht="29.1">
      <c r="A20" s="29" t="s">
        <v>656</v>
      </c>
      <c r="B20" s="6">
        <v>6</v>
      </c>
      <c r="C20" s="6" t="s">
        <v>69</v>
      </c>
      <c r="D20" s="25" t="s">
        <v>1054</v>
      </c>
      <c r="E20" s="7">
        <v>45623</v>
      </c>
      <c r="F20" s="8" t="s">
        <v>2107</v>
      </c>
      <c r="G20" s="9" t="s">
        <v>8</v>
      </c>
      <c r="H20" s="8" t="s">
        <v>2108</v>
      </c>
      <c r="I20" s="8" t="s">
        <v>2109</v>
      </c>
      <c r="J20" s="10" t="s">
        <v>929</v>
      </c>
      <c r="K20" s="11">
        <v>45687</v>
      </c>
      <c r="L20" s="12">
        <v>45823</v>
      </c>
      <c r="M20" s="12" t="s">
        <v>65</v>
      </c>
      <c r="N20" s="12" t="s">
        <v>2110</v>
      </c>
      <c r="O20" s="13"/>
    </row>
    <row r="21" spans="1:15" ht="72.599999999999994">
      <c r="A21" s="30" t="s">
        <v>1624</v>
      </c>
      <c r="B21" s="27">
        <v>4</v>
      </c>
      <c r="C21" s="27" t="s">
        <v>69</v>
      </c>
      <c r="D21" s="28" t="s">
        <v>128</v>
      </c>
      <c r="E21" s="15">
        <v>45659</v>
      </c>
      <c r="F21" s="16" t="s">
        <v>2111</v>
      </c>
      <c r="G21" s="17" t="s">
        <v>6</v>
      </c>
      <c r="H21" s="16" t="s">
        <v>2112</v>
      </c>
      <c r="I21" s="16" t="s">
        <v>2113</v>
      </c>
      <c r="J21" s="18" t="s">
        <v>2114</v>
      </c>
      <c r="K21" s="19">
        <v>45667</v>
      </c>
      <c r="L21" s="20">
        <v>45757</v>
      </c>
      <c r="M21" s="20" t="s">
        <v>65</v>
      </c>
      <c r="N21" s="20" t="s">
        <v>2115</v>
      </c>
      <c r="O21" s="21" t="s">
        <v>2116</v>
      </c>
    </row>
    <row r="22" spans="1:15" ht="43.5">
      <c r="A22" s="29" t="s">
        <v>1624</v>
      </c>
      <c r="B22" s="6">
        <v>5</v>
      </c>
      <c r="C22" s="6" t="s">
        <v>69</v>
      </c>
      <c r="D22" s="25" t="s">
        <v>128</v>
      </c>
      <c r="E22" s="7"/>
      <c r="F22" s="8" t="s">
        <v>2117</v>
      </c>
      <c r="G22" s="9" t="s">
        <v>6</v>
      </c>
      <c r="H22" s="8" t="s">
        <v>2118</v>
      </c>
      <c r="I22" s="8" t="s">
        <v>2119</v>
      </c>
      <c r="J22" s="10" t="s">
        <v>59</v>
      </c>
      <c r="K22" s="11">
        <v>45867</v>
      </c>
      <c r="L22" s="12">
        <v>45867</v>
      </c>
      <c r="M22" s="12" t="s">
        <v>65</v>
      </c>
      <c r="N22" s="12"/>
      <c r="O22" s="13"/>
    </row>
    <row r="23" spans="1:15" ht="43.5">
      <c r="A23" s="22" t="s">
        <v>1624</v>
      </c>
      <c r="B23" s="23">
        <v>6</v>
      </c>
      <c r="C23" s="23" t="s">
        <v>69</v>
      </c>
      <c r="D23" s="24" t="s">
        <v>1975</v>
      </c>
      <c r="E23" s="15"/>
      <c r="F23" s="16" t="s">
        <v>2120</v>
      </c>
      <c r="G23" s="17" t="s">
        <v>8</v>
      </c>
      <c r="H23" s="16" t="s">
        <v>2121</v>
      </c>
      <c r="I23" s="16" t="s">
        <v>1649</v>
      </c>
      <c r="J23" s="18" t="s">
        <v>59</v>
      </c>
      <c r="K23" s="19">
        <v>45839</v>
      </c>
      <c r="L23" s="20">
        <v>45899</v>
      </c>
      <c r="M23" s="20" t="s">
        <v>65</v>
      </c>
      <c r="N23" s="20"/>
      <c r="O23" s="21"/>
    </row>
    <row r="24" spans="1:15" ht="87">
      <c r="A24" s="29" t="s">
        <v>1460</v>
      </c>
      <c r="B24" s="6">
        <v>1</v>
      </c>
      <c r="C24" s="6" t="s">
        <v>69</v>
      </c>
      <c r="D24" s="25" t="s">
        <v>128</v>
      </c>
      <c r="E24" s="7">
        <v>45656</v>
      </c>
      <c r="F24" s="8" t="s">
        <v>1463</v>
      </c>
      <c r="G24" s="9" t="s">
        <v>6</v>
      </c>
      <c r="H24" s="8" t="s">
        <v>2122</v>
      </c>
      <c r="I24" s="8" t="s">
        <v>2123</v>
      </c>
      <c r="J24" s="10" t="s">
        <v>929</v>
      </c>
      <c r="K24" s="11">
        <v>45921</v>
      </c>
      <c r="L24" s="12">
        <v>45960</v>
      </c>
      <c r="M24" s="12" t="s">
        <v>65</v>
      </c>
      <c r="N24" s="12" t="s">
        <v>2124</v>
      </c>
      <c r="O24" s="13"/>
    </row>
    <row r="25" spans="1:15" ht="72.599999999999994">
      <c r="A25" s="30" t="s">
        <v>1460</v>
      </c>
      <c r="B25" s="27">
        <v>7</v>
      </c>
      <c r="C25" s="27" t="s">
        <v>69</v>
      </c>
      <c r="D25" s="28" t="s">
        <v>278</v>
      </c>
      <c r="E25" s="15">
        <v>45615</v>
      </c>
      <c r="F25" s="16" t="s">
        <v>2125</v>
      </c>
      <c r="G25" s="17" t="s">
        <v>8</v>
      </c>
      <c r="H25" s="16" t="s">
        <v>2126</v>
      </c>
      <c r="I25" s="16" t="s">
        <v>2127</v>
      </c>
      <c r="J25" s="18" t="s">
        <v>795</v>
      </c>
      <c r="K25" s="19">
        <v>46014</v>
      </c>
      <c r="L25" s="20">
        <v>46014</v>
      </c>
      <c r="M25" s="20" t="s">
        <v>65</v>
      </c>
      <c r="N25" s="20" t="s">
        <v>1473</v>
      </c>
      <c r="O25" s="21"/>
    </row>
    <row r="26" spans="1:15" ht="29.1">
      <c r="A26" s="29" t="s">
        <v>934</v>
      </c>
      <c r="B26" s="6">
        <v>2</v>
      </c>
      <c r="C26" s="6" t="s">
        <v>69</v>
      </c>
      <c r="D26" s="25" t="s">
        <v>1975</v>
      </c>
      <c r="E26" s="7"/>
      <c r="F26" s="8" t="s">
        <v>2128</v>
      </c>
      <c r="G26" s="9" t="s">
        <v>6</v>
      </c>
      <c r="H26" s="8" t="s">
        <v>2129</v>
      </c>
      <c r="I26" s="8" t="s">
        <v>2130</v>
      </c>
      <c r="J26" s="10" t="s">
        <v>59</v>
      </c>
      <c r="K26" s="11">
        <v>45801</v>
      </c>
      <c r="L26" s="12">
        <v>45823</v>
      </c>
      <c r="M26" s="12" t="s">
        <v>65</v>
      </c>
      <c r="N26" s="12"/>
      <c r="O26" s="13"/>
    </row>
    <row r="27" spans="1:15" ht="111.95">
      <c r="A27" s="30" t="s">
        <v>934</v>
      </c>
      <c r="B27" s="27">
        <v>3</v>
      </c>
      <c r="C27" s="27" t="s">
        <v>69</v>
      </c>
      <c r="D27" s="28" t="s">
        <v>95</v>
      </c>
      <c r="E27" s="15">
        <v>45421</v>
      </c>
      <c r="F27" s="16" t="s">
        <v>2131</v>
      </c>
      <c r="G27" s="17" t="s">
        <v>6</v>
      </c>
      <c r="H27" s="16" t="s">
        <v>951</v>
      </c>
      <c r="I27" s="16" t="s">
        <v>952</v>
      </c>
      <c r="J27" s="18" t="s">
        <v>795</v>
      </c>
      <c r="K27" s="19" t="s">
        <v>2132</v>
      </c>
      <c r="L27" s="20">
        <v>46079</v>
      </c>
      <c r="M27" s="20" t="s">
        <v>65</v>
      </c>
      <c r="N27" s="20" t="s">
        <v>954</v>
      </c>
      <c r="O27" s="21" t="s">
        <v>2133</v>
      </c>
    </row>
    <row r="28" spans="1:15" ht="43.5">
      <c r="A28" s="29" t="s">
        <v>934</v>
      </c>
      <c r="B28" s="6">
        <v>4</v>
      </c>
      <c r="C28" s="6" t="s">
        <v>69</v>
      </c>
      <c r="D28" s="25" t="s">
        <v>605</v>
      </c>
      <c r="E28" s="7">
        <v>45704</v>
      </c>
      <c r="F28" s="8" t="s">
        <v>958</v>
      </c>
      <c r="G28" s="9" t="s">
        <v>6</v>
      </c>
      <c r="H28" s="8" t="s">
        <v>2134</v>
      </c>
      <c r="I28" s="8" t="s">
        <v>2135</v>
      </c>
      <c r="J28" s="10" t="s">
        <v>795</v>
      </c>
      <c r="K28" s="11">
        <v>45851</v>
      </c>
      <c r="L28" s="12">
        <v>46098</v>
      </c>
      <c r="M28" s="12" t="s">
        <v>65</v>
      </c>
      <c r="N28" s="12" t="s">
        <v>961</v>
      </c>
      <c r="O28" s="13" t="s">
        <v>2136</v>
      </c>
    </row>
    <row r="29" spans="1:15" ht="57.95">
      <c r="A29" s="30" t="s">
        <v>934</v>
      </c>
      <c r="B29" s="27">
        <v>5</v>
      </c>
      <c r="C29" s="27" t="s">
        <v>69</v>
      </c>
      <c r="D29" s="28" t="s">
        <v>128</v>
      </c>
      <c r="E29" s="15">
        <v>45667</v>
      </c>
      <c r="F29" s="16" t="s">
        <v>2137</v>
      </c>
      <c r="G29" s="17" t="s">
        <v>6</v>
      </c>
      <c r="H29" s="16" t="s">
        <v>983</v>
      </c>
      <c r="I29" s="16" t="s">
        <v>2138</v>
      </c>
      <c r="J29" s="18" t="s">
        <v>59</v>
      </c>
      <c r="K29" s="19">
        <v>45762</v>
      </c>
      <c r="L29" s="20">
        <v>45823</v>
      </c>
      <c r="M29" s="20" t="s">
        <v>65</v>
      </c>
      <c r="N29" s="20"/>
      <c r="O29" s="21"/>
    </row>
    <row r="30" spans="1:15" ht="32.1">
      <c r="A30" s="29" t="s">
        <v>934</v>
      </c>
      <c r="B30" s="6">
        <v>5</v>
      </c>
      <c r="C30" s="6" t="s">
        <v>69</v>
      </c>
      <c r="D30" s="25" t="s">
        <v>964</v>
      </c>
      <c r="E30" s="7">
        <v>45722</v>
      </c>
      <c r="F30" s="8" t="s">
        <v>970</v>
      </c>
      <c r="G30" s="9" t="s">
        <v>8</v>
      </c>
      <c r="H30" s="8" t="s">
        <v>971</v>
      </c>
      <c r="I30" s="8" t="s">
        <v>2139</v>
      </c>
      <c r="J30" s="10" t="s">
        <v>795</v>
      </c>
      <c r="K30" s="11">
        <v>45708</v>
      </c>
      <c r="L30" s="12">
        <v>45777</v>
      </c>
      <c r="M30" s="12" t="s">
        <v>65</v>
      </c>
      <c r="N30" s="12" t="s">
        <v>973</v>
      </c>
      <c r="O30" s="13"/>
    </row>
    <row r="31" spans="1:15" ht="57.95">
      <c r="A31" s="30" t="s">
        <v>914</v>
      </c>
      <c r="B31" s="27">
        <v>6</v>
      </c>
      <c r="C31" s="27" t="s">
        <v>69</v>
      </c>
      <c r="D31" s="28" t="s">
        <v>128</v>
      </c>
      <c r="E31" s="15">
        <v>45656</v>
      </c>
      <c r="F31" s="16" t="s">
        <v>2140</v>
      </c>
      <c r="G31" s="17" t="s">
        <v>6</v>
      </c>
      <c r="H31" s="16" t="s">
        <v>927</v>
      </c>
      <c r="I31" s="16" t="s">
        <v>2141</v>
      </c>
      <c r="J31" s="18" t="s">
        <v>929</v>
      </c>
      <c r="K31" s="19">
        <v>45672</v>
      </c>
      <c r="L31" s="20">
        <v>45729</v>
      </c>
      <c r="M31" s="20" t="s">
        <v>65</v>
      </c>
      <c r="N31" s="20" t="s">
        <v>2142</v>
      </c>
      <c r="O31" s="21"/>
    </row>
    <row r="32" spans="1:15" ht="57.95">
      <c r="A32" s="29" t="s">
        <v>914</v>
      </c>
      <c r="B32" s="6">
        <v>9</v>
      </c>
      <c r="C32" s="6" t="s">
        <v>69</v>
      </c>
      <c r="D32" s="25" t="s">
        <v>128</v>
      </c>
      <c r="E32" s="7"/>
      <c r="F32" s="8" t="s">
        <v>2143</v>
      </c>
      <c r="G32" s="9" t="s">
        <v>6</v>
      </c>
      <c r="H32" s="8" t="s">
        <v>2118</v>
      </c>
      <c r="I32" s="8" t="s">
        <v>2144</v>
      </c>
      <c r="J32" s="10" t="s">
        <v>59</v>
      </c>
      <c r="K32" s="11">
        <v>45853</v>
      </c>
      <c r="L32" s="12">
        <v>45900</v>
      </c>
      <c r="M32" s="12" t="s">
        <v>65</v>
      </c>
      <c r="N32" s="12"/>
      <c r="O32" s="13"/>
    </row>
    <row r="33" spans="1:15" ht="57.95">
      <c r="A33" s="30" t="s">
        <v>914</v>
      </c>
      <c r="B33" s="27">
        <v>10</v>
      </c>
      <c r="C33" s="27" t="s">
        <v>69</v>
      </c>
      <c r="D33" s="28" t="s">
        <v>278</v>
      </c>
      <c r="E33" s="15">
        <v>45615</v>
      </c>
      <c r="F33" s="16" t="s">
        <v>2125</v>
      </c>
      <c r="G33" s="17" t="s">
        <v>8</v>
      </c>
      <c r="H33" s="16" t="s">
        <v>2145</v>
      </c>
      <c r="I33" s="16" t="s">
        <v>2146</v>
      </c>
      <c r="J33" s="18" t="s">
        <v>795</v>
      </c>
      <c r="K33" s="19">
        <v>46021</v>
      </c>
      <c r="L33" s="20">
        <v>45735</v>
      </c>
      <c r="M33" s="20" t="s">
        <v>65</v>
      </c>
      <c r="N33" s="20" t="s">
        <v>2147</v>
      </c>
      <c r="O33" s="21"/>
    </row>
    <row r="34" spans="1:15" ht="15.95">
      <c r="A34" s="22"/>
      <c r="B34" s="23"/>
      <c r="C34" s="23"/>
      <c r="D34" s="24"/>
      <c r="E34" s="15"/>
      <c r="F34" s="16"/>
      <c r="G34" s="17"/>
      <c r="H34" s="16"/>
      <c r="I34" s="16"/>
      <c r="J34" s="18"/>
      <c r="K34" s="19"/>
      <c r="L34" s="20"/>
      <c r="M34" s="20"/>
      <c r="N34" s="20"/>
      <c r="O34" s="21"/>
    </row>
    <row r="35" spans="1:15" ht="15.95">
      <c r="A35" s="31"/>
      <c r="B35" s="32"/>
      <c r="C35" s="32"/>
      <c r="D35" s="33"/>
      <c r="E35" s="15"/>
      <c r="F35" s="16"/>
      <c r="G35" s="17"/>
      <c r="H35" s="16"/>
      <c r="I35" s="16"/>
      <c r="J35" s="18"/>
      <c r="K35" s="19"/>
      <c r="L35" s="20"/>
      <c r="M35" s="20"/>
      <c r="N35" s="20"/>
      <c r="O35" s="21"/>
    </row>
    <row r="36" spans="1:15" ht="15.95">
      <c r="A36" s="31"/>
      <c r="B36" s="32"/>
      <c r="C36" s="32"/>
      <c r="D36" s="33"/>
      <c r="E36" s="15"/>
      <c r="F36" s="16"/>
      <c r="G36" s="17"/>
      <c r="H36" s="16"/>
      <c r="I36" s="16"/>
      <c r="J36" s="18"/>
      <c r="K36" s="19"/>
      <c r="L36" s="20"/>
      <c r="M36" s="20"/>
      <c r="N36" s="20"/>
      <c r="O36" s="21"/>
    </row>
    <row r="37" spans="1:15" ht="15.95">
      <c r="A37" s="31"/>
      <c r="B37" s="32"/>
      <c r="C37" s="32"/>
      <c r="D37" s="33"/>
      <c r="E37" s="15"/>
      <c r="F37" s="16"/>
      <c r="G37" s="17"/>
      <c r="H37" s="16"/>
      <c r="I37" s="16"/>
      <c r="J37" s="18"/>
      <c r="K37" s="19"/>
      <c r="L37" s="20"/>
      <c r="M37" s="20"/>
      <c r="N37" s="20"/>
      <c r="O37" s="21"/>
    </row>
    <row r="38" spans="1:15" ht="15.95">
      <c r="A38" s="31"/>
      <c r="B38" s="32"/>
      <c r="C38" s="32"/>
      <c r="D38" s="33"/>
      <c r="E38" s="15"/>
      <c r="F38" s="16"/>
      <c r="G38" s="17"/>
      <c r="H38" s="16"/>
      <c r="I38" s="16"/>
      <c r="J38" s="18"/>
      <c r="K38" s="19"/>
      <c r="L38" s="20"/>
      <c r="M38" s="20"/>
      <c r="N38" s="20"/>
      <c r="O38" s="21"/>
    </row>
    <row r="39" spans="1:15" ht="15.95">
      <c r="A39" s="31"/>
      <c r="B39" s="32"/>
      <c r="C39" s="32"/>
      <c r="D39" s="33"/>
      <c r="E39" s="15"/>
      <c r="F39" s="16"/>
      <c r="G39" s="17"/>
      <c r="H39" s="16"/>
      <c r="I39" s="16"/>
      <c r="J39" s="18"/>
      <c r="K39" s="19"/>
      <c r="L39" s="20"/>
      <c r="M39" s="20"/>
      <c r="N39" s="20"/>
      <c r="O39" s="21"/>
    </row>
    <row r="40" spans="1:15" ht="15.95">
      <c r="A40" s="31"/>
      <c r="B40" s="32"/>
      <c r="C40" s="32"/>
      <c r="D40" s="33"/>
      <c r="E40" s="15"/>
      <c r="F40" s="16"/>
      <c r="G40" s="17"/>
      <c r="H40" s="16"/>
      <c r="I40" s="16"/>
      <c r="J40" s="18"/>
      <c r="K40" s="19"/>
      <c r="L40" s="20"/>
      <c r="M40" s="20"/>
      <c r="N40" s="20"/>
      <c r="O40" s="21"/>
    </row>
    <row r="41" spans="1:15" ht="15.95">
      <c r="A41" s="31"/>
      <c r="B41" s="32"/>
      <c r="C41" s="32"/>
      <c r="D41" s="33"/>
      <c r="E41" s="15"/>
      <c r="F41" s="16"/>
      <c r="G41" s="17"/>
      <c r="H41" s="16"/>
      <c r="I41" s="16"/>
      <c r="J41" s="18"/>
      <c r="K41" s="19"/>
      <c r="L41" s="20"/>
      <c r="M41" s="20"/>
      <c r="N41" s="20"/>
      <c r="O41" s="21"/>
    </row>
    <row r="42" spans="1:15" ht="15.95">
      <c r="A42" s="31"/>
      <c r="B42" s="32"/>
      <c r="C42" s="32"/>
      <c r="D42" s="33"/>
      <c r="E42" s="15"/>
      <c r="F42" s="16"/>
      <c r="G42" s="17"/>
      <c r="H42" s="16"/>
      <c r="I42" s="16"/>
      <c r="J42" s="18"/>
      <c r="K42" s="19"/>
      <c r="L42" s="20"/>
      <c r="M42" s="20"/>
      <c r="N42" s="20"/>
      <c r="O42" s="21"/>
    </row>
    <row r="43" spans="1:15" ht="15.95">
      <c r="A43" s="31"/>
      <c r="B43" s="32"/>
      <c r="C43" s="32"/>
      <c r="D43" s="33"/>
      <c r="E43" s="15"/>
      <c r="F43" s="16"/>
      <c r="G43" s="17"/>
      <c r="H43" s="16"/>
      <c r="I43" s="16"/>
      <c r="J43" s="18"/>
      <c r="K43" s="19"/>
      <c r="L43" s="20"/>
      <c r="M43" s="20"/>
      <c r="N43" s="20"/>
      <c r="O43" s="21"/>
    </row>
    <row r="44" spans="1:15" ht="15.95">
      <c r="A44" s="31"/>
      <c r="B44" s="32"/>
      <c r="C44" s="32"/>
      <c r="D44" s="33"/>
      <c r="E44" s="15"/>
      <c r="F44" s="16"/>
      <c r="G44" s="17"/>
      <c r="H44" s="16"/>
      <c r="I44" s="16"/>
      <c r="J44" s="18"/>
      <c r="K44" s="19"/>
      <c r="L44" s="20"/>
      <c r="M44" s="20"/>
      <c r="N44" s="20"/>
      <c r="O44" s="21"/>
    </row>
    <row r="45" spans="1:15" ht="15.95">
      <c r="A45" s="31"/>
      <c r="B45" s="32"/>
      <c r="C45" s="32"/>
      <c r="D45" s="33"/>
      <c r="E45" s="15"/>
      <c r="F45" s="16"/>
      <c r="G45" s="17"/>
      <c r="H45" s="16"/>
      <c r="I45" s="16"/>
      <c r="J45" s="18"/>
      <c r="K45" s="19"/>
      <c r="L45" s="20"/>
      <c r="M45" s="20"/>
      <c r="N45" s="20"/>
      <c r="O45" s="21"/>
    </row>
    <row r="46" spans="1:15" ht="15.95">
      <c r="A46" s="31"/>
      <c r="B46" s="32"/>
      <c r="C46" s="32"/>
      <c r="D46" s="33"/>
      <c r="E46" s="15"/>
      <c r="F46" s="16"/>
      <c r="G46" s="17"/>
      <c r="H46" s="16"/>
      <c r="I46" s="16"/>
      <c r="J46" s="18"/>
      <c r="K46" s="19"/>
      <c r="L46" s="20"/>
      <c r="M46" s="20"/>
      <c r="N46" s="20"/>
      <c r="O46" s="21"/>
    </row>
    <row r="47" spans="1:15" ht="15.95">
      <c r="A47" s="31"/>
      <c r="B47" s="32"/>
      <c r="C47" s="32"/>
      <c r="D47" s="33"/>
      <c r="E47" s="15"/>
      <c r="F47" s="16"/>
      <c r="G47" s="17"/>
      <c r="H47" s="16"/>
      <c r="I47" s="16"/>
      <c r="J47" s="18"/>
      <c r="K47" s="19"/>
      <c r="L47" s="20"/>
      <c r="M47" s="20"/>
      <c r="N47" s="20"/>
      <c r="O47" s="21"/>
    </row>
    <row r="48" spans="1:15" ht="15.95">
      <c r="A48" s="31"/>
      <c r="B48" s="32"/>
      <c r="C48" s="32"/>
      <c r="D48" s="33"/>
      <c r="E48" s="15"/>
      <c r="F48" s="16"/>
      <c r="G48" s="17"/>
      <c r="H48" s="16"/>
      <c r="I48" s="16"/>
      <c r="J48" s="18"/>
      <c r="K48" s="19"/>
      <c r="L48" s="20"/>
      <c r="M48" s="20"/>
      <c r="N48" s="20"/>
      <c r="O48" s="21"/>
    </row>
    <row r="49" spans="1:15" ht="15.95">
      <c r="A49" s="31"/>
      <c r="B49" s="32"/>
      <c r="C49" s="32"/>
      <c r="D49" s="33"/>
      <c r="E49" s="15"/>
      <c r="F49" s="16"/>
      <c r="G49" s="17"/>
      <c r="H49" s="16"/>
      <c r="I49" s="16"/>
      <c r="J49" s="18"/>
      <c r="K49" s="19"/>
      <c r="L49" s="20"/>
      <c r="M49" s="20"/>
      <c r="N49" s="20"/>
      <c r="O49" s="21"/>
    </row>
    <row r="50" spans="1:15" ht="15.95">
      <c r="A50" s="31"/>
      <c r="B50" s="32"/>
      <c r="C50" s="32"/>
      <c r="D50" s="33"/>
      <c r="E50" s="15"/>
      <c r="F50" s="16"/>
      <c r="G50" s="17"/>
      <c r="H50" s="16"/>
      <c r="I50" s="16"/>
      <c r="J50" s="18"/>
      <c r="K50" s="19"/>
      <c r="L50" s="20"/>
      <c r="M50" s="20"/>
      <c r="N50" s="20"/>
      <c r="O50" s="21"/>
    </row>
    <row r="51" spans="1:15" ht="15.95">
      <c r="A51" s="31"/>
      <c r="B51" s="32"/>
      <c r="C51" s="32"/>
      <c r="D51" s="33"/>
      <c r="E51" s="15"/>
      <c r="F51" s="16"/>
      <c r="G51" s="17"/>
      <c r="H51" s="16"/>
      <c r="I51" s="16"/>
      <c r="J51" s="18"/>
      <c r="K51" s="19"/>
      <c r="L51" s="20"/>
      <c r="M51" s="20"/>
      <c r="N51" s="20"/>
      <c r="O51" s="21"/>
    </row>
    <row r="52" spans="1:15" ht="15.95">
      <c r="A52" s="31"/>
      <c r="B52" s="32"/>
      <c r="C52" s="32"/>
      <c r="D52" s="33"/>
      <c r="E52" s="15"/>
      <c r="F52" s="16"/>
      <c r="G52" s="17"/>
      <c r="H52" s="16"/>
      <c r="I52" s="16"/>
      <c r="J52" s="18"/>
      <c r="K52" s="19"/>
      <c r="L52" s="20"/>
      <c r="M52" s="20"/>
      <c r="N52" s="20"/>
      <c r="O52" s="21"/>
    </row>
    <row r="53" spans="1:15" ht="15.95">
      <c r="A53" s="31"/>
      <c r="B53" s="32"/>
      <c r="C53" s="32"/>
      <c r="D53" s="33"/>
      <c r="E53" s="15"/>
      <c r="F53" s="16"/>
      <c r="G53" s="17"/>
      <c r="H53" s="16"/>
      <c r="I53" s="16"/>
      <c r="J53" s="18"/>
      <c r="K53" s="19"/>
      <c r="L53" s="20"/>
      <c r="M53" s="20"/>
      <c r="N53" s="20"/>
      <c r="O53" s="21"/>
    </row>
    <row r="54" spans="1:15" ht="15.95">
      <c r="A54" s="31"/>
      <c r="B54" s="32"/>
      <c r="C54" s="32"/>
      <c r="D54" s="33"/>
      <c r="E54" s="15"/>
      <c r="F54" s="16"/>
      <c r="G54" s="17"/>
      <c r="H54" s="16"/>
      <c r="I54" s="16"/>
      <c r="J54" s="18"/>
      <c r="K54" s="19"/>
      <c r="L54" s="20"/>
      <c r="M54" s="20"/>
      <c r="N54" s="20"/>
      <c r="O54" s="21"/>
    </row>
    <row r="55" spans="1:15" ht="15.95">
      <c r="A55" s="31"/>
      <c r="B55" s="32"/>
      <c r="C55" s="32"/>
      <c r="D55" s="33"/>
      <c r="E55" s="15"/>
      <c r="F55" s="16"/>
      <c r="G55" s="17"/>
      <c r="H55" s="16"/>
      <c r="I55" s="16"/>
      <c r="J55" s="18"/>
      <c r="K55" s="19"/>
      <c r="L55" s="20"/>
      <c r="M55" s="20"/>
      <c r="N55" s="20"/>
      <c r="O55" s="21"/>
    </row>
    <row r="56" spans="1:15" ht="15.95">
      <c r="A56" s="31"/>
      <c r="B56" s="32"/>
      <c r="C56" s="32"/>
      <c r="D56" s="33"/>
      <c r="E56" s="15"/>
      <c r="F56" s="16"/>
      <c r="G56" s="17"/>
      <c r="H56" s="16"/>
      <c r="I56" s="16"/>
      <c r="J56" s="18"/>
      <c r="K56" s="19"/>
      <c r="L56" s="20"/>
      <c r="M56" s="20"/>
      <c r="N56" s="20"/>
      <c r="O56" s="21"/>
    </row>
    <row r="57" spans="1:15" ht="15.95">
      <c r="A57" s="31"/>
      <c r="B57" s="32"/>
      <c r="C57" s="32"/>
      <c r="D57" s="33"/>
      <c r="E57" s="15"/>
      <c r="F57" s="16"/>
      <c r="G57" s="17"/>
      <c r="H57" s="16"/>
      <c r="I57" s="16"/>
      <c r="J57" s="18"/>
      <c r="K57" s="19"/>
      <c r="L57" s="20"/>
      <c r="M57" s="20"/>
      <c r="N57" s="20"/>
      <c r="O57" s="21"/>
    </row>
    <row r="58" spans="1:15" ht="15.95">
      <c r="A58" s="31"/>
      <c r="B58" s="32"/>
      <c r="C58" s="32"/>
      <c r="D58" s="33"/>
      <c r="E58" s="15"/>
      <c r="F58" s="16"/>
      <c r="G58" s="17"/>
      <c r="H58" s="16"/>
      <c r="I58" s="16"/>
      <c r="J58" s="18"/>
      <c r="K58" s="19"/>
      <c r="L58" s="20"/>
      <c r="M58" s="20"/>
      <c r="N58" s="20"/>
      <c r="O58" s="21"/>
    </row>
    <row r="59" spans="1:15" ht="15.95">
      <c r="A59" s="31"/>
      <c r="B59" s="32"/>
      <c r="C59" s="32"/>
      <c r="D59" s="33"/>
      <c r="E59" s="15"/>
      <c r="F59" s="16"/>
      <c r="G59" s="17"/>
      <c r="H59" s="16"/>
      <c r="I59" s="16"/>
      <c r="J59" s="18"/>
      <c r="K59" s="19"/>
      <c r="L59" s="20"/>
      <c r="M59" s="20"/>
      <c r="N59" s="20"/>
      <c r="O59" s="21"/>
    </row>
    <row r="60" spans="1:15" ht="15.95">
      <c r="A60" s="31"/>
      <c r="B60" s="32"/>
      <c r="C60" s="32"/>
      <c r="D60" s="33"/>
      <c r="E60" s="15"/>
      <c r="F60" s="16"/>
      <c r="G60" s="17"/>
      <c r="H60" s="16"/>
      <c r="I60" s="16"/>
      <c r="J60" s="18"/>
      <c r="K60" s="19"/>
      <c r="L60" s="20"/>
      <c r="M60" s="20"/>
      <c r="N60" s="20"/>
      <c r="O60" s="21"/>
    </row>
    <row r="61" spans="1:15" ht="15.95">
      <c r="A61" s="31"/>
      <c r="B61" s="32"/>
      <c r="C61" s="32"/>
      <c r="D61" s="33"/>
      <c r="E61" s="15"/>
      <c r="F61" s="16"/>
      <c r="G61" s="17"/>
      <c r="H61" s="16"/>
      <c r="I61" s="16"/>
      <c r="J61" s="18"/>
      <c r="K61" s="19"/>
      <c r="L61" s="20"/>
      <c r="M61" s="20"/>
      <c r="N61" s="20"/>
      <c r="O61" s="21"/>
    </row>
    <row r="62" spans="1:15" ht="15.95">
      <c r="A62" s="31"/>
      <c r="B62" s="32"/>
      <c r="C62" s="32"/>
      <c r="D62" s="33"/>
      <c r="E62" s="15"/>
      <c r="F62" s="16"/>
      <c r="G62" s="17"/>
      <c r="H62" s="16"/>
      <c r="I62" s="16"/>
      <c r="J62" s="18"/>
      <c r="K62" s="19"/>
      <c r="L62" s="20"/>
      <c r="M62" s="20"/>
      <c r="N62" s="20"/>
      <c r="O62" s="21"/>
    </row>
    <row r="63" spans="1:15" ht="15.95">
      <c r="A63" s="31"/>
      <c r="B63" s="32"/>
      <c r="C63" s="32"/>
      <c r="D63" s="33"/>
      <c r="E63" s="15"/>
      <c r="F63" s="16"/>
      <c r="G63" s="17"/>
      <c r="H63" s="16"/>
      <c r="I63" s="16"/>
      <c r="J63" s="18"/>
      <c r="K63" s="19"/>
      <c r="L63" s="20"/>
      <c r="M63" s="20"/>
      <c r="N63" s="20"/>
      <c r="O63" s="21"/>
    </row>
    <row r="64" spans="1:15" ht="15.95">
      <c r="A64" s="31"/>
      <c r="B64" s="32"/>
      <c r="C64" s="32"/>
      <c r="D64" s="33"/>
      <c r="E64" s="15"/>
      <c r="F64" s="16"/>
      <c r="G64" s="17"/>
      <c r="H64" s="16"/>
      <c r="I64" s="16"/>
      <c r="J64" s="18"/>
      <c r="K64" s="19"/>
      <c r="L64" s="20"/>
      <c r="M64" s="20"/>
      <c r="N64" s="20"/>
      <c r="O64" s="21"/>
    </row>
    <row r="65" spans="1:15" ht="15.95">
      <c r="A65" s="31"/>
      <c r="B65" s="32"/>
      <c r="C65" s="32"/>
      <c r="D65" s="33"/>
      <c r="E65" s="15"/>
      <c r="F65" s="16"/>
      <c r="G65" s="17"/>
      <c r="H65" s="16"/>
      <c r="I65" s="16"/>
      <c r="J65" s="18"/>
      <c r="K65" s="19"/>
      <c r="L65" s="20"/>
      <c r="M65" s="20"/>
      <c r="N65" s="20"/>
      <c r="O65" s="21"/>
    </row>
    <row r="66" spans="1:15" ht="15.95">
      <c r="A66" s="31"/>
      <c r="B66" s="32"/>
      <c r="C66" s="32"/>
      <c r="D66" s="33"/>
      <c r="E66" s="15"/>
      <c r="F66" s="16"/>
      <c r="G66" s="17"/>
      <c r="H66" s="16"/>
      <c r="I66" s="16"/>
      <c r="J66" s="18"/>
      <c r="K66" s="19"/>
      <c r="L66" s="20"/>
      <c r="M66" s="20"/>
      <c r="N66" s="20"/>
      <c r="O66" s="21"/>
    </row>
    <row r="67" spans="1:15" ht="15.95">
      <c r="A67" s="31"/>
      <c r="B67" s="32"/>
      <c r="C67" s="32"/>
      <c r="D67" s="33"/>
      <c r="E67" s="15"/>
      <c r="F67" s="16"/>
      <c r="G67" s="17"/>
      <c r="H67" s="16"/>
      <c r="I67" s="16"/>
      <c r="J67" s="18"/>
      <c r="K67" s="19"/>
      <c r="L67" s="20"/>
      <c r="M67" s="20"/>
      <c r="N67" s="20"/>
      <c r="O67" s="21"/>
    </row>
    <row r="68" spans="1:15" ht="15.95">
      <c r="A68" s="31"/>
      <c r="B68" s="32"/>
      <c r="C68" s="32"/>
      <c r="D68" s="33"/>
      <c r="E68" s="15"/>
      <c r="F68" s="16"/>
      <c r="G68" s="17"/>
      <c r="H68" s="16"/>
      <c r="I68" s="16"/>
      <c r="J68" s="18"/>
      <c r="K68" s="19"/>
      <c r="L68" s="20"/>
      <c r="M68" s="20"/>
      <c r="N68" s="20"/>
      <c r="O68" s="21"/>
    </row>
    <row r="69" spans="1:15" ht="15.95">
      <c r="A69" s="31"/>
      <c r="B69" s="32"/>
      <c r="C69" s="32"/>
      <c r="D69" s="33"/>
      <c r="E69" s="15"/>
      <c r="F69" s="16"/>
      <c r="G69" s="17"/>
      <c r="H69" s="16"/>
      <c r="I69" s="16"/>
      <c r="J69" s="18"/>
      <c r="K69" s="19"/>
      <c r="L69" s="20"/>
      <c r="M69" s="20"/>
      <c r="N69" s="20"/>
      <c r="O69" s="21"/>
    </row>
    <row r="70" spans="1:15" ht="15.95">
      <c r="A70" s="31"/>
      <c r="B70" s="32"/>
      <c r="C70" s="32"/>
      <c r="D70" s="33"/>
      <c r="E70" s="15"/>
      <c r="F70" s="16"/>
      <c r="G70" s="17"/>
      <c r="H70" s="16"/>
      <c r="I70" s="16"/>
      <c r="J70" s="18"/>
      <c r="K70" s="19"/>
      <c r="L70" s="20"/>
      <c r="M70" s="20"/>
      <c r="N70" s="20"/>
      <c r="O70" s="21"/>
    </row>
    <row r="71" spans="1:15" ht="15.95">
      <c r="A71" s="31"/>
      <c r="B71" s="32"/>
      <c r="C71" s="32"/>
      <c r="D71" s="33"/>
      <c r="E71" s="15"/>
      <c r="F71" s="16"/>
      <c r="G71" s="17"/>
      <c r="H71" s="16"/>
      <c r="I71" s="16"/>
      <c r="J71" s="18"/>
      <c r="K71" s="19"/>
      <c r="L71" s="20"/>
      <c r="M71" s="20"/>
      <c r="N71" s="20"/>
      <c r="O71" s="21"/>
    </row>
    <row r="72" spans="1:15" ht="15.95">
      <c r="A72" s="31"/>
      <c r="B72" s="32"/>
      <c r="C72" s="32"/>
      <c r="D72" s="33"/>
      <c r="E72" s="15"/>
      <c r="F72" s="16"/>
      <c r="G72" s="17"/>
      <c r="H72" s="16"/>
      <c r="I72" s="16"/>
      <c r="J72" s="18"/>
      <c r="K72" s="19"/>
      <c r="L72" s="20"/>
      <c r="M72" s="20"/>
      <c r="N72" s="20"/>
      <c r="O72" s="21"/>
    </row>
    <row r="73" spans="1:15" ht="15.95">
      <c r="A73" s="31"/>
      <c r="B73" s="32"/>
      <c r="C73" s="32"/>
      <c r="D73" s="33"/>
      <c r="E73" s="15"/>
      <c r="F73" s="16"/>
      <c r="G73" s="17"/>
      <c r="H73" s="16"/>
      <c r="I73" s="16"/>
      <c r="J73" s="18"/>
      <c r="K73" s="19"/>
      <c r="L73" s="20"/>
      <c r="M73" s="20"/>
      <c r="N73" s="20"/>
      <c r="O73" s="21"/>
    </row>
    <row r="74" spans="1:15" ht="15.95">
      <c r="A74" s="31"/>
      <c r="B74" s="32"/>
      <c r="C74" s="32"/>
      <c r="D74" s="33"/>
      <c r="E74" s="15"/>
      <c r="F74" s="16"/>
      <c r="G74" s="17"/>
      <c r="H74" s="16"/>
      <c r="I74" s="16"/>
      <c r="J74" s="18"/>
      <c r="K74" s="19"/>
      <c r="L74" s="20"/>
      <c r="M74" s="20"/>
      <c r="N74" s="20"/>
      <c r="O74" s="21"/>
    </row>
    <row r="75" spans="1:15" ht="15.95">
      <c r="A75" s="31"/>
      <c r="B75" s="32"/>
      <c r="C75" s="32"/>
      <c r="D75" s="33"/>
      <c r="E75" s="15"/>
      <c r="F75" s="16"/>
      <c r="G75" s="17"/>
      <c r="H75" s="16"/>
      <c r="I75" s="16"/>
      <c r="J75" s="18"/>
      <c r="K75" s="19"/>
      <c r="L75" s="20"/>
      <c r="M75" s="20"/>
      <c r="N75" s="20"/>
      <c r="O75" s="21"/>
    </row>
    <row r="76" spans="1:15" ht="15.95">
      <c r="A76" s="31"/>
      <c r="B76" s="32"/>
      <c r="C76" s="32"/>
      <c r="D76" s="33"/>
      <c r="E76" s="15"/>
      <c r="F76" s="16"/>
      <c r="G76" s="17"/>
      <c r="H76" s="16"/>
      <c r="I76" s="16"/>
      <c r="J76" s="18"/>
      <c r="K76" s="19"/>
      <c r="L76" s="20"/>
      <c r="M76" s="20"/>
      <c r="N76" s="20"/>
      <c r="O76" s="21"/>
    </row>
    <row r="77" spans="1:15" ht="15.95">
      <c r="A77" s="31"/>
      <c r="B77" s="32"/>
      <c r="C77" s="32"/>
      <c r="D77" s="33"/>
      <c r="E77" s="15"/>
      <c r="F77" s="16"/>
      <c r="G77" s="17"/>
      <c r="H77" s="16"/>
      <c r="I77" s="16"/>
      <c r="J77" s="18"/>
      <c r="K77" s="19"/>
      <c r="L77" s="20"/>
      <c r="M77" s="20"/>
      <c r="N77" s="20"/>
      <c r="O77" s="21"/>
    </row>
    <row r="78" spans="1:15" ht="15.95">
      <c r="A78" s="31"/>
      <c r="B78" s="32"/>
      <c r="C78" s="32"/>
      <c r="D78" s="33"/>
      <c r="E78" s="15"/>
      <c r="F78" s="16"/>
      <c r="G78" s="17"/>
      <c r="H78" s="16"/>
      <c r="I78" s="16"/>
      <c r="J78" s="18"/>
      <c r="K78" s="19"/>
      <c r="L78" s="20"/>
      <c r="M78" s="20"/>
      <c r="N78" s="20"/>
      <c r="O78" s="21"/>
    </row>
    <row r="79" spans="1:15" ht="15.95">
      <c r="A79" s="31"/>
      <c r="B79" s="32"/>
      <c r="C79" s="32"/>
      <c r="D79" s="33"/>
      <c r="E79" s="15"/>
      <c r="F79" s="16"/>
      <c r="G79" s="17"/>
      <c r="H79" s="16"/>
      <c r="I79" s="16"/>
      <c r="J79" s="18"/>
      <c r="K79" s="19"/>
      <c r="L79" s="20"/>
      <c r="M79" s="20"/>
      <c r="N79" s="20"/>
      <c r="O79" s="21"/>
    </row>
    <row r="80" spans="1:15" ht="15.95">
      <c r="A80" s="31"/>
      <c r="B80" s="32"/>
      <c r="C80" s="32"/>
      <c r="D80" s="33"/>
      <c r="E80" s="15"/>
      <c r="F80" s="16"/>
      <c r="G80" s="17"/>
      <c r="H80" s="16"/>
      <c r="I80" s="16"/>
      <c r="J80" s="18"/>
      <c r="K80" s="19"/>
      <c r="L80" s="20"/>
      <c r="M80" s="20"/>
      <c r="N80" s="20"/>
      <c r="O80" s="21"/>
    </row>
    <row r="81" spans="1:15" ht="15.95">
      <c r="A81" s="31"/>
      <c r="B81" s="32"/>
      <c r="C81" s="32"/>
      <c r="D81" s="33"/>
      <c r="E81" s="15"/>
      <c r="F81" s="16"/>
      <c r="G81" s="17"/>
      <c r="H81" s="16"/>
      <c r="I81" s="16"/>
      <c r="J81" s="18"/>
      <c r="K81" s="19"/>
      <c r="L81" s="20"/>
      <c r="M81" s="20"/>
      <c r="N81" s="20"/>
      <c r="O81" s="21"/>
    </row>
    <row r="82" spans="1:15" ht="15.95">
      <c r="A82" s="31"/>
      <c r="B82" s="32"/>
      <c r="C82" s="32"/>
      <c r="D82" s="33"/>
      <c r="E82" s="15"/>
      <c r="F82" s="16"/>
      <c r="G82" s="17"/>
      <c r="H82" s="16"/>
      <c r="I82" s="16"/>
      <c r="J82" s="18"/>
      <c r="K82" s="19"/>
      <c r="L82" s="20"/>
      <c r="M82" s="20"/>
      <c r="N82" s="20"/>
      <c r="O82" s="21"/>
    </row>
    <row r="83" spans="1:15" ht="15.95">
      <c r="A83" s="31"/>
      <c r="B83" s="32"/>
      <c r="C83" s="32"/>
      <c r="D83" s="33"/>
      <c r="E83" s="15"/>
      <c r="F83" s="16"/>
      <c r="G83" s="17"/>
      <c r="H83" s="16"/>
      <c r="I83" s="16"/>
      <c r="J83" s="18"/>
      <c r="K83" s="19"/>
      <c r="L83" s="20"/>
      <c r="M83" s="20"/>
      <c r="N83" s="20"/>
      <c r="O83" s="21"/>
    </row>
    <row r="84" spans="1:15" ht="15.95">
      <c r="A84" s="31"/>
      <c r="B84" s="32"/>
      <c r="C84" s="32"/>
      <c r="D84" s="33"/>
      <c r="E84" s="15"/>
      <c r="F84" s="16"/>
      <c r="G84" s="17"/>
      <c r="H84" s="16"/>
      <c r="I84" s="16"/>
      <c r="J84" s="18"/>
      <c r="K84" s="19"/>
      <c r="L84" s="20"/>
      <c r="M84" s="20"/>
      <c r="N84" s="20"/>
      <c r="O84" s="21"/>
    </row>
    <row r="85" spans="1:15" ht="15.95">
      <c r="A85" s="31"/>
      <c r="B85" s="32"/>
      <c r="C85" s="32"/>
      <c r="D85" s="33"/>
      <c r="E85" s="15"/>
      <c r="F85" s="16"/>
      <c r="G85" s="17"/>
      <c r="H85" s="16"/>
      <c r="I85" s="16"/>
      <c r="J85" s="18"/>
      <c r="K85" s="19"/>
      <c r="L85" s="20"/>
      <c r="M85" s="20"/>
      <c r="N85" s="20"/>
      <c r="O85" s="21"/>
    </row>
    <row r="86" spans="1:15" ht="15.95">
      <c r="A86" s="31"/>
      <c r="B86" s="32"/>
      <c r="C86" s="32"/>
      <c r="D86" s="33"/>
      <c r="E86" s="15"/>
      <c r="F86" s="16"/>
      <c r="G86" s="17"/>
      <c r="H86" s="16"/>
      <c r="I86" s="16"/>
      <c r="J86" s="18"/>
      <c r="K86" s="19"/>
      <c r="L86" s="20"/>
      <c r="M86" s="20"/>
      <c r="N86" s="20"/>
      <c r="O86" s="21"/>
    </row>
    <row r="87" spans="1:15" ht="15.95">
      <c r="A87" s="31"/>
      <c r="B87" s="32"/>
      <c r="C87" s="32"/>
      <c r="D87" s="33"/>
      <c r="E87" s="15"/>
      <c r="F87" s="16"/>
      <c r="G87" s="17"/>
      <c r="H87" s="16"/>
      <c r="I87" s="16"/>
      <c r="J87" s="18"/>
      <c r="K87" s="19"/>
      <c r="L87" s="20"/>
      <c r="M87" s="20"/>
      <c r="N87" s="20"/>
      <c r="O87" s="21"/>
    </row>
    <row r="88" spans="1:15" ht="15.95">
      <c r="A88" s="31"/>
      <c r="B88" s="32"/>
      <c r="C88" s="32"/>
      <c r="D88" s="33"/>
      <c r="E88" s="15"/>
      <c r="F88" s="16"/>
      <c r="G88" s="17"/>
      <c r="H88" s="16"/>
      <c r="I88" s="16"/>
      <c r="J88" s="18"/>
      <c r="K88" s="19"/>
      <c r="L88" s="20"/>
      <c r="M88" s="20"/>
      <c r="N88" s="20"/>
      <c r="O88" s="21"/>
    </row>
    <row r="89" spans="1:15" ht="15.95">
      <c r="A89" s="31"/>
      <c r="B89" s="32"/>
      <c r="C89" s="32"/>
      <c r="D89" s="33"/>
      <c r="E89" s="15"/>
      <c r="F89" s="16"/>
      <c r="G89" s="17"/>
      <c r="H89" s="16"/>
      <c r="I89" s="16"/>
      <c r="J89" s="18"/>
      <c r="K89" s="19"/>
      <c r="L89" s="20"/>
      <c r="M89" s="20"/>
      <c r="N89" s="20"/>
      <c r="O89" s="21"/>
    </row>
    <row r="90" spans="1:15" ht="15.95">
      <c r="A90" s="31"/>
      <c r="B90" s="32"/>
      <c r="C90" s="32"/>
      <c r="D90" s="33"/>
      <c r="E90" s="15"/>
      <c r="F90" s="16"/>
      <c r="G90" s="17"/>
      <c r="H90" s="16"/>
      <c r="I90" s="16"/>
      <c r="J90" s="18"/>
      <c r="K90" s="19"/>
      <c r="L90" s="20"/>
      <c r="M90" s="20"/>
      <c r="N90" s="20"/>
      <c r="O90" s="21"/>
    </row>
    <row r="91" spans="1:15" ht="15.95">
      <c r="A91" s="31"/>
      <c r="B91" s="32"/>
      <c r="C91" s="32"/>
      <c r="D91" s="33"/>
      <c r="E91" s="15"/>
      <c r="F91" s="16"/>
      <c r="G91" s="17"/>
      <c r="H91" s="16"/>
      <c r="I91" s="16"/>
      <c r="J91" s="18"/>
      <c r="K91" s="19"/>
      <c r="L91" s="20"/>
      <c r="M91" s="20"/>
      <c r="N91" s="20"/>
      <c r="O91" s="21"/>
    </row>
    <row r="92" spans="1:15" ht="15.95">
      <c r="A92" s="31"/>
      <c r="B92" s="32"/>
      <c r="C92" s="32"/>
      <c r="D92" s="33"/>
      <c r="E92" s="15"/>
      <c r="F92" s="16"/>
      <c r="G92" s="17"/>
      <c r="H92" s="16"/>
      <c r="I92" s="16"/>
      <c r="J92" s="18"/>
      <c r="K92" s="19"/>
      <c r="L92" s="20"/>
      <c r="M92" s="20"/>
      <c r="N92" s="20"/>
      <c r="O92" s="21"/>
    </row>
    <row r="93" spans="1:15" ht="15.95">
      <c r="A93" s="31"/>
      <c r="B93" s="32"/>
      <c r="C93" s="32"/>
      <c r="D93" s="33"/>
      <c r="E93" s="15"/>
      <c r="F93" s="16"/>
      <c r="G93" s="17"/>
      <c r="H93" s="16"/>
      <c r="I93" s="16"/>
      <c r="J93" s="18"/>
      <c r="K93" s="19"/>
      <c r="L93" s="20"/>
      <c r="M93" s="20"/>
      <c r="N93" s="20"/>
      <c r="O93" s="21"/>
    </row>
    <row r="94" spans="1:15" ht="15.95">
      <c r="A94" s="31"/>
      <c r="B94" s="32"/>
      <c r="C94" s="32"/>
      <c r="D94" s="33"/>
      <c r="E94" s="15"/>
      <c r="F94" s="16"/>
      <c r="G94" s="17"/>
      <c r="H94" s="16"/>
      <c r="I94" s="16"/>
      <c r="J94" s="18"/>
      <c r="K94" s="19"/>
      <c r="L94" s="20"/>
      <c r="M94" s="20"/>
      <c r="N94" s="20"/>
      <c r="O94" s="21"/>
    </row>
    <row r="95" spans="1:15" ht="15.95">
      <c r="A95" s="31"/>
      <c r="B95" s="32"/>
      <c r="C95" s="32"/>
      <c r="D95" s="33"/>
      <c r="E95" s="15"/>
      <c r="F95" s="16"/>
      <c r="G95" s="17"/>
      <c r="H95" s="16"/>
      <c r="I95" s="16"/>
      <c r="J95" s="18"/>
      <c r="K95" s="19"/>
      <c r="L95" s="20"/>
      <c r="M95" s="20"/>
      <c r="N95" s="20"/>
      <c r="O95" s="21"/>
    </row>
    <row r="96" spans="1:15" ht="15.95">
      <c r="A96" s="31"/>
      <c r="B96" s="32"/>
      <c r="C96" s="32"/>
      <c r="D96" s="33"/>
      <c r="E96" s="15"/>
      <c r="F96" s="16"/>
      <c r="G96" s="17"/>
      <c r="H96" s="16"/>
      <c r="I96" s="16"/>
      <c r="J96" s="18"/>
      <c r="K96" s="19"/>
      <c r="L96" s="20"/>
      <c r="M96" s="20"/>
      <c r="N96" s="20"/>
      <c r="O96" s="21"/>
    </row>
    <row r="97" spans="1:15" ht="15.95">
      <c r="A97" s="31"/>
      <c r="B97" s="32"/>
      <c r="C97" s="32"/>
      <c r="D97" s="33"/>
      <c r="E97" s="15"/>
      <c r="F97" s="16"/>
      <c r="G97" s="17"/>
      <c r="H97" s="16"/>
      <c r="I97" s="16"/>
      <c r="J97" s="18"/>
      <c r="K97" s="19"/>
      <c r="L97" s="20"/>
      <c r="M97" s="20"/>
      <c r="N97" s="20"/>
      <c r="O97" s="21"/>
    </row>
    <row r="98" spans="1:15" ht="15.95">
      <c r="A98" s="31"/>
      <c r="B98" s="32"/>
      <c r="C98" s="32"/>
      <c r="D98" s="33"/>
      <c r="E98" s="15"/>
      <c r="F98" s="16"/>
      <c r="G98" s="17"/>
      <c r="H98" s="16"/>
      <c r="I98" s="16"/>
      <c r="J98" s="18"/>
      <c r="K98" s="19"/>
      <c r="L98" s="20"/>
      <c r="M98" s="20"/>
      <c r="N98" s="20"/>
      <c r="O98" s="21"/>
    </row>
    <row r="99" spans="1:15" ht="15.95">
      <c r="A99" s="31"/>
      <c r="B99" s="32"/>
      <c r="C99" s="32"/>
      <c r="D99" s="33"/>
      <c r="E99" s="15"/>
      <c r="F99" s="16"/>
      <c r="G99" s="17"/>
      <c r="H99" s="16"/>
      <c r="I99" s="16"/>
      <c r="J99" s="18"/>
      <c r="K99" s="19"/>
      <c r="L99" s="20"/>
      <c r="M99" s="20"/>
      <c r="N99" s="20"/>
      <c r="O99" s="21"/>
    </row>
    <row r="100" spans="1:15" ht="15.95">
      <c r="A100" s="31"/>
      <c r="B100" s="32"/>
      <c r="C100" s="32"/>
      <c r="D100" s="33"/>
      <c r="E100" s="15"/>
      <c r="F100" s="16"/>
      <c r="G100" s="17"/>
      <c r="H100" s="16"/>
      <c r="I100" s="16"/>
      <c r="J100" s="18"/>
      <c r="K100" s="19"/>
      <c r="L100" s="20"/>
      <c r="M100" s="20"/>
      <c r="N100" s="20"/>
      <c r="O100" s="21"/>
    </row>
    <row r="101" spans="1:15" ht="15.95">
      <c r="A101" s="31"/>
      <c r="B101" s="32"/>
      <c r="C101" s="32"/>
      <c r="D101" s="33"/>
      <c r="E101" s="15"/>
      <c r="F101" s="16"/>
      <c r="G101" s="17"/>
      <c r="H101" s="16"/>
      <c r="I101" s="16"/>
      <c r="J101" s="18"/>
      <c r="K101" s="19"/>
      <c r="L101" s="20"/>
      <c r="M101" s="20"/>
      <c r="N101" s="20"/>
      <c r="O101" s="21"/>
    </row>
    <row r="102" spans="1:15" ht="15.95">
      <c r="A102" s="31"/>
      <c r="B102" s="32"/>
      <c r="C102" s="32"/>
      <c r="D102" s="33"/>
      <c r="E102" s="15"/>
      <c r="F102" s="16"/>
      <c r="G102" s="17"/>
      <c r="H102" s="16"/>
      <c r="I102" s="16"/>
      <c r="J102" s="18"/>
      <c r="K102" s="19"/>
      <c r="L102" s="20"/>
      <c r="M102" s="20"/>
      <c r="N102" s="20"/>
      <c r="O102" s="21"/>
    </row>
    <row r="103" spans="1:15" ht="15.95">
      <c r="A103" s="31"/>
      <c r="B103" s="32"/>
      <c r="C103" s="32"/>
      <c r="D103" s="33"/>
      <c r="E103" s="15"/>
      <c r="F103" s="16"/>
      <c r="G103" s="17"/>
      <c r="H103" s="16"/>
      <c r="I103" s="16"/>
      <c r="J103" s="18"/>
      <c r="K103" s="19"/>
      <c r="L103" s="20"/>
      <c r="M103" s="20"/>
      <c r="N103" s="20"/>
      <c r="O103" s="21"/>
    </row>
    <row r="104" spans="1:15" ht="15.95">
      <c r="A104" s="31"/>
      <c r="B104" s="32"/>
      <c r="C104" s="32"/>
      <c r="D104" s="33"/>
      <c r="E104" s="15"/>
      <c r="F104" s="16"/>
      <c r="G104" s="17"/>
      <c r="H104" s="16"/>
      <c r="I104" s="16"/>
      <c r="J104" s="18"/>
      <c r="K104" s="19"/>
      <c r="L104" s="20"/>
      <c r="M104" s="20"/>
      <c r="N104" s="20"/>
      <c r="O104" s="21"/>
    </row>
    <row r="105" spans="1:15" ht="15.95">
      <c r="A105" s="31"/>
      <c r="B105" s="32"/>
      <c r="C105" s="32"/>
      <c r="D105" s="33"/>
      <c r="E105" s="15"/>
      <c r="F105" s="16"/>
      <c r="G105" s="17"/>
      <c r="H105" s="16"/>
      <c r="I105" s="16"/>
      <c r="J105" s="18"/>
      <c r="K105" s="19"/>
      <c r="L105" s="20"/>
      <c r="M105" s="20"/>
      <c r="N105" s="20"/>
      <c r="O105" s="21"/>
    </row>
    <row r="106" spans="1:15" ht="15.95">
      <c r="A106" s="31"/>
      <c r="B106" s="32"/>
      <c r="C106" s="32"/>
      <c r="D106" s="33"/>
      <c r="E106" s="15"/>
      <c r="F106" s="16"/>
      <c r="G106" s="17"/>
      <c r="H106" s="16"/>
      <c r="I106" s="16"/>
      <c r="J106" s="18"/>
      <c r="K106" s="19"/>
      <c r="L106" s="20"/>
      <c r="M106" s="20"/>
      <c r="N106" s="20"/>
      <c r="O106" s="21"/>
    </row>
    <row r="107" spans="1:15" ht="15.95">
      <c r="A107" s="31"/>
      <c r="B107" s="32"/>
      <c r="C107" s="32"/>
      <c r="D107" s="33"/>
      <c r="E107" s="15"/>
      <c r="F107" s="16"/>
      <c r="G107" s="17"/>
      <c r="H107" s="16"/>
      <c r="I107" s="16"/>
      <c r="J107" s="18"/>
      <c r="K107" s="19"/>
      <c r="L107" s="20"/>
      <c r="M107" s="20"/>
      <c r="N107" s="20"/>
      <c r="O107" s="21"/>
    </row>
    <row r="108" spans="1:15" ht="15.95">
      <c r="A108" s="31"/>
      <c r="B108" s="32"/>
      <c r="C108" s="32"/>
      <c r="D108" s="33"/>
      <c r="E108" s="15"/>
      <c r="F108" s="16"/>
      <c r="G108" s="17"/>
      <c r="H108" s="16"/>
      <c r="I108" s="16"/>
      <c r="J108" s="18"/>
      <c r="K108" s="19"/>
      <c r="L108" s="20"/>
      <c r="M108" s="20"/>
      <c r="N108" s="20"/>
      <c r="O108" s="21"/>
    </row>
    <row r="109" spans="1:15" ht="15.95">
      <c r="A109" s="31"/>
      <c r="B109" s="32"/>
      <c r="C109" s="32"/>
      <c r="D109" s="33"/>
      <c r="E109" s="15"/>
      <c r="F109" s="16"/>
      <c r="G109" s="17"/>
      <c r="H109" s="16"/>
      <c r="I109" s="16"/>
      <c r="J109" s="18"/>
      <c r="K109" s="19"/>
      <c r="L109" s="20"/>
      <c r="M109" s="20"/>
      <c r="N109" s="20"/>
      <c r="O109" s="21"/>
    </row>
    <row r="110" spans="1:15" ht="15.95">
      <c r="A110" s="31"/>
      <c r="B110" s="32"/>
      <c r="C110" s="32"/>
      <c r="D110" s="33"/>
      <c r="E110" s="15"/>
      <c r="F110" s="16"/>
      <c r="G110" s="17"/>
      <c r="H110" s="16"/>
      <c r="I110" s="16"/>
      <c r="J110" s="18"/>
      <c r="K110" s="19"/>
      <c r="L110" s="20"/>
      <c r="M110" s="20"/>
      <c r="N110" s="20"/>
      <c r="O110" s="21"/>
    </row>
    <row r="111" spans="1:15" ht="15.95">
      <c r="A111" s="31"/>
      <c r="B111" s="32"/>
      <c r="C111" s="32"/>
      <c r="D111" s="33"/>
      <c r="E111" s="15"/>
      <c r="F111" s="16"/>
      <c r="G111" s="17"/>
      <c r="H111" s="16"/>
      <c r="I111" s="16"/>
      <c r="J111" s="18"/>
      <c r="K111" s="19"/>
      <c r="L111" s="20"/>
      <c r="M111" s="20"/>
      <c r="N111" s="20"/>
      <c r="O111" s="21"/>
    </row>
    <row r="112" spans="1:15" ht="15.95">
      <c r="A112" s="31"/>
      <c r="B112" s="32"/>
      <c r="C112" s="32"/>
      <c r="D112" s="33"/>
      <c r="E112" s="15"/>
      <c r="F112" s="16"/>
      <c r="G112" s="17"/>
      <c r="H112" s="16"/>
      <c r="I112" s="16"/>
      <c r="J112" s="18"/>
      <c r="K112" s="19"/>
      <c r="L112" s="20"/>
      <c r="M112" s="20"/>
      <c r="N112" s="20"/>
      <c r="O112" s="21"/>
    </row>
    <row r="113" spans="1:15" ht="15.95">
      <c r="A113" s="31"/>
      <c r="B113" s="32"/>
      <c r="C113" s="32"/>
      <c r="D113" s="33"/>
      <c r="E113" s="15"/>
      <c r="F113" s="16"/>
      <c r="G113" s="17"/>
      <c r="H113" s="16"/>
      <c r="I113" s="16"/>
      <c r="J113" s="18"/>
      <c r="K113" s="19"/>
      <c r="L113" s="20"/>
      <c r="M113" s="20"/>
      <c r="N113" s="20"/>
      <c r="O113" s="21"/>
    </row>
    <row r="114" spans="1:15" ht="15.95">
      <c r="A114" s="31"/>
      <c r="B114" s="32"/>
      <c r="C114" s="32"/>
      <c r="D114" s="33"/>
      <c r="E114" s="15"/>
      <c r="F114" s="16"/>
      <c r="G114" s="17"/>
      <c r="H114" s="16"/>
      <c r="I114" s="16"/>
      <c r="J114" s="18"/>
      <c r="K114" s="19"/>
      <c r="L114" s="20"/>
      <c r="M114" s="20"/>
      <c r="N114" s="20"/>
      <c r="O114" s="21"/>
    </row>
    <row r="115" spans="1:15" ht="15.95">
      <c r="A115" s="31"/>
      <c r="B115" s="32"/>
      <c r="C115" s="32"/>
      <c r="D115" s="33"/>
      <c r="E115" s="15"/>
      <c r="F115" s="16"/>
      <c r="G115" s="17"/>
      <c r="H115" s="16"/>
      <c r="I115" s="16"/>
      <c r="J115" s="18"/>
      <c r="K115" s="19"/>
      <c r="L115" s="20"/>
      <c r="M115" s="20"/>
      <c r="N115" s="20"/>
      <c r="O115" s="21"/>
    </row>
    <row r="116" spans="1:15" ht="15.95">
      <c r="A116" s="31"/>
      <c r="B116" s="32"/>
      <c r="C116" s="32"/>
      <c r="D116" s="33"/>
      <c r="E116" s="15"/>
      <c r="F116" s="16"/>
      <c r="G116" s="17"/>
      <c r="H116" s="16"/>
      <c r="I116" s="16"/>
      <c r="J116" s="18"/>
      <c r="K116" s="19"/>
      <c r="L116" s="20"/>
      <c r="M116" s="20"/>
      <c r="N116" s="20"/>
      <c r="O116" s="21"/>
    </row>
    <row r="117" spans="1:15" ht="15.95">
      <c r="A117" s="31"/>
      <c r="B117" s="32"/>
      <c r="C117" s="32"/>
      <c r="D117" s="33"/>
      <c r="E117" s="15"/>
      <c r="F117" s="16"/>
      <c r="G117" s="17"/>
      <c r="H117" s="16"/>
      <c r="I117" s="16"/>
      <c r="J117" s="18"/>
      <c r="K117" s="19"/>
      <c r="L117" s="20"/>
      <c r="M117" s="20"/>
      <c r="N117" s="20"/>
      <c r="O117" s="21"/>
    </row>
    <row r="118" spans="1:15" ht="15.95">
      <c r="A118" s="31"/>
      <c r="B118" s="32"/>
      <c r="C118" s="32"/>
      <c r="D118" s="33"/>
      <c r="E118" s="15"/>
      <c r="F118" s="16"/>
      <c r="G118" s="17"/>
      <c r="H118" s="16"/>
      <c r="I118" s="16"/>
      <c r="J118" s="18"/>
      <c r="K118" s="19"/>
      <c r="L118" s="20"/>
      <c r="M118" s="20"/>
      <c r="N118" s="20"/>
      <c r="O118" s="21"/>
    </row>
    <row r="119" spans="1:15" ht="15.95">
      <c r="A119" s="31"/>
      <c r="B119" s="32"/>
      <c r="C119" s="32"/>
      <c r="D119" s="33"/>
      <c r="E119" s="15"/>
      <c r="F119" s="16"/>
      <c r="G119" s="17"/>
      <c r="H119" s="16"/>
      <c r="I119" s="16"/>
      <c r="J119" s="18"/>
      <c r="K119" s="19"/>
      <c r="L119" s="20"/>
      <c r="M119" s="20"/>
      <c r="N119" s="20"/>
      <c r="O119" s="21"/>
    </row>
    <row r="120" spans="1:15" ht="15.95">
      <c r="A120" s="31"/>
      <c r="B120" s="32"/>
      <c r="C120" s="32"/>
      <c r="D120" s="33"/>
      <c r="E120" s="15"/>
      <c r="F120" s="16"/>
      <c r="G120" s="17"/>
      <c r="H120" s="16"/>
      <c r="I120" s="16"/>
      <c r="J120" s="18"/>
      <c r="K120" s="19"/>
      <c r="L120" s="20"/>
      <c r="M120" s="20"/>
      <c r="N120" s="20"/>
      <c r="O120" s="21"/>
    </row>
    <row r="121" spans="1:15" ht="15.95">
      <c r="A121" s="31"/>
      <c r="B121" s="32"/>
      <c r="C121" s="32"/>
      <c r="D121" s="33"/>
      <c r="E121" s="15"/>
      <c r="F121" s="16"/>
      <c r="G121" s="17"/>
      <c r="H121" s="16"/>
      <c r="I121" s="16"/>
      <c r="J121" s="18"/>
      <c r="K121" s="19"/>
      <c r="L121" s="20"/>
      <c r="M121" s="20"/>
      <c r="N121" s="20"/>
      <c r="O121" s="21"/>
    </row>
    <row r="122" spans="1:15" ht="15.95">
      <c r="A122" s="31"/>
      <c r="B122" s="32"/>
      <c r="C122" s="32"/>
      <c r="D122" s="33"/>
      <c r="E122" s="15"/>
      <c r="F122" s="16"/>
      <c r="G122" s="17"/>
      <c r="H122" s="16"/>
      <c r="I122" s="16"/>
      <c r="J122" s="18"/>
      <c r="K122" s="19"/>
      <c r="L122" s="20"/>
      <c r="M122" s="20"/>
      <c r="N122" s="20"/>
      <c r="O122" s="21"/>
    </row>
    <row r="123" spans="1:15" ht="15.95">
      <c r="A123" s="31"/>
      <c r="B123" s="32"/>
      <c r="C123" s="32"/>
      <c r="D123" s="33"/>
      <c r="E123" s="34"/>
      <c r="F123" s="35"/>
      <c r="G123" s="36"/>
      <c r="H123" s="35"/>
      <c r="I123" s="35"/>
      <c r="J123" s="37"/>
      <c r="K123" s="38"/>
      <c r="L123" s="39"/>
      <c r="M123" s="39"/>
      <c r="N123" s="39"/>
      <c r="O123" s="40"/>
    </row>
  </sheetData>
  <conditionalFormatting sqref="G10:G123">
    <cfRule type="cellIs" dxfId="22" priority="1" operator="equal">
      <formula>"High"</formula>
    </cfRule>
    <cfRule type="cellIs" dxfId="21" priority="2" operator="equal">
      <formula>"Medium"</formula>
    </cfRule>
    <cfRule type="cellIs" dxfId="20" priority="3" operator="equal">
      <formula>"Low"</formula>
    </cfRule>
  </conditionalFormatting>
  <dataValidations count="2">
    <dataValidation type="list" allowBlank="1" showInputMessage="1" showErrorMessage="1" sqref="G10:G22 G24:G123" xr:uid="{60AD0C6C-DC45-44E8-9DF5-501ACC52E530}">
      <formula1>$W$28:$W$29</formula1>
    </dataValidation>
    <dataValidation type="list" allowBlank="1" showInputMessage="1" showErrorMessage="1" sqref="G23" xr:uid="{91FD04D5-28DB-4951-8CE2-3C1D038BBEEE}">
      <formula1>$W$20:$W$21</formula1>
    </dataValidation>
  </dataValidations>
  <pageMargins left="0.7" right="0.7" top="0.75" bottom="0.75" header="0.3" footer="0.3"/>
  <headerFooter>
    <oddFooter>&amp;C_x000D_&amp;1#&amp;"Calibri"&amp;10&amp;K0000FF CLASSIFICATION: Public</oddFooter>
  </headerFooter>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DC0BB8BE08744AAD7823D7D2EEDA58" ma:contentTypeVersion="17" ma:contentTypeDescription="Create a new document." ma:contentTypeScope="" ma:versionID="480ee920b99d23bac99646da38ccbbdc">
  <xsd:schema xmlns:xsd="http://www.w3.org/2001/XMLSchema" xmlns:xs="http://www.w3.org/2001/XMLSchema" xmlns:p="http://schemas.microsoft.com/office/2006/metadata/properties" xmlns:ns2="389f1ef8-9fc7-4250-9466-79c08d8bd832" xmlns:ns3="d5b2f26e-b630-44bd-87e5-d5d6c3db68be" targetNamespace="http://schemas.microsoft.com/office/2006/metadata/properties" ma:root="true" ma:fieldsID="2d8ae27bcc703cee76efd159f85bc346" ns2:_="" ns3:_="">
    <xsd:import namespace="389f1ef8-9fc7-4250-9466-79c08d8bd832"/>
    <xsd:import namespace="d5b2f26e-b630-44bd-87e5-d5d6c3db68b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Status"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9f1ef8-9fc7-4250-9466-79c08d8bd8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e15db89-250c-4d34-9bef-285ee39de08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Status" ma:index="19" nillable="true" ma:displayName="Status" ma:format="Dropdown" ma:internalName="Status">
      <xsd:simpleType>
        <xsd:restriction base="dms:Text">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b2f26e-b630-44bd-87e5-d5d6c3db68b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4103b4b-7053-4631-943a-3987abc8a121}" ma:internalName="TaxCatchAll" ma:showField="CatchAllData" ma:web="d5b2f26e-b630-44bd-87e5-d5d6c3db68b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389f1ef8-9fc7-4250-9466-79c08d8bd832" xsi:nil="true"/>
    <TaxCatchAll xmlns="d5b2f26e-b630-44bd-87e5-d5d6c3db68be" xsi:nil="true"/>
    <lcf76f155ced4ddcb4097134ff3c332f xmlns="389f1ef8-9fc7-4250-9466-79c08d8bd832">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66959948-C444-4581-8748-BFE25C085624}"/>
</file>

<file path=customXml/itemProps2.xml><?xml version="1.0" encoding="utf-8"?>
<ds:datastoreItem xmlns:ds="http://schemas.openxmlformats.org/officeDocument/2006/customXml" ds:itemID="{C12F501A-46BA-4670-A6F8-BEDC8FF516BC}"/>
</file>

<file path=customXml/itemProps3.xml><?xml version="1.0" encoding="utf-8"?>
<ds:datastoreItem xmlns:ds="http://schemas.openxmlformats.org/officeDocument/2006/customXml" ds:itemID="{349F4AC8-1245-4FEC-B11B-A209D81E3EA9}"/>
</file>

<file path=customXml/itemProps4.xml><?xml version="1.0" encoding="utf-8"?>
<ds:datastoreItem xmlns:ds="http://schemas.openxmlformats.org/officeDocument/2006/customXml" ds:itemID="{28DA71FD-4214-4AF5-95CB-597BE7BC95D4}"/>
</file>

<file path=docMetadata/LabelInfo.xml><?xml version="1.0" encoding="utf-8"?>
<clbl:labelList xmlns:clbl="http://schemas.microsoft.com/office/2020/mipLabelMetadata">
  <clbl:label id="{6b407c91-f24b-4cd4-a76b-785b6c54b38d}" enabled="1" method="Privileged" siteId="{947d9dbe-5f08-4416-96a9-8468f7f8299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Sewidan</dc:creator>
  <cp:keywords/>
  <dc:description/>
  <cp:lastModifiedBy>Sugumaran Jayasankar</cp:lastModifiedBy>
  <cp:revision/>
  <dcterms:created xsi:type="dcterms:W3CDTF">2025-03-15T12:00:27Z</dcterms:created>
  <dcterms:modified xsi:type="dcterms:W3CDTF">2026-08-25T12:55:59Z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2025-03-15T12:00:51Z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5e74cf2c-378e-4fc9-b454-e4201dc7954e</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y fmtid="{D5CDD505-2E9C-101B-9397-08002B2CF9AE}" pid="10" name="ContentTypeId">
    <vt:lpwstr>0x01010093DC0BB8BE08744AAD7823D7D2EEDA58</vt:lpwstr>
  </property>
  <property fmtid="{D5CDD505-2E9C-101B-9397-08002B2CF9AE}" pid="11" name="MediaServiceImageTags">
    <vt:lpwstr/>
  </property>
</Properties>
</file>