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lfanargroup-my.sharepoint.com/personal/ahmed_abdelzaher_alfanar_com/Documents/Western Rejion/30-Aug-26/"/>
    </mc:Choice>
  </mc:AlternateContent>
  <xr:revisionPtr revIDLastSave="676" documentId="13_ncr:1_{D5652FB6-ACA9-4ABC-A852-81264ABFA990}" xr6:coauthVersionLast="47" xr6:coauthVersionMax="47" xr10:uidLastSave="{90AEAF33-7170-4069-A490-1B10EA924BB5}"/>
  <bookViews>
    <workbookView xWindow="-120" yWindow="-120" windowWidth="29040" windowHeight="15720" tabRatio="599" xr2:uid="{659A72FA-2D59-4712-B11C-A887C88F5CD3}"/>
  </bookViews>
  <sheets>
    <sheet name="All" sheetId="1" r:id="rId1"/>
  </sheets>
  <definedNames>
    <definedName name="_xlnm._FilterDatabase" localSheetId="0" hidden="1">All!$C$2:$AE$63</definedName>
    <definedName name="_xlnm.Print_Area" localSheetId="0">All!$C$2:$AE$64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1" l="1"/>
  <c r="AE60" i="1"/>
  <c r="AE4" i="1"/>
  <c r="O11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67" i="1"/>
  <c r="O66" i="1"/>
  <c r="N117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66" i="1"/>
  <c r="W60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61" i="1"/>
  <c r="X60" i="1" s="1"/>
  <c r="X62" i="1"/>
  <c r="X63" i="1"/>
  <c r="X5" i="1"/>
  <c r="U4" i="1"/>
  <c r="W4" i="1"/>
  <c r="V4" i="1"/>
  <c r="N21" i="1"/>
  <c r="N9" i="1"/>
  <c r="N10" i="1"/>
  <c r="N11" i="1"/>
  <c r="N12" i="1"/>
  <c r="N7" i="1"/>
  <c r="N8" i="1"/>
  <c r="N13" i="1"/>
  <c r="N14" i="1"/>
  <c r="N15" i="1"/>
  <c r="N16" i="1"/>
  <c r="N17" i="1"/>
  <c r="N18" i="1"/>
  <c r="N19" i="1"/>
  <c r="N20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1" i="1"/>
  <c r="N62" i="1"/>
  <c r="N63" i="1"/>
  <c r="K4" i="1"/>
  <c r="AC56" i="1"/>
  <c r="AB56" i="1"/>
  <c r="AD56" i="1" s="1"/>
  <c r="Q56" i="1"/>
  <c r="P56" i="1"/>
  <c r="P50" i="1"/>
  <c r="P33" i="1"/>
  <c r="Q33" i="1"/>
  <c r="Q36" i="1"/>
  <c r="AD60" i="1"/>
  <c r="AC60" i="1"/>
  <c r="Z60" i="1"/>
  <c r="Y60" i="1"/>
  <c r="T60" i="1"/>
  <c r="S60" i="1"/>
  <c r="R60" i="1"/>
  <c r="Q60" i="1"/>
  <c r="X4" i="1" l="1"/>
  <c r="Q35" i="1"/>
  <c r="Z52" i="1" l="1"/>
  <c r="AB37" i="1" l="1"/>
  <c r="Z49" i="1"/>
  <c r="Z47" i="1"/>
  <c r="Z45" i="1"/>
  <c r="Z44" i="1"/>
  <c r="Z43" i="1"/>
  <c r="Z42" i="1"/>
  <c r="Z41" i="1"/>
  <c r="Z40" i="1"/>
  <c r="Z38" i="1"/>
  <c r="AC51" i="1" l="1"/>
  <c r="AC46" i="1"/>
  <c r="AC37" i="1"/>
  <c r="AC34" i="1"/>
  <c r="AC27" i="1"/>
  <c r="P27" i="1"/>
  <c r="Q27" i="1"/>
  <c r="M35" i="1" l="1"/>
  <c r="P26" i="1"/>
  <c r="P29" i="1"/>
  <c r="P30" i="1"/>
  <c r="P31" i="1"/>
  <c r="P32" i="1"/>
  <c r="P34" i="1"/>
  <c r="P35" i="1"/>
  <c r="P36" i="1"/>
  <c r="P37" i="1"/>
  <c r="P38" i="1"/>
  <c r="P39" i="1"/>
  <c r="P40" i="1"/>
  <c r="P41" i="1"/>
  <c r="P42" i="1"/>
  <c r="P43" i="1"/>
  <c r="P44" i="1"/>
  <c r="P49" i="1"/>
  <c r="P51" i="1"/>
  <c r="P52" i="1"/>
  <c r="P53" i="1"/>
  <c r="P54" i="1"/>
  <c r="P55" i="1"/>
  <c r="P25" i="1"/>
  <c r="AB60" i="1"/>
  <c r="AA60" i="1"/>
  <c r="V60" i="1"/>
  <c r="U60" i="1"/>
  <c r="N35" i="1" l="1"/>
  <c r="AB35" i="1" s="1"/>
  <c r="AD35" i="1" s="1"/>
  <c r="M4" i="1"/>
  <c r="O4" i="1"/>
  <c r="P4" i="1"/>
  <c r="R4" i="1"/>
  <c r="S4" i="1"/>
  <c r="T4" i="1"/>
  <c r="Z4" i="1"/>
  <c r="AA4" i="1"/>
  <c r="AC4" i="1"/>
  <c r="AB55" i="1"/>
  <c r="AD55" i="1" s="1"/>
  <c r="AB54" i="1"/>
  <c r="AD54" i="1" s="1"/>
  <c r="AB53" i="1"/>
  <c r="AD53" i="1" s="1"/>
  <c r="AB52" i="1"/>
  <c r="AD52" i="1" s="1"/>
  <c r="AB51" i="1"/>
  <c r="AD51" i="1" s="1"/>
  <c r="AB50" i="1"/>
  <c r="AD50" i="1" s="1"/>
  <c r="AB49" i="1"/>
  <c r="AD49" i="1" s="1"/>
  <c r="AB48" i="1"/>
  <c r="AD48" i="1" s="1"/>
  <c r="AB47" i="1"/>
  <c r="AD47" i="1" s="1"/>
  <c r="AB46" i="1"/>
  <c r="AD46" i="1" s="1"/>
  <c r="AB45" i="1"/>
  <c r="AD45" i="1" s="1"/>
  <c r="AB44" i="1"/>
  <c r="AD44" i="1" s="1"/>
  <c r="AB43" i="1"/>
  <c r="AD43" i="1" s="1"/>
  <c r="AB42" i="1"/>
  <c r="AD42" i="1" s="1"/>
  <c r="AB41" i="1"/>
  <c r="AD41" i="1" s="1"/>
  <c r="AB40" i="1"/>
  <c r="AD40" i="1" s="1"/>
  <c r="AB39" i="1"/>
  <c r="AD39" i="1" s="1"/>
  <c r="AB38" i="1"/>
  <c r="AD38" i="1" s="1"/>
  <c r="AD37" i="1"/>
  <c r="AB36" i="1"/>
  <c r="AD36" i="1" s="1"/>
  <c r="AB34" i="1"/>
  <c r="AD34" i="1" s="1"/>
  <c r="AB33" i="1"/>
  <c r="AD33" i="1" s="1"/>
  <c r="AB32" i="1"/>
  <c r="AD32" i="1" s="1"/>
  <c r="AB31" i="1"/>
  <c r="AD31" i="1" s="1"/>
  <c r="AB30" i="1"/>
  <c r="AD30" i="1" s="1"/>
  <c r="AB29" i="1"/>
  <c r="AB28" i="1"/>
  <c r="AD28" i="1" s="1"/>
  <c r="AB27" i="1"/>
  <c r="AD27" i="1" s="1"/>
  <c r="AB26" i="1"/>
  <c r="AD26" i="1" s="1"/>
  <c r="AB25" i="1"/>
  <c r="AD25" i="1" s="1"/>
  <c r="AB24" i="1"/>
  <c r="AD24" i="1" s="1"/>
  <c r="AB23" i="1"/>
  <c r="AD23" i="1" s="1"/>
  <c r="AB22" i="1"/>
  <c r="AD22" i="1" s="1"/>
  <c r="AB21" i="1"/>
  <c r="AD21" i="1" s="1"/>
  <c r="AB20" i="1"/>
  <c r="AD20" i="1" s="1"/>
  <c r="AB19" i="1"/>
  <c r="AD19" i="1" s="1"/>
  <c r="AB18" i="1"/>
  <c r="AD18" i="1" s="1"/>
  <c r="AB17" i="1"/>
  <c r="AD17" i="1" s="1"/>
  <c r="AB16" i="1"/>
  <c r="AD16" i="1" s="1"/>
  <c r="AB15" i="1"/>
  <c r="AD15" i="1" s="1"/>
  <c r="AB14" i="1"/>
  <c r="AD14" i="1" s="1"/>
  <c r="AB13" i="1"/>
  <c r="AD13" i="1" s="1"/>
  <c r="AB8" i="1"/>
  <c r="AD8" i="1" s="1"/>
  <c r="N5" i="1"/>
  <c r="N6" i="1"/>
  <c r="AB6" i="1" s="1"/>
  <c r="AD6" i="1" s="1"/>
  <c r="AB9" i="1"/>
  <c r="AD9" i="1" s="1"/>
  <c r="AB11" i="1"/>
  <c r="AB12" i="1"/>
  <c r="AB7" i="1"/>
  <c r="K60" i="1"/>
  <c r="L60" i="1"/>
  <c r="M60" i="1"/>
  <c r="O60" i="1"/>
  <c r="P60" i="1"/>
  <c r="Q6" i="1"/>
  <c r="Q9" i="1"/>
  <c r="Q10" i="1"/>
  <c r="Q11" i="1"/>
  <c r="Q12" i="1"/>
  <c r="Q7" i="1"/>
  <c r="Q8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8" i="1"/>
  <c r="Q29" i="1"/>
  <c r="Q31" i="1"/>
  <c r="Q32" i="1"/>
  <c r="Q34" i="1"/>
  <c r="Q37" i="1"/>
  <c r="Q38" i="1"/>
  <c r="Q40" i="1"/>
  <c r="Q41" i="1"/>
  <c r="Q42" i="1"/>
  <c r="Q43" i="1"/>
  <c r="Q48" i="1"/>
  <c r="Q49" i="1"/>
  <c r="Q51" i="1"/>
  <c r="Q53" i="1"/>
  <c r="Q54" i="1"/>
  <c r="Q55" i="1"/>
  <c r="Q5" i="1"/>
  <c r="N60" i="1" l="1"/>
  <c r="N4" i="1"/>
  <c r="AD7" i="1"/>
  <c r="AB10" i="1"/>
  <c r="AD11" i="1"/>
  <c r="AD12" i="1"/>
  <c r="AB5" i="1"/>
  <c r="AD5" i="1" s="1"/>
  <c r="AD29" i="1"/>
  <c r="AE18" i="1"/>
  <c r="AB4" i="1" l="1"/>
  <c r="AD10" i="1"/>
  <c r="AD4" i="1" s="1"/>
  <c r="P3" i="1"/>
  <c r="C6" i="1" l="1"/>
  <c r="C9" i="1" s="1"/>
  <c r="C10" i="1" s="1"/>
  <c r="C11" i="1" s="1"/>
  <c r="C12" i="1" l="1"/>
  <c r="C7" i="1" l="1"/>
  <c r="C8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1" i="1" s="1"/>
  <c r="C62" i="1" s="1"/>
  <c r="C63" i="1" s="1"/>
  <c r="O1" i="1" l="1"/>
  <c r="P1" i="1"/>
  <c r="Q46" i="1"/>
  <c r="Q4" i="1" s="1"/>
  <c r="Q1" i="1" s="1"/>
  <c r="Y4" i="1"/>
</calcChain>
</file>

<file path=xl/sharedStrings.xml><?xml version="1.0" encoding="utf-8"?>
<sst xmlns="http://schemas.openxmlformats.org/spreadsheetml/2006/main" count="560" uniqueCount="230">
  <si>
    <t>s</t>
  </si>
  <si>
    <t>Project Status</t>
  </si>
  <si>
    <t>Project Type</t>
  </si>
  <si>
    <t>Project Category</t>
  </si>
  <si>
    <t>Project Code</t>
  </si>
  <si>
    <t>Project Name</t>
  </si>
  <si>
    <t>Project Mnager</t>
  </si>
  <si>
    <t>Cost Engineer</t>
  </si>
  <si>
    <t>Original Contract Value</t>
  </si>
  <si>
    <t>Change Order Submitted</t>
  </si>
  <si>
    <t>Change Order Approved</t>
  </si>
  <si>
    <t>Rev. Project Value</t>
  </si>
  <si>
    <t>Submitted Invoices</t>
  </si>
  <si>
    <t>Approved Invoices</t>
  </si>
  <si>
    <t>Collected amount</t>
  </si>
  <si>
    <t>Budget</t>
  </si>
  <si>
    <t>Actual Cost</t>
  </si>
  <si>
    <t>Commitment</t>
  </si>
  <si>
    <t>POC plan %
June-26</t>
  </si>
  <si>
    <t>POC plan % 2026</t>
  </si>
  <si>
    <t>POC % Actual</t>
  </si>
  <si>
    <t>POC Variance</t>
  </si>
  <si>
    <t>Cash Inflow</t>
  </si>
  <si>
    <t>Cash Outflow</t>
  </si>
  <si>
    <t>Original Profit %</t>
  </si>
  <si>
    <t>Current Profit %</t>
  </si>
  <si>
    <t>Original Profit (Amount)</t>
  </si>
  <si>
    <t>Current Profit (Amount)</t>
  </si>
  <si>
    <t>WESTERN REGION UNIT</t>
  </si>
  <si>
    <t>SEC</t>
  </si>
  <si>
    <t>Closed</t>
  </si>
  <si>
    <t>Substation</t>
  </si>
  <si>
    <t>380kv ex</t>
  </si>
  <si>
    <t>PE-221</t>
  </si>
  <si>
    <t xml:space="preserve">PE-221: Expansions of 380 KV Yanbu Central, Umluj North and Madain BSP </t>
  </si>
  <si>
    <t>Mohamed Omar</t>
  </si>
  <si>
    <t>Ganesh</t>
  </si>
  <si>
    <t>PE-182</t>
  </si>
  <si>
    <t>PE-182: Design and Construction of 8H Substation (PIC P-7705)</t>
  </si>
  <si>
    <t>UGC</t>
  </si>
  <si>
    <t>PE-118</t>
  </si>
  <si>
    <t>PE-118 : 380 KV U/G Cable Makkah Central BSP</t>
  </si>
  <si>
    <t>Bandar Khalid Al Qalah</t>
  </si>
  <si>
    <t>Azeem</t>
  </si>
  <si>
    <t>132kv ex</t>
  </si>
  <si>
    <t>PE-261</t>
  </si>
  <si>
    <t>PE-261: Reinf. of Misfilah-2 &amp; 3</t>
  </si>
  <si>
    <t>Khaled Abdelaty</t>
  </si>
  <si>
    <t xml:space="preserve">Hasan </t>
  </si>
  <si>
    <t>DRPC</t>
  </si>
  <si>
    <t>PE-243</t>
  </si>
  <si>
    <t>PE-243: Installation of Dynamic Reactive Power Compensation(DRPC) at Tabuk 380KV BSP</t>
  </si>
  <si>
    <t xml:space="preserve">Shafqat Zia </t>
  </si>
  <si>
    <t>NEOM</t>
  </si>
  <si>
    <t>380kv</t>
  </si>
  <si>
    <t>PE-241</t>
  </si>
  <si>
    <t>PE-241: Expansion of Existing Yanbu Central (YCNT) 380KV BSP, Umluj North (UMN) 380KV BSP and Al-Wajh (WJH) 380KV BSP – (PHASE-I)</t>
  </si>
  <si>
    <t>Zohaib</t>
  </si>
  <si>
    <t>PE-257</t>
  </si>
  <si>
    <t>PE-257: Expansions of Existing MHD 380 KV BSP</t>
  </si>
  <si>
    <t>Nishi</t>
  </si>
  <si>
    <t>110kv ex</t>
  </si>
  <si>
    <t>PE-258</t>
  </si>
  <si>
    <t>PE-258: Taif East Governorate Project</t>
  </si>
  <si>
    <t>110KV</t>
  </si>
  <si>
    <t>PE-270</t>
  </si>
  <si>
    <t>110/13.8KV  HARAZAT SUB JEDDAH</t>
  </si>
  <si>
    <t>Muhammed Ilyas</t>
  </si>
  <si>
    <t>Aush Ranjan</t>
  </si>
  <si>
    <t>Egypt Office</t>
  </si>
  <si>
    <t>PE-290</t>
  </si>
  <si>
    <t>Fadelah 110/13.8KV SS - JEDDAH</t>
  </si>
  <si>
    <t>Badr Eldin khaled</t>
  </si>
  <si>
    <t>380kV</t>
  </si>
  <si>
    <t>PE-254</t>
  </si>
  <si>
    <t>HENAKIYAH BSP 380 KV</t>
  </si>
  <si>
    <t>Mahmoud sobhy</t>
  </si>
  <si>
    <t>Marwan</t>
  </si>
  <si>
    <t>PE-260</t>
  </si>
  <si>
    <t>Sanabel con.at Jeddah</t>
  </si>
  <si>
    <t>Abdelazeem Morsy</t>
  </si>
  <si>
    <t xml:space="preserve">Karim Ahmed </t>
  </si>
  <si>
    <t>PE-262</t>
  </si>
  <si>
    <t>Reinf. of Thuwal Town  KAUST 2</t>
  </si>
  <si>
    <t>PE-296</t>
  </si>
  <si>
    <t>Waly Alahad-4 110/13.8KV SS</t>
  </si>
  <si>
    <t>Moustafa Elkayyal</t>
  </si>
  <si>
    <t>PE-281</t>
  </si>
  <si>
    <t>110KV SS - KAEC-3</t>
  </si>
  <si>
    <t>Hossam Mahrous</t>
  </si>
  <si>
    <t>Abhinav</t>
  </si>
  <si>
    <t>Substation Energized. TCC Received</t>
  </si>
  <si>
    <t>PE-280</t>
  </si>
  <si>
    <t>110KV SS - KAEC-2</t>
  </si>
  <si>
    <t>All works completed. Exp. Energization by 07-01-26</t>
  </si>
  <si>
    <t>Masar</t>
  </si>
  <si>
    <t>PE-185</t>
  </si>
  <si>
    <t>NG Taif</t>
  </si>
  <si>
    <t>Omar Samman</t>
  </si>
  <si>
    <t xml:space="preserve">                                                -  </t>
  </si>
  <si>
    <t>380KV</t>
  </si>
  <si>
    <t>PE-267</t>
  </si>
  <si>
    <t>CONST KAR 380 110KV BSP</t>
  </si>
  <si>
    <t>PE-291</t>
  </si>
  <si>
    <t>HAMRA AL ASAD 110/13.8 KV SUB</t>
  </si>
  <si>
    <t>PE-292</t>
  </si>
  <si>
    <t>Shoran-2 110/13.8 KV - Madinah</t>
  </si>
  <si>
    <t>Ayush Ranjan</t>
  </si>
  <si>
    <t>Running</t>
  </si>
  <si>
    <t>PE-315</t>
  </si>
  <si>
    <t>110KV Salam Royal Palace</t>
  </si>
  <si>
    <t>Ahmed Faisal</t>
  </si>
  <si>
    <t>PE-246</t>
  </si>
  <si>
    <t>UM-AL-JOUD BSP</t>
  </si>
  <si>
    <t>PE-263</t>
  </si>
  <si>
    <t>MOWAIH PV 380/110V BSP</t>
  </si>
  <si>
    <t xml:space="preserve">Ahmed Aboelseoud </t>
  </si>
  <si>
    <t>Eslam Elmowafy</t>
  </si>
  <si>
    <t>110kv</t>
  </si>
  <si>
    <t>PE-265</t>
  </si>
  <si>
    <t>110/33 KV ALMAHANI S/S IN TAIF</t>
  </si>
  <si>
    <t>Mai Abdelmaksoud</t>
  </si>
  <si>
    <t>PE-266</t>
  </si>
  <si>
    <t>EXT. OF THE EXIS. THAGEF &amp;ADAM</t>
  </si>
  <si>
    <t>Mahmoud Sobhy</t>
  </si>
  <si>
    <t>Ibrahim Eldesouky</t>
  </si>
  <si>
    <t>SDCC</t>
  </si>
  <si>
    <t>PE-286</t>
  </si>
  <si>
    <t>SEC Smart Distribution Control Centre</t>
  </si>
  <si>
    <t xml:space="preserve">Mostafa Lashien </t>
  </si>
  <si>
    <t>Kareem Sobhy</t>
  </si>
  <si>
    <t>PE-287</t>
  </si>
  <si>
    <t>Exp. of YCNT BSP for Power to Neom</t>
  </si>
  <si>
    <t>PE-294</t>
  </si>
  <si>
    <t>Airport C (KAIA) Interconnection REINF.</t>
  </si>
  <si>
    <t>Hasan</t>
  </si>
  <si>
    <t>PE-295</t>
  </si>
  <si>
    <t>Interconnection of AJM-1 (New Jamoom)</t>
  </si>
  <si>
    <t>PE-301</t>
  </si>
  <si>
    <t>Expansion of Mowaih PV 380kV BSP</t>
  </si>
  <si>
    <t>modon</t>
  </si>
  <si>
    <t>110KV ss</t>
  </si>
  <si>
    <t>PE-305</t>
  </si>
  <si>
    <t>KAR-2 -110KV SS &amp; UGC</t>
  </si>
  <si>
    <t>Mohammad Obeidat</t>
  </si>
  <si>
    <t xml:space="preserve">Merna mohamed </t>
  </si>
  <si>
    <t>132KV</t>
  </si>
  <si>
    <t>PE-307</t>
  </si>
  <si>
    <t>132/13.8KV Sub Industrial City Tabuk</t>
  </si>
  <si>
    <t>Ahmed Labib</t>
  </si>
  <si>
    <t>PE-308</t>
  </si>
  <si>
    <t xml:space="preserve">110KV Salam Royal </t>
  </si>
  <si>
    <t>PE-312</t>
  </si>
  <si>
    <t>Const of Southern 380KV BSP | Al Ula</t>
  </si>
  <si>
    <t xml:space="preserve">Pervaiz Akbar </t>
  </si>
  <si>
    <t>Syed Ibrahim Quadri</t>
  </si>
  <si>
    <t>PE-314</t>
  </si>
  <si>
    <t xml:space="preserve">Expansion of Tabuk BSP &amp; Duba BSP </t>
  </si>
  <si>
    <t>HVDC</t>
  </si>
  <si>
    <t>PE-319</t>
  </si>
  <si>
    <t>HVDC-4 | COA-WOA | JED-HHR1</t>
  </si>
  <si>
    <t>Khaled Abdelaty Hassan Emara Shehata</t>
  </si>
  <si>
    <t>Shahabas/ Azhagar</t>
  </si>
  <si>
    <t>OHTL</t>
  </si>
  <si>
    <t>PE-324</t>
  </si>
  <si>
    <t>Stage-2 HVDC OHTL COA-WOA</t>
  </si>
  <si>
    <t>Ahmed Radwan</t>
  </si>
  <si>
    <t>Sakthi</t>
  </si>
  <si>
    <t>PE-329</t>
  </si>
  <si>
    <t>SEC | 132KV OHTL Tabuk</t>
  </si>
  <si>
    <t>Mohan</t>
  </si>
  <si>
    <t>PE-331</t>
  </si>
  <si>
    <t>UMM AL-QURA CEMENT OHTL</t>
  </si>
  <si>
    <t>Sudhakar</t>
  </si>
  <si>
    <t>Anwar Shiek / Bandi Mansoor</t>
  </si>
  <si>
    <t>PE-332</t>
  </si>
  <si>
    <t>110KV OHTL FOR MAADEN-AL MAHAD</t>
  </si>
  <si>
    <t>Dhana Baskar P</t>
  </si>
  <si>
    <t>BESS</t>
  </si>
  <si>
    <t>PE-338</t>
  </si>
  <si>
    <t>Battery Energy (BESS) -Rabigh</t>
  </si>
  <si>
    <t>Mohamed Elmazawy</t>
  </si>
  <si>
    <t>Vivek / Senthil</t>
  </si>
  <si>
    <t>Project Energized. TCC Invoice submitted for SEC approval.</t>
  </si>
  <si>
    <t>PE-345</t>
  </si>
  <si>
    <t>Arafat SS</t>
  </si>
  <si>
    <t>Mostafa Ayop</t>
  </si>
  <si>
    <t>PE-347</t>
  </si>
  <si>
    <t>Construction of Tabuk Substation for BESS</t>
  </si>
  <si>
    <t>Amin  El sayed</t>
  </si>
  <si>
    <t>PE-328</t>
  </si>
  <si>
    <t>CONSTRUCTION OF ALWESSAM TAIF 110/13.SKV SUBSTATION IN TAIF</t>
  </si>
  <si>
    <t>132kv</t>
  </si>
  <si>
    <t>PE-368</t>
  </si>
  <si>
    <t>CONSTRUCTION OF A NEW 132/13.8KV SUBSTATION RABIAH TABUK (RBTBK) &amp; ITS 132KV INTERCONNECTION IN TABUK</t>
  </si>
  <si>
    <t>PE-369</t>
  </si>
  <si>
    <t>CONSTRUCTION OF A NEW 110/13.8 kV SUBSTATION Al-Arfa (ARFA-G) IN TAIF UNDER GRANT SCHEMES PROGRAM</t>
  </si>
  <si>
    <t>Menna Abdelhamid</t>
  </si>
  <si>
    <t>Statcom</t>
  </si>
  <si>
    <t>STATCOM</t>
  </si>
  <si>
    <t>PE-346</t>
  </si>
  <si>
    <t>Installation of New STATCOM ±300MV AR At 132kV Level At Northern BSP</t>
  </si>
  <si>
    <t>PE-359</t>
  </si>
  <si>
    <t>CONSTRUCTION OF A NEW 110KV D/C OHTL FOR A NEW 110/13.8KV SUBSTATION Al-Arfa (ARFA-G) IN TAIF UNDER GRANT SCHEMES PROGRAM</t>
  </si>
  <si>
    <t>PE-365</t>
  </si>
  <si>
    <t xml:space="preserve">CONSTRUCTION OF A NEW SUBSTATION KHR-1 380/110 KV BSP &amp; EXP OF EXISTING MHR BSP UNDER
RENEWABLE ENERGY </t>
  </si>
  <si>
    <t>Ahmed abdelhadi</t>
  </si>
  <si>
    <t>PE-370</t>
  </si>
  <si>
    <t>CONSTRUCTION OF A NEW SUBSTATION KHR-2 380/110 KV BSP UNDER RENEWABLE ENERGY POWER PLANT (WOA)</t>
  </si>
  <si>
    <t>PE-380</t>
  </si>
  <si>
    <t>AL JAMOOM 110/33/13.8KV SUBSTATION (Te3830)</t>
  </si>
  <si>
    <t>Bandar Al Qalah</t>
  </si>
  <si>
    <t>PE-388</t>
  </si>
  <si>
    <t>CONSTRUCTION OF HENAKIYAH-3 PV</t>
  </si>
  <si>
    <t>PE-398</t>
  </si>
  <si>
    <t>CONSTRUCTION OF NEW 110KV D/C OHTL FOR NEW SUBSTATION BAHITAH HOUSING IN TAIF-WOA</t>
  </si>
  <si>
    <t>PE-391</t>
  </si>
  <si>
    <t>ADDITION OF TWO (2) 80/100MVA 132/33KV TRANSFORMERS AT DUBA-2 SUBSTATION.</t>
  </si>
  <si>
    <t>PE-371</t>
  </si>
  <si>
    <t>Replacement of Musayjid BSP By Expansion of PS-2 BSP in Western Operating Area.</t>
  </si>
  <si>
    <t>INFRA UNIT</t>
  </si>
  <si>
    <t>Infra</t>
  </si>
  <si>
    <t>PE-289</t>
  </si>
  <si>
    <t>SWRO Des. Plant | Shoaibha PP</t>
  </si>
  <si>
    <t>Fathi Mohamed moussa</t>
  </si>
  <si>
    <t>Mohamed Saeed Harb</t>
  </si>
  <si>
    <t>PE-293</t>
  </si>
  <si>
    <t>SWRO Des. Plant- Shuqaiq Power Plant</t>
  </si>
  <si>
    <t>PE-303</t>
  </si>
  <si>
    <t>Water Treatment Plant &amp; Tank - Jeddah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</si>
</sst>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4"/>
      <name val="Arial"/>
      <family val="2"/>
    </font>
    <font>
      <sz val="16"/>
      <color rgb="FF000000"/>
      <name val="Aptos Narrow"/>
      <family val="2"/>
      <scheme val="minor"/>
    </font>
    <font>
      <sz val="14"/>
      <color rgb="FF000000"/>
      <name val="Arial"/>
      <family val="2"/>
    </font>
    <font>
      <sz val="14"/>
      <color rgb="FFFF0000"/>
      <name val="Arial"/>
      <family val="2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</font>
    <font>
      <sz val="20"/>
      <color rgb="FF000000"/>
      <name val="Aptos Narrow"/>
      <family val="2"/>
    </font>
    <font>
      <sz val="16"/>
      <color rgb="FF000000"/>
      <name val="Aptos Narrow"/>
      <family val="2"/>
    </font>
    <font>
      <b/>
      <sz val="14"/>
      <color rgb="FFFFFFFF"/>
      <name val="Arial"/>
      <family val="2"/>
    </font>
    <font>
      <sz val="14"/>
      <color theme="1"/>
      <name val="Arial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B304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8">
    <xf numFmtId="0" fontId="0" fillId="0" borderId="0" xfId="0"/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vertical="center" wrapText="1"/>
      <protection locked="0"/>
    </xf>
    <xf numFmtId="0" fontId="5" fillId="3" borderId="7" xfId="0" applyFont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/>
    </xf>
    <xf numFmtId="164" fontId="5" fillId="3" borderId="7" xfId="0" applyNumberFormat="1" applyFont="1" applyFill="1" applyBorder="1" applyAlignment="1" applyProtection="1">
      <alignment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>
      <alignment vertical="center" wrapText="1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>
      <alignment horizontal="center" vertical="center" wrapText="1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10" fillId="0" borderId="4" xfId="0" applyFont="1" applyBorder="1" applyAlignment="1">
      <alignment horizontal="left" vertical="center" wrapText="1"/>
    </xf>
    <xf numFmtId="0" fontId="3" fillId="0" borderId="7" xfId="0" applyFont="1" applyBorder="1" applyAlignment="1" applyProtection="1">
      <alignment vertical="center" wrapText="1"/>
      <protection hidden="1"/>
    </xf>
    <xf numFmtId="49" fontId="11" fillId="0" borderId="4" xfId="0" applyNumberFormat="1" applyFont="1" applyBorder="1" applyAlignment="1">
      <alignment horizontal="left" vertical="center" wrapText="1"/>
    </xf>
    <xf numFmtId="10" fontId="5" fillId="3" borderId="7" xfId="1" applyNumberFormat="1" applyFont="1" applyFill="1" applyBorder="1" applyAlignment="1" applyProtection="1">
      <alignment vertical="center" wrapText="1"/>
      <protection locked="0"/>
    </xf>
    <xf numFmtId="9" fontId="0" fillId="0" borderId="0" xfId="1" applyFont="1"/>
    <xf numFmtId="0" fontId="8" fillId="0" borderId="4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>
      <alignment vertical="center" wrapText="1"/>
    </xf>
    <xf numFmtId="0" fontId="3" fillId="0" borderId="12" xfId="0" applyFont="1" applyBorder="1" applyAlignment="1" applyProtection="1">
      <alignment horizontal="left" vertical="center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164" fontId="6" fillId="0" borderId="12" xfId="0" applyNumberFormat="1" applyFont="1" applyBorder="1" applyAlignment="1" applyProtection="1">
      <alignment horizontal="left" vertical="center" wrapText="1"/>
      <protection locked="0"/>
    </xf>
    <xf numFmtId="0" fontId="10" fillId="0" borderId="12" xfId="0" applyFont="1" applyBorder="1" applyAlignment="1">
      <alignment horizontal="left" vertical="center" wrapText="1"/>
    </xf>
    <xf numFmtId="0" fontId="3" fillId="0" borderId="12" xfId="0" applyFont="1" applyBorder="1" applyAlignment="1" applyProtection="1">
      <alignment vertical="center" wrapText="1"/>
      <protection hidden="1"/>
    </xf>
    <xf numFmtId="49" fontId="11" fillId="0" borderId="12" xfId="0" applyNumberFormat="1" applyFont="1" applyBorder="1" applyAlignment="1">
      <alignment horizontal="left" vertical="center" wrapText="1"/>
    </xf>
    <xf numFmtId="49" fontId="11" fillId="0" borderId="13" xfId="0" applyNumberFormat="1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4" fontId="0" fillId="0" borderId="0" xfId="0" applyNumberFormat="1" applyAlignment="1">
      <alignment horizontal="right" vertical="center" indent="1"/>
    </xf>
    <xf numFmtId="3" fontId="6" fillId="0" borderId="12" xfId="0" applyNumberFormat="1" applyFont="1" applyBorder="1" applyAlignment="1" applyProtection="1">
      <alignment horizontal="left" vertical="center" wrapText="1"/>
      <protection locked="0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0" fontId="8" fillId="0" borderId="8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left" vertical="center" wrapText="1"/>
    </xf>
    <xf numFmtId="0" fontId="13" fillId="0" borderId="0" xfId="0" applyFont="1"/>
    <xf numFmtId="0" fontId="14" fillId="0" borderId="0" xfId="0" applyFont="1"/>
    <xf numFmtId="0" fontId="3" fillId="0" borderId="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4" fillId="3" borderId="14" xfId="0" applyFont="1" applyFill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left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  <protection hidden="1"/>
    </xf>
    <xf numFmtId="0" fontId="3" fillId="0" borderId="18" xfId="0" applyFont="1" applyBorder="1" applyAlignment="1" applyProtection="1">
      <alignment horizontal="left" vertical="center" wrapText="1"/>
      <protection locked="0"/>
    </xf>
    <xf numFmtId="3" fontId="15" fillId="0" borderId="7" xfId="0" applyNumberFormat="1" applyFont="1" applyBorder="1" applyAlignment="1">
      <alignment wrapText="1"/>
    </xf>
    <xf numFmtId="9" fontId="15" fillId="0" borderId="7" xfId="0" applyNumberFormat="1" applyFont="1" applyBorder="1" applyAlignment="1">
      <alignment wrapText="1"/>
    </xf>
    <xf numFmtId="10" fontId="15" fillId="0" borderId="7" xfId="0" applyNumberFormat="1" applyFont="1" applyBorder="1" applyAlignment="1">
      <alignment wrapText="1"/>
    </xf>
    <xf numFmtId="0" fontId="15" fillId="0" borderId="8" xfId="0" applyFont="1" applyBorder="1" applyAlignment="1">
      <alignment wrapText="1"/>
    </xf>
    <xf numFmtId="3" fontId="15" fillId="0" borderId="8" xfId="0" applyNumberFormat="1" applyFont="1" applyBorder="1" applyAlignment="1">
      <alignment wrapText="1"/>
    </xf>
    <xf numFmtId="9" fontId="15" fillId="0" borderId="8" xfId="0" applyNumberFormat="1" applyFont="1" applyBorder="1" applyAlignment="1">
      <alignment wrapText="1"/>
    </xf>
    <xf numFmtId="10" fontId="15" fillId="0" borderId="8" xfId="0" applyNumberFormat="1" applyFont="1" applyBorder="1" applyAlignment="1">
      <alignment wrapText="1"/>
    </xf>
    <xf numFmtId="3" fontId="8" fillId="4" borderId="2" xfId="0" applyNumberFormat="1" applyFont="1" applyFill="1" applyBorder="1" applyAlignment="1">
      <alignment wrapText="1"/>
    </xf>
    <xf numFmtId="3" fontId="8" fillId="4" borderId="8" xfId="0" applyNumberFormat="1" applyFont="1" applyFill="1" applyBorder="1" applyAlignment="1">
      <alignment wrapText="1"/>
    </xf>
    <xf numFmtId="3" fontId="8" fillId="0" borderId="8" xfId="0" applyNumberFormat="1" applyFont="1" applyBorder="1" applyAlignment="1">
      <alignment wrapText="1"/>
    </xf>
    <xf numFmtId="3" fontId="6" fillId="0" borderId="8" xfId="0" applyNumberFormat="1" applyFont="1" applyBorder="1" applyAlignment="1">
      <alignment wrapText="1"/>
    </xf>
    <xf numFmtId="3" fontId="8" fillId="0" borderId="2" xfId="0" applyNumberFormat="1" applyFont="1" applyBorder="1" applyAlignment="1">
      <alignment wrapText="1"/>
    </xf>
    <xf numFmtId="3" fontId="8" fillId="0" borderId="19" xfId="0" applyNumberFormat="1" applyFont="1" applyBorder="1" applyAlignment="1">
      <alignment wrapText="1"/>
    </xf>
    <xf numFmtId="3" fontId="8" fillId="0" borderId="20" xfId="0" applyNumberFormat="1" applyFont="1" applyBorder="1" applyAlignment="1">
      <alignment wrapText="1"/>
    </xf>
    <xf numFmtId="3" fontId="15" fillId="0" borderId="20" xfId="0" applyNumberFormat="1" applyFont="1" applyBorder="1" applyAlignment="1">
      <alignment wrapText="1"/>
    </xf>
    <xf numFmtId="9" fontId="15" fillId="0" borderId="20" xfId="0" applyNumberFormat="1" applyFont="1" applyBorder="1" applyAlignment="1">
      <alignment wrapText="1"/>
    </xf>
    <xf numFmtId="10" fontId="15" fillId="0" borderId="21" xfId="0" applyNumberFormat="1" applyFont="1" applyBorder="1" applyAlignment="1">
      <alignment wrapText="1"/>
    </xf>
    <xf numFmtId="10" fontId="15" fillId="0" borderId="19" xfId="0" applyNumberFormat="1" applyFont="1" applyBorder="1" applyAlignment="1">
      <alignment wrapText="1"/>
    </xf>
    <xf numFmtId="164" fontId="3" fillId="0" borderId="12" xfId="0" applyNumberFormat="1" applyFont="1" applyBorder="1" applyAlignment="1" applyProtection="1">
      <alignment horizontal="left" vertical="center" wrapText="1"/>
      <protection locked="0"/>
    </xf>
    <xf numFmtId="164" fontId="16" fillId="0" borderId="7" xfId="3" applyNumberFormat="1" applyFont="1" applyBorder="1" applyAlignment="1">
      <alignment wrapText="1"/>
    </xf>
    <xf numFmtId="164" fontId="16" fillId="0" borderId="8" xfId="3" applyNumberFormat="1" applyFont="1" applyBorder="1" applyAlignment="1">
      <alignment wrapText="1"/>
    </xf>
    <xf numFmtId="164" fontId="9" fillId="4" borderId="8" xfId="3" applyNumberFormat="1" applyFont="1" applyFill="1" applyBorder="1" applyAlignment="1">
      <alignment wrapText="1"/>
    </xf>
    <xf numFmtId="164" fontId="8" fillId="4" borderId="8" xfId="3" applyNumberFormat="1" applyFont="1" applyFill="1" applyBorder="1" applyAlignment="1">
      <alignment wrapText="1"/>
    </xf>
    <xf numFmtId="164" fontId="8" fillId="0" borderId="8" xfId="3" applyNumberFormat="1" applyFont="1" applyBorder="1" applyAlignment="1">
      <alignment wrapText="1"/>
    </xf>
    <xf numFmtId="164" fontId="9" fillId="0" borderId="8" xfId="3" applyNumberFormat="1" applyFont="1" applyBorder="1" applyAlignment="1">
      <alignment wrapText="1"/>
    </xf>
    <xf numFmtId="164" fontId="15" fillId="0" borderId="8" xfId="3" applyNumberFormat="1" applyFont="1" applyBorder="1" applyAlignment="1">
      <alignment wrapText="1"/>
    </xf>
    <xf numFmtId="3" fontId="15" fillId="7" borderId="8" xfId="0" applyNumberFormat="1" applyFont="1" applyFill="1" applyBorder="1" applyAlignment="1">
      <alignment wrapText="1"/>
    </xf>
    <xf numFmtId="3" fontId="8" fillId="7" borderId="8" xfId="0" applyNumberFormat="1" applyFont="1" applyFill="1" applyBorder="1" applyAlignment="1">
      <alignment wrapText="1"/>
    </xf>
    <xf numFmtId="3" fontId="15" fillId="7" borderId="20" xfId="0" applyNumberFormat="1" applyFont="1" applyFill="1" applyBorder="1" applyAlignment="1">
      <alignment wrapText="1"/>
    </xf>
    <xf numFmtId="3" fontId="8" fillId="7" borderId="20" xfId="0" applyNumberFormat="1" applyFont="1" applyFill="1" applyBorder="1" applyAlignment="1">
      <alignment wrapText="1"/>
    </xf>
    <xf numFmtId="3" fontId="15" fillId="7" borderId="7" xfId="0" applyNumberFormat="1" applyFont="1" applyFill="1" applyBorder="1" applyAlignment="1">
      <alignment wrapText="1"/>
    </xf>
    <xf numFmtId="4" fontId="15" fillId="7" borderId="8" xfId="0" applyNumberFormat="1" applyFont="1" applyFill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3" fontId="15" fillId="0" borderId="8" xfId="0" applyNumberFormat="1" applyFont="1" applyBorder="1" applyAlignment="1">
      <alignment horizontal="center" vertical="center" wrapText="1"/>
    </xf>
    <xf numFmtId="3" fontId="15" fillId="0" borderId="7" xfId="0" applyNumberFormat="1" applyFont="1" applyBorder="1" applyAlignment="1">
      <alignment horizontal="center" vertical="center" wrapText="1"/>
    </xf>
    <xf numFmtId="9" fontId="15" fillId="0" borderId="8" xfId="0" applyNumberFormat="1" applyFont="1" applyBorder="1" applyAlignment="1">
      <alignment horizontal="center" vertical="center" wrapText="1"/>
    </xf>
    <xf numFmtId="10" fontId="15" fillId="0" borderId="8" xfId="0" applyNumberFormat="1" applyFont="1" applyBorder="1" applyAlignment="1">
      <alignment horizontal="center" vertical="center" wrapText="1"/>
    </xf>
    <xf numFmtId="43" fontId="0" fillId="0" borderId="0" xfId="0" applyNumberFormat="1"/>
    <xf numFmtId="43" fontId="15" fillId="0" borderId="7" xfId="0" applyNumberFormat="1" applyFont="1" applyBorder="1" applyAlignment="1">
      <alignment wrapText="1"/>
    </xf>
    <xf numFmtId="10" fontId="5" fillId="3" borderId="7" xfId="1" applyNumberFormat="1" applyFont="1" applyFill="1" applyBorder="1" applyAlignment="1" applyProtection="1">
      <alignment horizontal="center" vertical="center" wrapText="1"/>
      <protection locked="0"/>
    </xf>
    <xf numFmtId="9" fontId="15" fillId="0" borderId="7" xfId="0" applyNumberFormat="1" applyFont="1" applyBorder="1" applyAlignment="1">
      <alignment horizontal="center" wrapText="1"/>
    </xf>
    <xf numFmtId="9" fontId="15" fillId="0" borderId="8" xfId="0" applyNumberFormat="1" applyFont="1" applyBorder="1" applyAlignment="1">
      <alignment horizontal="center" wrapText="1"/>
    </xf>
    <xf numFmtId="10" fontId="15" fillId="0" borderId="8" xfId="0" applyNumberFormat="1" applyFont="1" applyBorder="1" applyAlignment="1">
      <alignment horizontal="center" wrapText="1"/>
    </xf>
    <xf numFmtId="9" fontId="15" fillId="0" borderId="20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5" fillId="3" borderId="2" xfId="0" applyFont="1" applyFill="1" applyBorder="1" applyAlignment="1" applyProtection="1">
      <alignment vertical="center" wrapText="1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3" fontId="16" fillId="5" borderId="8" xfId="0" applyNumberFormat="1" applyFont="1" applyFill="1" applyBorder="1" applyAlignment="1">
      <alignment wrapText="1"/>
    </xf>
    <xf numFmtId="43" fontId="16" fillId="5" borderId="8" xfId="3" applyFont="1" applyFill="1" applyBorder="1" applyAlignment="1">
      <alignment wrapText="1"/>
    </xf>
    <xf numFmtId="164" fontId="16" fillId="5" borderId="8" xfId="3" applyNumberFormat="1" applyFont="1" applyFill="1" applyBorder="1" applyAlignment="1">
      <alignment wrapText="1"/>
    </xf>
    <xf numFmtId="10" fontId="16" fillId="5" borderId="8" xfId="0" applyNumberFormat="1" applyFont="1" applyFill="1" applyBorder="1" applyAlignment="1">
      <alignment wrapText="1"/>
    </xf>
    <xf numFmtId="10" fontId="16" fillId="5" borderId="8" xfId="0" applyNumberFormat="1" applyFont="1" applyFill="1" applyBorder="1" applyAlignment="1">
      <alignment horizontal="center" wrapText="1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4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 applyProtection="1">
      <alignment horizontal="center" vertical="center" wrapText="1"/>
      <protection locked="0"/>
    </xf>
    <xf numFmtId="0" fontId="2" fillId="7" borderId="10" xfId="0" applyFont="1" applyFill="1" applyBorder="1" applyAlignment="1" applyProtection="1">
      <alignment horizontal="center" vertical="center" wrapText="1"/>
      <protection locked="0"/>
    </xf>
    <xf numFmtId="0" fontId="2" fillId="7" borderId="2" xfId="0" applyFont="1" applyFill="1" applyBorder="1" applyAlignment="1" applyProtection="1">
      <alignment horizontal="center" vertical="center" wrapText="1"/>
      <protection locked="0"/>
    </xf>
    <xf numFmtId="0" fontId="2" fillId="6" borderId="10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 applyProtection="1">
      <alignment horizontal="center" vertical="center" wrapText="1"/>
      <protection locked="0"/>
    </xf>
    <xf numFmtId="0" fontId="2" fillId="2" borderId="11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10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10" fontId="0" fillId="0" borderId="0" xfId="1" applyNumberFormat="1" applyFont="1"/>
    <xf numFmtId="164" fontId="5" fillId="3" borderId="12" xfId="0" applyNumberFormat="1" applyFont="1" applyFill="1" applyBorder="1" applyAlignment="1" applyProtection="1">
      <alignment vertical="center" wrapText="1"/>
      <protection locked="0"/>
    </xf>
  </cellXfs>
  <cellStyles count="4">
    <cellStyle name="Comma" xfId="3" builtinId="3"/>
    <cellStyle name="Normal" xfId="0" builtinId="0"/>
    <cellStyle name="Percent" xfId="1" builtinId="5"/>
    <cellStyle name="Percent 2" xfId="2" xr:uid="{DC1BFE53-4729-4562-8A6C-8DEC701003A6}"/>
  </cellStyles>
  <dxfs count="19">
    <dxf>
      <fill>
        <patternFill>
          <fgColor indexed="64"/>
          <bgColor rgb="FFFFCD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5949-4104-44D2-A6B6-9FE371CAC9A1}">
  <sheetPr codeName="Sheet1">
    <pageSetUpPr fitToPage="1"/>
  </sheetPr>
  <dimension ref="A1:AF117"/>
  <sheetViews>
    <sheetView tabSelected="1" view="pageBreakPreview" topLeftCell="A50" zoomScale="85" zoomScaleNormal="50" zoomScaleSheetLayoutView="85" workbookViewId="0">
      <pane xSplit="6" topLeftCell="G1" activePane="topRight" state="frozen"/>
      <selection activeCell="A5" sqref="A5"/>
      <selection pane="topRight" activeCell="D57" sqref="D57"/>
    </sheetView>
  </sheetViews>
  <sheetFormatPr defaultRowHeight="15" customHeight="1" x14ac:dyDescent="0.25"/>
  <cols>
    <col min="3" max="3" width="6" bestFit="1" customWidth="1"/>
    <col min="4" max="4" width="19.7109375" customWidth="1"/>
    <col min="5" max="5" width="17.28515625" customWidth="1"/>
    <col min="6" max="6" width="18.28515625" customWidth="1"/>
    <col min="7" max="7" width="13.28515625" customWidth="1"/>
    <col min="8" max="8" width="72.42578125" customWidth="1"/>
    <col min="9" max="9" width="20.28515625" customWidth="1"/>
    <col min="10" max="10" width="24.5703125" customWidth="1"/>
    <col min="11" max="12" width="28.7109375" style="4" customWidth="1"/>
    <col min="13" max="13" width="23.42578125" style="4" customWidth="1"/>
    <col min="14" max="14" width="25.5703125" bestFit="1" customWidth="1"/>
    <col min="15" max="20" width="29.7109375" customWidth="1"/>
    <col min="21" max="21" width="20.7109375" customWidth="1"/>
    <col min="22" max="24" width="20.7109375" style="4" customWidth="1"/>
    <col min="25" max="25" width="27.5703125" customWidth="1"/>
    <col min="26" max="26" width="25.7109375" customWidth="1"/>
    <col min="27" max="28" width="20.7109375" customWidth="1"/>
    <col min="29" max="30" width="29.7109375" customWidth="1"/>
    <col min="31" max="31" width="63.28515625" customWidth="1"/>
  </cols>
  <sheetData>
    <row r="1" spans="1:31" x14ac:dyDescent="0.25">
      <c r="O1" s="23">
        <f>O4/$N$4</f>
        <v>0.54164191553353636</v>
      </c>
      <c r="P1" s="23">
        <f t="shared" ref="P1" si="0">P4/$N$4</f>
        <v>0.52715206559163041</v>
      </c>
      <c r="Q1" s="23">
        <f>Q4/$N$4</f>
        <v>0.4840536286019389</v>
      </c>
      <c r="S1" s="126">
        <f>S4/$R$4</f>
        <v>0.63643992537517158</v>
      </c>
    </row>
    <row r="2" spans="1:31" ht="40.5" customHeight="1" x14ac:dyDescent="0.25">
      <c r="C2" s="122" t="s">
        <v>0</v>
      </c>
      <c r="D2" s="124" t="s">
        <v>1</v>
      </c>
      <c r="E2" s="124" t="s">
        <v>2</v>
      </c>
      <c r="F2" s="124" t="s">
        <v>3</v>
      </c>
      <c r="G2" s="124" t="s">
        <v>4</v>
      </c>
      <c r="H2" s="124" t="s">
        <v>5</v>
      </c>
      <c r="I2" s="124" t="s">
        <v>6</v>
      </c>
      <c r="J2" s="124" t="s">
        <v>7</v>
      </c>
      <c r="K2" s="116" t="s">
        <v>8</v>
      </c>
      <c r="L2" s="116" t="s">
        <v>9</v>
      </c>
      <c r="M2" s="116" t="s">
        <v>10</v>
      </c>
      <c r="N2" s="124" t="s">
        <v>11</v>
      </c>
      <c r="O2" s="124" t="s">
        <v>12</v>
      </c>
      <c r="P2" s="124" t="s">
        <v>13</v>
      </c>
      <c r="Q2" s="118" t="s">
        <v>14</v>
      </c>
      <c r="R2" s="118" t="s">
        <v>15</v>
      </c>
      <c r="S2" s="118" t="s">
        <v>16</v>
      </c>
      <c r="T2" s="118" t="s">
        <v>17</v>
      </c>
      <c r="U2" s="118" t="s">
        <v>18</v>
      </c>
      <c r="V2" s="118" t="s">
        <v>19</v>
      </c>
      <c r="W2" s="118" t="s">
        <v>20</v>
      </c>
      <c r="X2" s="118" t="s">
        <v>21</v>
      </c>
      <c r="Y2" s="118" t="s">
        <v>22</v>
      </c>
      <c r="Z2" s="118" t="s">
        <v>23</v>
      </c>
      <c r="AA2" s="116" t="s">
        <v>24</v>
      </c>
      <c r="AB2" s="118" t="s">
        <v>25</v>
      </c>
      <c r="AC2" s="116" t="s">
        <v>26</v>
      </c>
      <c r="AD2" s="118" t="s">
        <v>27</v>
      </c>
      <c r="AE2" s="120"/>
    </row>
    <row r="3" spans="1:31" ht="14.45" customHeight="1" x14ac:dyDescent="0.25">
      <c r="C3" s="123"/>
      <c r="D3" s="125"/>
      <c r="E3" s="125"/>
      <c r="F3" s="125"/>
      <c r="G3" s="125"/>
      <c r="H3" s="125"/>
      <c r="I3" s="125"/>
      <c r="J3" s="125"/>
      <c r="K3" s="117"/>
      <c r="L3" s="117"/>
      <c r="M3" s="117"/>
      <c r="N3" s="125"/>
      <c r="O3" s="125"/>
      <c r="P3" s="125">
        <f t="shared" ref="P3" si="1">+O3</f>
        <v>0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7"/>
      <c r="AB3" s="119"/>
      <c r="AC3" s="117"/>
      <c r="AD3" s="119"/>
      <c r="AE3" s="121"/>
    </row>
    <row r="4" spans="1:31" ht="31.5" customHeight="1" x14ac:dyDescent="0.25">
      <c r="C4" s="25"/>
      <c r="D4" s="1"/>
      <c r="E4" s="3"/>
      <c r="F4" s="1"/>
      <c r="G4" s="1"/>
      <c r="H4" s="2" t="s">
        <v>28</v>
      </c>
      <c r="I4" s="3"/>
      <c r="J4" s="3"/>
      <c r="K4" s="5">
        <f>SUM(K5:K59)</f>
        <v>13883866952</v>
      </c>
      <c r="L4" s="5"/>
      <c r="M4" s="5">
        <f t="shared" ref="M4:T4" si="2">SUM(M5:M59)</f>
        <v>-14700865</v>
      </c>
      <c r="N4" s="5">
        <f t="shared" si="2"/>
        <v>13869166087</v>
      </c>
      <c r="O4" s="5">
        <f t="shared" si="2"/>
        <v>7512121686.2154417</v>
      </c>
      <c r="P4" s="5">
        <f t="shared" si="2"/>
        <v>7311159550.7954407</v>
      </c>
      <c r="Q4" s="5">
        <f t="shared" si="2"/>
        <v>6713420170.0953045</v>
      </c>
      <c r="R4" s="5">
        <f t="shared" si="2"/>
        <v>11725160248.520004</v>
      </c>
      <c r="S4" s="5">
        <f t="shared" si="2"/>
        <v>7462360113.5799999</v>
      </c>
      <c r="T4" s="5">
        <f t="shared" si="2"/>
        <v>1988951442.8700001</v>
      </c>
      <c r="U4" s="22">
        <f>+AVERAGE(U5:U59)</f>
        <v>0.74019410244979622</v>
      </c>
      <c r="V4" s="96">
        <f>+AVERAGE(V5:V59)</f>
        <v>0.81042613779107264</v>
      </c>
      <c r="W4" s="96">
        <f>+AVERAGE(W5:W59)</f>
        <v>0.66935576923076923</v>
      </c>
      <c r="X4" s="96">
        <f>+AVERAGE(X5:X59)</f>
        <v>-4.236932927865019E-2</v>
      </c>
      <c r="Y4" s="5">
        <f>SUM(Y5:Y59)</f>
        <v>6771889893.4234238</v>
      </c>
      <c r="Z4" s="5">
        <f>SUM(Z5:Z59)</f>
        <v>7239901237.774785</v>
      </c>
      <c r="AA4" s="22">
        <f>+AVERAGE(AA5:AA59)</f>
        <v>8.8107881106376254E-2</v>
      </c>
      <c r="AB4" s="22">
        <f>+AVERAGE(AB5:AB59)</f>
        <v>0.13839712393211046</v>
      </c>
      <c r="AC4" s="5">
        <f>SUM(AC5:AC59)</f>
        <v>1116619133.599823</v>
      </c>
      <c r="AD4" s="5">
        <f>SUM(AD5:AD59)</f>
        <v>1522487560.4799995</v>
      </c>
      <c r="AE4" s="127">
        <f>Y4-Z4</f>
        <v>-468011344.35136127</v>
      </c>
    </row>
    <row r="5" spans="1:31" ht="44.25" customHeight="1" x14ac:dyDescent="0.35">
      <c r="A5" s="45" t="s">
        <v>29</v>
      </c>
      <c r="C5" s="26">
        <v>1</v>
      </c>
      <c r="D5" s="6" t="s">
        <v>30</v>
      </c>
      <c r="E5" s="6" t="s">
        <v>31</v>
      </c>
      <c r="F5" s="6" t="s">
        <v>32</v>
      </c>
      <c r="G5" s="114" t="s">
        <v>33</v>
      </c>
      <c r="H5" s="7" t="s">
        <v>34</v>
      </c>
      <c r="I5" s="8" t="s">
        <v>35</v>
      </c>
      <c r="J5" s="10" t="s">
        <v>36</v>
      </c>
      <c r="K5" s="56">
        <v>162014728</v>
      </c>
      <c r="L5" s="56"/>
      <c r="M5" s="75">
        <v>0</v>
      </c>
      <c r="N5" s="60">
        <f t="shared" ref="N5:N63" si="3">+K5+M5</f>
        <v>162014728</v>
      </c>
      <c r="O5" s="86">
        <v>162014729</v>
      </c>
      <c r="P5" s="86">
        <v>162014729</v>
      </c>
      <c r="Q5" s="56">
        <f>+Y5</f>
        <v>159023404</v>
      </c>
      <c r="R5" s="56">
        <v>159831220.91999999</v>
      </c>
      <c r="S5" s="56">
        <v>159137158.37</v>
      </c>
      <c r="T5" s="56">
        <v>102034.06</v>
      </c>
      <c r="U5" s="57">
        <v>1</v>
      </c>
      <c r="V5" s="97">
        <v>1</v>
      </c>
      <c r="W5" s="97">
        <v>0.99560000000000004</v>
      </c>
      <c r="X5" s="97">
        <f>W5-U5</f>
        <v>-4.3999999999999595E-3</v>
      </c>
      <c r="Y5" s="56">
        <v>159023404</v>
      </c>
      <c r="Z5" s="56">
        <v>159023404</v>
      </c>
      <c r="AA5" s="58">
        <v>2.5700000000000001E-2</v>
      </c>
      <c r="AB5" s="58">
        <f>+(N5-R5)/N5</f>
        <v>1.3477213503700807E-2</v>
      </c>
      <c r="AC5" s="56">
        <v>4163779</v>
      </c>
      <c r="AD5" s="56">
        <f t="shared" ref="AD5:AD55" si="4">+N5*AB5</f>
        <v>2183507.0800000131</v>
      </c>
      <c r="AE5" s="27"/>
    </row>
    <row r="6" spans="1:31" ht="51" customHeight="1" x14ac:dyDescent="0.35">
      <c r="A6" s="45" t="s">
        <v>29</v>
      </c>
      <c r="C6" s="26">
        <f t="shared" ref="C6:C12" si="5">C5+1</f>
        <v>2</v>
      </c>
      <c r="D6" s="6" t="s">
        <v>30</v>
      </c>
      <c r="E6" s="6" t="s">
        <v>31</v>
      </c>
      <c r="F6" s="6" t="s">
        <v>32</v>
      </c>
      <c r="G6" s="114" t="s">
        <v>37</v>
      </c>
      <c r="H6" s="7" t="s">
        <v>38</v>
      </c>
      <c r="I6" s="8" t="s">
        <v>35</v>
      </c>
      <c r="J6" s="10" t="s">
        <v>36</v>
      </c>
      <c r="K6" s="60">
        <v>377381260</v>
      </c>
      <c r="L6" s="60"/>
      <c r="M6" s="76">
        <v>0</v>
      </c>
      <c r="N6" s="60">
        <f t="shared" si="3"/>
        <v>377381260</v>
      </c>
      <c r="O6" s="82">
        <v>358662137</v>
      </c>
      <c r="P6" s="82">
        <v>358662137</v>
      </c>
      <c r="Q6" s="56">
        <f t="shared" ref="Q6:Q55" si="6">+Y6</f>
        <v>355663326.55199993</v>
      </c>
      <c r="R6" s="60">
        <v>311891227.12</v>
      </c>
      <c r="S6" s="60">
        <v>309421118.37</v>
      </c>
      <c r="T6" s="60">
        <v>842015.85</v>
      </c>
      <c r="U6" s="61">
        <v>1</v>
      </c>
      <c r="V6" s="98">
        <v>1</v>
      </c>
      <c r="W6" s="98">
        <v>0.99209999999999998</v>
      </c>
      <c r="X6" s="97">
        <f t="shared" ref="X6:X63" si="7">W6-U6</f>
        <v>-7.9000000000000181E-3</v>
      </c>
      <c r="Y6" s="60">
        <v>355663326.55199993</v>
      </c>
      <c r="Z6" s="60">
        <v>303874129.60000002</v>
      </c>
      <c r="AA6" s="62">
        <v>7.4499999999999997E-2</v>
      </c>
      <c r="AB6" s="62">
        <f t="shared" ref="AB6:AB55" si="8">+(N6-R6)/N6</f>
        <v>0.17353811601561772</v>
      </c>
      <c r="AC6" s="60">
        <v>28114904</v>
      </c>
      <c r="AD6" s="60">
        <f t="shared" si="4"/>
        <v>65490032.879999995</v>
      </c>
      <c r="AE6" s="27"/>
    </row>
    <row r="7" spans="1:31" ht="70.5" customHeight="1" x14ac:dyDescent="0.35">
      <c r="A7" s="45" t="s">
        <v>29</v>
      </c>
      <c r="C7" s="26">
        <f>C12+1</f>
        <v>7</v>
      </c>
      <c r="D7" s="6" t="s">
        <v>30</v>
      </c>
      <c r="E7" s="6" t="s">
        <v>39</v>
      </c>
      <c r="F7" s="6" t="s">
        <v>39</v>
      </c>
      <c r="G7" s="114" t="s">
        <v>40</v>
      </c>
      <c r="H7" s="7" t="s">
        <v>41</v>
      </c>
      <c r="I7" s="8" t="s">
        <v>42</v>
      </c>
      <c r="J7" s="10" t="s">
        <v>43</v>
      </c>
      <c r="K7" s="60">
        <v>525841349</v>
      </c>
      <c r="L7" s="60"/>
      <c r="M7" s="77">
        <v>-95584121</v>
      </c>
      <c r="N7" s="60">
        <f>+K7+M7</f>
        <v>430257228</v>
      </c>
      <c r="O7" s="82">
        <v>410047494</v>
      </c>
      <c r="P7" s="82">
        <v>410047494</v>
      </c>
      <c r="Q7" s="56">
        <f>+Y7</f>
        <v>410047581.98800004</v>
      </c>
      <c r="R7" s="60">
        <v>462699641.76999998</v>
      </c>
      <c r="S7" s="60">
        <v>459997092.88</v>
      </c>
      <c r="T7" s="60">
        <v>3053161.68</v>
      </c>
      <c r="U7" s="61">
        <v>1</v>
      </c>
      <c r="V7" s="98">
        <v>1</v>
      </c>
      <c r="W7" s="98">
        <v>0.99379999999999991</v>
      </c>
      <c r="X7" s="97">
        <f t="shared" si="7"/>
        <v>-6.2000000000000943E-3</v>
      </c>
      <c r="Y7" s="60">
        <v>410047581.98800004</v>
      </c>
      <c r="Z7" s="60">
        <v>458424433.91434789</v>
      </c>
      <c r="AA7" s="62">
        <v>0.121</v>
      </c>
      <c r="AB7" s="62">
        <f>+(N7-R7)/N7</f>
        <v>-7.5402367836572365E-2</v>
      </c>
      <c r="AC7" s="60">
        <v>52061125</v>
      </c>
      <c r="AD7" s="60">
        <f>+N7*AB7</f>
        <v>-32442413.769999981</v>
      </c>
      <c r="AE7" s="27"/>
    </row>
    <row r="8" spans="1:31" ht="36" x14ac:dyDescent="0.35">
      <c r="A8" s="45" t="s">
        <v>29</v>
      </c>
      <c r="C8" s="26">
        <f>C7+1</f>
        <v>8</v>
      </c>
      <c r="D8" s="6" t="s">
        <v>30</v>
      </c>
      <c r="E8" s="6" t="s">
        <v>31</v>
      </c>
      <c r="F8" s="6" t="s">
        <v>44</v>
      </c>
      <c r="G8" s="114" t="s">
        <v>45</v>
      </c>
      <c r="H8" s="7" t="s">
        <v>46</v>
      </c>
      <c r="I8" s="8" t="s">
        <v>47</v>
      </c>
      <c r="J8" s="10" t="s">
        <v>48</v>
      </c>
      <c r="K8" s="60">
        <v>30000000</v>
      </c>
      <c r="L8" s="60"/>
      <c r="M8" s="76">
        <v>0</v>
      </c>
      <c r="N8" s="60">
        <f>+K8+M8</f>
        <v>30000000</v>
      </c>
      <c r="O8" s="82">
        <v>26768030</v>
      </c>
      <c r="P8" s="82">
        <v>26768030</v>
      </c>
      <c r="Q8" s="56">
        <f>+Y8</f>
        <v>23768031.398200002</v>
      </c>
      <c r="R8" s="60">
        <v>17791251.699999999</v>
      </c>
      <c r="S8" s="60">
        <v>18019713.460000001</v>
      </c>
      <c r="T8" s="60">
        <v>369500</v>
      </c>
      <c r="U8" s="61">
        <v>1</v>
      </c>
      <c r="V8" s="98">
        <v>1</v>
      </c>
      <c r="W8" s="98">
        <v>0.99879999999999991</v>
      </c>
      <c r="X8" s="97">
        <f t="shared" si="7"/>
        <v>-1.2000000000000899E-3</v>
      </c>
      <c r="Y8" s="60">
        <v>23768031.398200002</v>
      </c>
      <c r="Z8" s="60">
        <v>17768675.699999999</v>
      </c>
      <c r="AA8" s="62">
        <v>0.22040000000000001</v>
      </c>
      <c r="AB8" s="62">
        <f>+(N8-R8)/N8</f>
        <v>0.40695827666666667</v>
      </c>
      <c r="AC8" s="60">
        <v>6612000</v>
      </c>
      <c r="AD8" s="60">
        <f>+N8*AB8</f>
        <v>12208748.300000001</v>
      </c>
      <c r="AE8" s="27"/>
    </row>
    <row r="9" spans="1:31" ht="61.5" customHeight="1" x14ac:dyDescent="0.35">
      <c r="A9" s="45" t="s">
        <v>29</v>
      </c>
      <c r="C9" s="26">
        <f>C6+1</f>
        <v>3</v>
      </c>
      <c r="D9" s="6" t="s">
        <v>30</v>
      </c>
      <c r="E9" s="6" t="s">
        <v>31</v>
      </c>
      <c r="F9" s="6" t="s">
        <v>49</v>
      </c>
      <c r="G9" s="114" t="s">
        <v>50</v>
      </c>
      <c r="H9" s="7" t="s">
        <v>51</v>
      </c>
      <c r="I9" s="11" t="s">
        <v>52</v>
      </c>
      <c r="J9" s="10" t="s">
        <v>36</v>
      </c>
      <c r="K9" s="60">
        <v>168693200</v>
      </c>
      <c r="L9" s="60"/>
      <c r="M9" s="76">
        <v>0</v>
      </c>
      <c r="N9" s="60">
        <f t="shared" si="3"/>
        <v>168693200</v>
      </c>
      <c r="O9" s="82">
        <v>151823882</v>
      </c>
      <c r="P9" s="82">
        <v>151823882</v>
      </c>
      <c r="Q9" s="56">
        <f t="shared" si="6"/>
        <v>149469986.32334781</v>
      </c>
      <c r="R9" s="60">
        <v>167322655.69999999</v>
      </c>
      <c r="S9" s="60">
        <v>163804529.13999999</v>
      </c>
      <c r="T9" s="60">
        <v>2829957.29</v>
      </c>
      <c r="U9" s="61">
        <v>1</v>
      </c>
      <c r="V9" s="98">
        <v>1</v>
      </c>
      <c r="W9" s="98">
        <v>0.97889999999999999</v>
      </c>
      <c r="X9" s="97">
        <f t="shared" si="7"/>
        <v>-2.1100000000000008E-2</v>
      </c>
      <c r="Y9" s="60">
        <v>149469986.32334781</v>
      </c>
      <c r="Z9" s="60">
        <v>160074845.51782611</v>
      </c>
      <c r="AA9" s="62">
        <v>3.85E-2</v>
      </c>
      <c r="AB9" s="62">
        <f t="shared" si="8"/>
        <v>8.1244786393287454E-3</v>
      </c>
      <c r="AC9" s="60">
        <v>6494688</v>
      </c>
      <c r="AD9" s="60">
        <f t="shared" si="4"/>
        <v>1370544.3000000119</v>
      </c>
      <c r="AE9" s="27"/>
    </row>
    <row r="10" spans="1:31" ht="66.75" customHeight="1" x14ac:dyDescent="0.35">
      <c r="A10" s="45" t="s">
        <v>53</v>
      </c>
      <c r="C10" s="26">
        <f t="shared" si="5"/>
        <v>4</v>
      </c>
      <c r="D10" s="6" t="s">
        <v>30</v>
      </c>
      <c r="E10" s="6" t="s">
        <v>31</v>
      </c>
      <c r="F10" s="6" t="s">
        <v>54</v>
      </c>
      <c r="G10" s="114" t="s">
        <v>55</v>
      </c>
      <c r="H10" s="7" t="s">
        <v>56</v>
      </c>
      <c r="I10" s="8" t="s">
        <v>57</v>
      </c>
      <c r="J10" s="10" t="s">
        <v>48</v>
      </c>
      <c r="K10" s="60">
        <v>452757500</v>
      </c>
      <c r="L10" s="60"/>
      <c r="M10" s="76">
        <v>0</v>
      </c>
      <c r="N10" s="60">
        <f t="shared" si="3"/>
        <v>452757500</v>
      </c>
      <c r="O10" s="82">
        <v>402240395</v>
      </c>
      <c r="P10" s="82">
        <v>402240395</v>
      </c>
      <c r="Q10" s="56">
        <f t="shared" si="6"/>
        <v>402240395.42110872</v>
      </c>
      <c r="R10" s="60">
        <v>429128818.88</v>
      </c>
      <c r="S10" s="60">
        <v>425107353.44</v>
      </c>
      <c r="T10" s="60">
        <v>4287061.4400000004</v>
      </c>
      <c r="U10" s="61">
        <v>1</v>
      </c>
      <c r="V10" s="98">
        <v>1</v>
      </c>
      <c r="W10" s="98">
        <v>0.99060000000000004</v>
      </c>
      <c r="X10" s="97">
        <f t="shared" si="7"/>
        <v>-9.3999999999999639E-3</v>
      </c>
      <c r="Y10" s="60">
        <v>402240395.42110872</v>
      </c>
      <c r="Z10" s="60">
        <v>395200857.6091305</v>
      </c>
      <c r="AA10" s="62">
        <v>4.87E-2</v>
      </c>
      <c r="AB10" s="62">
        <f t="shared" si="8"/>
        <v>5.2188381462482683E-2</v>
      </c>
      <c r="AC10" s="60">
        <v>22049290</v>
      </c>
      <c r="AD10" s="60">
        <f t="shared" si="4"/>
        <v>23628681.120000005</v>
      </c>
      <c r="AE10" s="27"/>
    </row>
    <row r="11" spans="1:31" ht="31.5" customHeight="1" x14ac:dyDescent="0.35">
      <c r="A11" s="45" t="s">
        <v>29</v>
      </c>
      <c r="C11" s="26">
        <f t="shared" si="5"/>
        <v>5</v>
      </c>
      <c r="D11" s="6" t="s">
        <v>30</v>
      </c>
      <c r="E11" s="6" t="s">
        <v>31</v>
      </c>
      <c r="F11" s="6" t="s">
        <v>32</v>
      </c>
      <c r="G11" s="114" t="s">
        <v>58</v>
      </c>
      <c r="H11" s="7" t="s">
        <v>59</v>
      </c>
      <c r="I11" s="8" t="s">
        <v>35</v>
      </c>
      <c r="J11" s="10" t="s">
        <v>60</v>
      </c>
      <c r="K11" s="60">
        <v>125309260</v>
      </c>
      <c r="L11" s="60"/>
      <c r="M11" s="76">
        <v>0</v>
      </c>
      <c r="N11" s="60">
        <f t="shared" si="3"/>
        <v>125309260</v>
      </c>
      <c r="O11" s="82">
        <v>112778334</v>
      </c>
      <c r="P11" s="82">
        <v>112778334</v>
      </c>
      <c r="Q11" s="56">
        <f t="shared" si="6"/>
        <v>100247407.99604501</v>
      </c>
      <c r="R11" s="60">
        <v>112656451.84999999</v>
      </c>
      <c r="S11" s="60">
        <v>112099243.08</v>
      </c>
      <c r="T11" s="60">
        <v>538494.36</v>
      </c>
      <c r="U11" s="61">
        <v>1</v>
      </c>
      <c r="V11" s="98">
        <v>1</v>
      </c>
      <c r="W11" s="98">
        <v>0.99439999999999995</v>
      </c>
      <c r="X11" s="97">
        <f t="shared" si="7"/>
        <v>-5.6000000000000494E-3</v>
      </c>
      <c r="Y11" s="60">
        <v>100247407.99604501</v>
      </c>
      <c r="Z11" s="60">
        <v>111914815.86</v>
      </c>
      <c r="AA11" s="62">
        <v>5.7000000000000002E-2</v>
      </c>
      <c r="AB11" s="62">
        <f t="shared" si="8"/>
        <v>0.10097265078414801</v>
      </c>
      <c r="AC11" s="60">
        <v>7092504</v>
      </c>
      <c r="AD11" s="60">
        <f t="shared" si="4"/>
        <v>12652808.150000006</v>
      </c>
      <c r="AE11" s="27"/>
    </row>
    <row r="12" spans="1:31" ht="31.5" customHeight="1" x14ac:dyDescent="0.35">
      <c r="A12" s="45" t="s">
        <v>29</v>
      </c>
      <c r="C12" s="26">
        <f t="shared" si="5"/>
        <v>6</v>
      </c>
      <c r="D12" s="6" t="s">
        <v>30</v>
      </c>
      <c r="E12" s="6" t="s">
        <v>31</v>
      </c>
      <c r="F12" s="6" t="s">
        <v>61</v>
      </c>
      <c r="G12" s="114" t="s">
        <v>62</v>
      </c>
      <c r="H12" s="7" t="s">
        <v>63</v>
      </c>
      <c r="I12" s="8" t="s">
        <v>47</v>
      </c>
      <c r="J12" s="10" t="s">
        <v>48</v>
      </c>
      <c r="K12" s="60">
        <v>31600000</v>
      </c>
      <c r="L12" s="60"/>
      <c r="M12" s="76">
        <v>0</v>
      </c>
      <c r="N12" s="60">
        <f t="shared" si="3"/>
        <v>31600000</v>
      </c>
      <c r="O12" s="82">
        <v>23882331</v>
      </c>
      <c r="P12" s="82">
        <v>23882331</v>
      </c>
      <c r="Q12" s="56">
        <f t="shared" si="6"/>
        <v>21896299.51261</v>
      </c>
      <c r="R12" s="60">
        <v>18032438.02</v>
      </c>
      <c r="S12" s="60">
        <v>17447906.219999999</v>
      </c>
      <c r="T12" s="60">
        <v>693038.27</v>
      </c>
      <c r="U12" s="61">
        <v>1</v>
      </c>
      <c r="V12" s="98">
        <v>1</v>
      </c>
      <c r="W12" s="98">
        <v>0.96760000000000002</v>
      </c>
      <c r="X12" s="97">
        <f t="shared" si="7"/>
        <v>-3.2399999999999984E-2</v>
      </c>
      <c r="Y12" s="60">
        <v>21896299.51261</v>
      </c>
      <c r="Z12" s="60">
        <v>17967523.115652174</v>
      </c>
      <c r="AA12" s="62">
        <v>0.24379999999999999</v>
      </c>
      <c r="AB12" s="62">
        <f t="shared" si="8"/>
        <v>0.42935322721518987</v>
      </c>
      <c r="AC12" s="60">
        <v>7704080</v>
      </c>
      <c r="AD12" s="60">
        <f t="shared" si="4"/>
        <v>13567561.98</v>
      </c>
      <c r="AE12" s="27"/>
    </row>
    <row r="13" spans="1:31" ht="36" x14ac:dyDescent="0.35">
      <c r="A13" s="45" t="s">
        <v>29</v>
      </c>
      <c r="C13" s="26">
        <f>C8+1</f>
        <v>9</v>
      </c>
      <c r="D13" s="6" t="s">
        <v>30</v>
      </c>
      <c r="E13" s="10" t="s">
        <v>31</v>
      </c>
      <c r="F13" s="6" t="s">
        <v>64</v>
      </c>
      <c r="G13" s="6" t="s">
        <v>65</v>
      </c>
      <c r="H13" s="12" t="s">
        <v>66</v>
      </c>
      <c r="I13" s="8" t="s">
        <v>67</v>
      </c>
      <c r="J13" s="10" t="s">
        <v>68</v>
      </c>
      <c r="K13" s="63">
        <v>119195073</v>
      </c>
      <c r="L13" s="64"/>
      <c r="M13" s="78">
        <v>2662905</v>
      </c>
      <c r="N13" s="60">
        <f t="shared" si="3"/>
        <v>121857978</v>
      </c>
      <c r="O13" s="82">
        <v>110072180</v>
      </c>
      <c r="P13" s="82">
        <v>110072180</v>
      </c>
      <c r="Q13" s="56">
        <f t="shared" si="6"/>
        <v>110072180.41229002</v>
      </c>
      <c r="R13" s="60">
        <v>100963743</v>
      </c>
      <c r="S13" s="60">
        <v>97382403.280000001</v>
      </c>
      <c r="T13" s="60">
        <v>129212.13</v>
      </c>
      <c r="U13" s="61">
        <v>1</v>
      </c>
      <c r="V13" s="98">
        <v>0.95</v>
      </c>
      <c r="W13" s="98">
        <v>0.9617</v>
      </c>
      <c r="X13" s="97">
        <f t="shared" si="7"/>
        <v>-3.8300000000000001E-2</v>
      </c>
      <c r="Y13" s="60">
        <v>110072180.41229002</v>
      </c>
      <c r="Z13" s="60">
        <v>97289179.574347824</v>
      </c>
      <c r="AA13" s="62">
        <v>5.1700000000000003E-2</v>
      </c>
      <c r="AB13" s="62">
        <f t="shared" si="8"/>
        <v>0.17146382487981213</v>
      </c>
      <c r="AC13" s="60">
        <v>6159799</v>
      </c>
      <c r="AD13" s="60">
        <f t="shared" si="4"/>
        <v>20894235</v>
      </c>
      <c r="AE13" s="28"/>
    </row>
    <row r="14" spans="1:31" ht="36" x14ac:dyDescent="0.35">
      <c r="A14" s="45" t="s">
        <v>29</v>
      </c>
      <c r="B14" t="s">
        <v>69</v>
      </c>
      <c r="C14" s="26">
        <f t="shared" ref="C14:C59" si="9">C13+1</f>
        <v>10</v>
      </c>
      <c r="D14" s="6" t="s">
        <v>30</v>
      </c>
      <c r="E14" s="9" t="s">
        <v>31</v>
      </c>
      <c r="F14" s="6" t="s">
        <v>64</v>
      </c>
      <c r="G14" s="114" t="s">
        <v>70</v>
      </c>
      <c r="H14" s="12" t="s">
        <v>71</v>
      </c>
      <c r="I14" s="8" t="s">
        <v>47</v>
      </c>
      <c r="J14" s="10" t="s">
        <v>72</v>
      </c>
      <c r="K14" s="65">
        <v>126251953</v>
      </c>
      <c r="L14" s="65">
        <v>8324565</v>
      </c>
      <c r="M14" s="79">
        <v>3370815</v>
      </c>
      <c r="N14" s="60">
        <f t="shared" si="3"/>
        <v>129622768</v>
      </c>
      <c r="O14" s="82">
        <v>113332208</v>
      </c>
      <c r="P14" s="83">
        <v>113332208</v>
      </c>
      <c r="Q14" s="56">
        <f t="shared" si="6"/>
        <v>113332208.00904</v>
      </c>
      <c r="R14" s="60">
        <v>108362187.34</v>
      </c>
      <c r="S14" s="60">
        <v>103560695</v>
      </c>
      <c r="T14" s="60">
        <v>2993384.46</v>
      </c>
      <c r="U14" s="61">
        <v>1</v>
      </c>
      <c r="V14" s="98">
        <v>1</v>
      </c>
      <c r="W14" s="98">
        <v>0.9556</v>
      </c>
      <c r="X14" s="97">
        <f t="shared" si="7"/>
        <v>-4.4399999999999995E-2</v>
      </c>
      <c r="Y14" s="60">
        <v>113332208.00904</v>
      </c>
      <c r="Z14" s="60">
        <v>101308672.52695701</v>
      </c>
      <c r="AA14" s="62">
        <v>5.2999999999999999E-2</v>
      </c>
      <c r="AB14" s="62">
        <f t="shared" si="8"/>
        <v>0.16401887560370565</v>
      </c>
      <c r="AC14" s="60">
        <v>6870007</v>
      </c>
      <c r="AD14" s="60">
        <f t="shared" si="4"/>
        <v>21260580.659999996</v>
      </c>
      <c r="AE14" s="28"/>
    </row>
    <row r="15" spans="1:31" ht="36" x14ac:dyDescent="0.35">
      <c r="A15" s="45" t="s">
        <v>29</v>
      </c>
      <c r="C15" s="26">
        <f t="shared" si="9"/>
        <v>11</v>
      </c>
      <c r="D15" s="6" t="s">
        <v>30</v>
      </c>
      <c r="E15" s="10" t="s">
        <v>31</v>
      </c>
      <c r="F15" s="6" t="s">
        <v>73</v>
      </c>
      <c r="G15" s="6" t="s">
        <v>74</v>
      </c>
      <c r="H15" s="12" t="s">
        <v>75</v>
      </c>
      <c r="I15" s="8" t="s">
        <v>76</v>
      </c>
      <c r="J15" s="10" t="s">
        <v>77</v>
      </c>
      <c r="K15" s="65">
        <v>579828000</v>
      </c>
      <c r="L15" s="65"/>
      <c r="M15" s="79">
        <v>32156056</v>
      </c>
      <c r="N15" s="60">
        <f t="shared" si="3"/>
        <v>611984056</v>
      </c>
      <c r="O15" s="82">
        <v>550385576</v>
      </c>
      <c r="P15" s="82">
        <v>550385576</v>
      </c>
      <c r="Q15" s="56">
        <f t="shared" si="6"/>
        <v>549320450.72135341</v>
      </c>
      <c r="R15" s="60">
        <v>570024950</v>
      </c>
      <c r="S15" s="60">
        <v>563790600.53999996</v>
      </c>
      <c r="T15" s="60">
        <v>4825493.53</v>
      </c>
      <c r="U15" s="61">
        <v>1</v>
      </c>
      <c r="V15" s="98">
        <v>1</v>
      </c>
      <c r="W15" s="98">
        <v>0.9869</v>
      </c>
      <c r="X15" s="97">
        <f t="shared" si="7"/>
        <v>-1.3100000000000001E-2</v>
      </c>
      <c r="Y15" s="60">
        <v>549320450.72135341</v>
      </c>
      <c r="Z15" s="60">
        <v>559882667.62434781</v>
      </c>
      <c r="AA15" s="62">
        <v>4.7699999999999999E-2</v>
      </c>
      <c r="AB15" s="62">
        <f t="shared" si="8"/>
        <v>6.8562416926757325E-2</v>
      </c>
      <c r="AC15" s="60">
        <v>29191639</v>
      </c>
      <c r="AD15" s="60">
        <f t="shared" si="4"/>
        <v>41959106</v>
      </c>
      <c r="AE15" s="28"/>
    </row>
    <row r="16" spans="1:31" ht="36" x14ac:dyDescent="0.35">
      <c r="A16" s="45" t="s">
        <v>29</v>
      </c>
      <c r="B16" t="s">
        <v>69</v>
      </c>
      <c r="C16" s="26">
        <f t="shared" si="9"/>
        <v>12</v>
      </c>
      <c r="D16" s="6" t="s">
        <v>30</v>
      </c>
      <c r="E16" s="10" t="s">
        <v>39</v>
      </c>
      <c r="F16" s="6" t="s">
        <v>39</v>
      </c>
      <c r="G16" s="6" t="s">
        <v>78</v>
      </c>
      <c r="H16" s="12" t="s">
        <v>79</v>
      </c>
      <c r="I16" s="8" t="s">
        <v>80</v>
      </c>
      <c r="J16" s="10" t="s">
        <v>81</v>
      </c>
      <c r="K16" s="65">
        <v>22632720</v>
      </c>
      <c r="L16" s="65"/>
      <c r="M16" s="79">
        <v>0</v>
      </c>
      <c r="N16" s="60">
        <f t="shared" si="3"/>
        <v>22632720</v>
      </c>
      <c r="O16" s="82">
        <v>20332830</v>
      </c>
      <c r="P16" s="82">
        <v>20332830</v>
      </c>
      <c r="Q16" s="56">
        <f t="shared" si="6"/>
        <v>18105216.255824998</v>
      </c>
      <c r="R16" s="60">
        <v>14631659.15</v>
      </c>
      <c r="S16" s="60">
        <v>13921556.300000001</v>
      </c>
      <c r="T16" s="60">
        <v>260218.39</v>
      </c>
      <c r="U16" s="61">
        <v>1</v>
      </c>
      <c r="V16" s="98">
        <v>1</v>
      </c>
      <c r="W16" s="98">
        <v>0.94969999999999999</v>
      </c>
      <c r="X16" s="97">
        <f t="shared" si="7"/>
        <v>-5.0300000000000011E-2</v>
      </c>
      <c r="Y16" s="60">
        <v>18105216.255824998</v>
      </c>
      <c r="Z16" s="60">
        <v>14288617</v>
      </c>
      <c r="AA16" s="62">
        <v>0.10929999999999999</v>
      </c>
      <c r="AB16" s="62">
        <f t="shared" si="8"/>
        <v>0.35351742300527728</v>
      </c>
      <c r="AC16" s="60">
        <v>2473940</v>
      </c>
      <c r="AD16" s="60">
        <f t="shared" si="4"/>
        <v>8001060.8499999987</v>
      </c>
      <c r="AE16" s="28"/>
    </row>
    <row r="17" spans="1:32" ht="36" x14ac:dyDescent="0.35">
      <c r="A17" s="45" t="s">
        <v>29</v>
      </c>
      <c r="B17" t="s">
        <v>69</v>
      </c>
      <c r="C17" s="26">
        <f t="shared" si="9"/>
        <v>13</v>
      </c>
      <c r="D17" s="6" t="s">
        <v>30</v>
      </c>
      <c r="E17" s="6" t="s">
        <v>39</v>
      </c>
      <c r="F17" s="6" t="s">
        <v>39</v>
      </c>
      <c r="G17" s="115" t="s">
        <v>82</v>
      </c>
      <c r="H17" s="12" t="s">
        <v>83</v>
      </c>
      <c r="I17" s="8" t="s">
        <v>80</v>
      </c>
      <c r="J17" s="10" t="s">
        <v>81</v>
      </c>
      <c r="K17" s="65">
        <v>33637620</v>
      </c>
      <c r="L17" s="65"/>
      <c r="M17" s="79">
        <v>0</v>
      </c>
      <c r="N17" s="60">
        <f t="shared" si="3"/>
        <v>33637620</v>
      </c>
      <c r="O17" s="82">
        <v>30076208</v>
      </c>
      <c r="P17" s="82">
        <v>30076208</v>
      </c>
      <c r="Q17" s="56">
        <f t="shared" si="6"/>
        <v>26769109.150110003</v>
      </c>
      <c r="R17" s="60">
        <v>26771325.07</v>
      </c>
      <c r="S17" s="60">
        <v>26000800.949999999</v>
      </c>
      <c r="T17" s="60">
        <v>186200.77</v>
      </c>
      <c r="U17" s="61">
        <v>1</v>
      </c>
      <c r="V17" s="98">
        <v>1</v>
      </c>
      <c r="W17" s="98">
        <v>0.9706999999999999</v>
      </c>
      <c r="X17" s="97">
        <f t="shared" si="7"/>
        <v>-2.9300000000000104E-2</v>
      </c>
      <c r="Y17" s="60">
        <v>26769109.150110003</v>
      </c>
      <c r="Z17" s="60">
        <v>26527102.649999999</v>
      </c>
      <c r="AA17" s="62">
        <v>0.1076</v>
      </c>
      <c r="AB17" s="62">
        <f t="shared" si="8"/>
        <v>0.20412546815143282</v>
      </c>
      <c r="AC17" s="60">
        <v>3619408</v>
      </c>
      <c r="AD17" s="60">
        <f t="shared" si="4"/>
        <v>6866294.9299999997</v>
      </c>
      <c r="AE17" s="28"/>
    </row>
    <row r="18" spans="1:32" ht="36" x14ac:dyDescent="0.35">
      <c r="A18" s="45" t="s">
        <v>29</v>
      </c>
      <c r="C18" s="26">
        <f t="shared" si="9"/>
        <v>14</v>
      </c>
      <c r="D18" s="6" t="s">
        <v>30</v>
      </c>
      <c r="E18" s="88" t="s">
        <v>31</v>
      </c>
      <c r="F18" s="6" t="s">
        <v>64</v>
      </c>
      <c r="G18" s="6" t="s">
        <v>84</v>
      </c>
      <c r="H18" s="15" t="s">
        <v>85</v>
      </c>
      <c r="I18" s="11" t="s">
        <v>86</v>
      </c>
      <c r="J18" s="16" t="s">
        <v>60</v>
      </c>
      <c r="K18" s="66">
        <v>130635969</v>
      </c>
      <c r="L18" s="66"/>
      <c r="M18" s="80">
        <v>-1671201</v>
      </c>
      <c r="N18" s="60">
        <f t="shared" si="3"/>
        <v>128964768</v>
      </c>
      <c r="O18" s="82">
        <v>112101198</v>
      </c>
      <c r="P18" s="82">
        <v>112101198</v>
      </c>
      <c r="Q18" s="56">
        <f t="shared" si="6"/>
        <v>98198497.760110006</v>
      </c>
      <c r="R18" s="60">
        <v>94570747.760000005</v>
      </c>
      <c r="S18" s="60">
        <v>91471292.349999994</v>
      </c>
      <c r="T18" s="60">
        <v>2340984.27</v>
      </c>
      <c r="U18" s="61">
        <v>1</v>
      </c>
      <c r="V18" s="98">
        <v>1</v>
      </c>
      <c r="W18" s="98">
        <v>0.96650000000000003</v>
      </c>
      <c r="X18" s="97">
        <f t="shared" si="7"/>
        <v>-3.3499999999999974E-2</v>
      </c>
      <c r="Y18" s="60">
        <v>98198497.760110006</v>
      </c>
      <c r="Z18" s="60">
        <v>92006485.823913053</v>
      </c>
      <c r="AA18" s="62">
        <v>6.6299999999999998E-2</v>
      </c>
      <c r="AB18" s="62">
        <f t="shared" si="8"/>
        <v>0.26669315017881468</v>
      </c>
      <c r="AC18" s="60">
        <v>8546279</v>
      </c>
      <c r="AD18" s="60">
        <f t="shared" si="4"/>
        <v>34394020.239999995</v>
      </c>
      <c r="AE18" s="37">
        <f>Z18-Y18</f>
        <v>-6192011.9361969531</v>
      </c>
    </row>
    <row r="19" spans="1:32" ht="36" x14ac:dyDescent="0.35">
      <c r="A19" s="45" t="s">
        <v>29</v>
      </c>
      <c r="C19" s="26">
        <f t="shared" si="9"/>
        <v>15</v>
      </c>
      <c r="D19" s="6" t="s">
        <v>30</v>
      </c>
      <c r="E19" s="89" t="s">
        <v>31</v>
      </c>
      <c r="F19" s="6" t="s">
        <v>64</v>
      </c>
      <c r="G19" s="6" t="s">
        <v>87</v>
      </c>
      <c r="H19" s="12" t="s">
        <v>88</v>
      </c>
      <c r="I19" s="8" t="s">
        <v>89</v>
      </c>
      <c r="J19" s="9" t="s">
        <v>90</v>
      </c>
      <c r="K19" s="65">
        <v>127230866</v>
      </c>
      <c r="L19" s="65"/>
      <c r="M19" s="79">
        <v>2138906</v>
      </c>
      <c r="N19" s="60">
        <f t="shared" si="3"/>
        <v>129369772</v>
      </c>
      <c r="O19" s="82">
        <v>113267888</v>
      </c>
      <c r="P19" s="82">
        <v>113267888</v>
      </c>
      <c r="Q19" s="56">
        <f t="shared" si="6"/>
        <v>100611364.94316499</v>
      </c>
      <c r="R19" s="60">
        <v>98200658.209999993</v>
      </c>
      <c r="S19" s="60">
        <v>96063547.560000002</v>
      </c>
      <c r="T19" s="60">
        <v>1090926.7</v>
      </c>
      <c r="U19" s="61">
        <v>1</v>
      </c>
      <c r="V19" s="98">
        <v>1</v>
      </c>
      <c r="W19" s="98">
        <v>0.97680000000000011</v>
      </c>
      <c r="X19" s="97">
        <f t="shared" si="7"/>
        <v>-2.3199999999999887E-2</v>
      </c>
      <c r="Y19" s="60">
        <v>100611364.94316499</v>
      </c>
      <c r="Z19" s="60">
        <v>83501920.627391309</v>
      </c>
      <c r="AA19" s="62">
        <v>7.4099999999999999E-2</v>
      </c>
      <c r="AB19" s="62">
        <f t="shared" si="8"/>
        <v>0.24093042221640468</v>
      </c>
      <c r="AC19" s="60">
        <v>9586300</v>
      </c>
      <c r="AD19" s="60">
        <f t="shared" si="4"/>
        <v>31169113.790000007</v>
      </c>
      <c r="AE19" s="28" t="s">
        <v>91</v>
      </c>
    </row>
    <row r="20" spans="1:32" ht="36" x14ac:dyDescent="0.35">
      <c r="A20" s="45" t="s">
        <v>29</v>
      </c>
      <c r="C20" s="26">
        <f t="shared" si="9"/>
        <v>16</v>
      </c>
      <c r="D20" s="6" t="s">
        <v>30</v>
      </c>
      <c r="E20" s="89" t="s">
        <v>31</v>
      </c>
      <c r="F20" s="6" t="s">
        <v>64</v>
      </c>
      <c r="G20" s="6" t="s">
        <v>92</v>
      </c>
      <c r="H20" s="12" t="s">
        <v>93</v>
      </c>
      <c r="I20" s="8" t="s">
        <v>89</v>
      </c>
      <c r="J20" s="9" t="s">
        <v>90</v>
      </c>
      <c r="K20" s="65">
        <v>120233866</v>
      </c>
      <c r="L20" s="65"/>
      <c r="M20" s="79">
        <v>535843</v>
      </c>
      <c r="N20" s="60">
        <f t="shared" si="3"/>
        <v>120769709</v>
      </c>
      <c r="O20" s="82">
        <v>106092130</v>
      </c>
      <c r="P20" s="82">
        <v>106092130</v>
      </c>
      <c r="Q20" s="56">
        <f t="shared" si="6"/>
        <v>73373249.351979986</v>
      </c>
      <c r="R20" s="60">
        <v>92570395.549999997</v>
      </c>
      <c r="S20" s="60">
        <v>90747657.879999995</v>
      </c>
      <c r="T20" s="60">
        <v>843077.35</v>
      </c>
      <c r="U20" s="61">
        <v>1</v>
      </c>
      <c r="V20" s="98">
        <v>1</v>
      </c>
      <c r="W20" s="98">
        <v>0.97959999999999992</v>
      </c>
      <c r="X20" s="97">
        <f t="shared" si="7"/>
        <v>-2.0400000000000085E-2</v>
      </c>
      <c r="Y20" s="60">
        <v>73373249.351979986</v>
      </c>
      <c r="Z20" s="60">
        <v>85802992.861739129</v>
      </c>
      <c r="AA20" s="62">
        <v>7.4099999999999999E-2</v>
      </c>
      <c r="AB20" s="62">
        <f t="shared" si="8"/>
        <v>0.23349657528776527</v>
      </c>
      <c r="AC20" s="60">
        <v>8949035</v>
      </c>
      <c r="AD20" s="60">
        <f t="shared" si="4"/>
        <v>28199313.450000003</v>
      </c>
      <c r="AE20" s="28" t="s">
        <v>94</v>
      </c>
    </row>
    <row r="21" spans="1:32" ht="26.25" x14ac:dyDescent="0.4">
      <c r="A21" s="46" t="s">
        <v>95</v>
      </c>
      <c r="C21" s="26">
        <f t="shared" si="9"/>
        <v>17</v>
      </c>
      <c r="D21" s="6" t="s">
        <v>30</v>
      </c>
      <c r="E21" s="10" t="s">
        <v>31</v>
      </c>
      <c r="F21" s="6">
        <v>0</v>
      </c>
      <c r="G21" s="6" t="s">
        <v>96</v>
      </c>
      <c r="H21" s="12" t="s">
        <v>97</v>
      </c>
      <c r="I21" s="8" t="s">
        <v>98</v>
      </c>
      <c r="J21" s="10" t="s">
        <v>43</v>
      </c>
      <c r="K21" s="65">
        <v>151200000</v>
      </c>
      <c r="L21" s="65"/>
      <c r="M21" s="79">
        <v>0</v>
      </c>
      <c r="N21" s="60">
        <f>+K21+M21</f>
        <v>151200000</v>
      </c>
      <c r="O21" s="82">
        <v>136677775</v>
      </c>
      <c r="P21" s="83">
        <v>136677775</v>
      </c>
      <c r="Q21" s="56">
        <f t="shared" si="6"/>
        <v>136766926.61327502</v>
      </c>
      <c r="R21" s="60">
        <v>179140446.91</v>
      </c>
      <c r="S21" s="60">
        <v>178420398.80000001</v>
      </c>
      <c r="T21" s="60">
        <v>1005154.46</v>
      </c>
      <c r="U21" s="61">
        <v>1</v>
      </c>
      <c r="V21" s="98">
        <v>1</v>
      </c>
      <c r="W21" s="98">
        <v>0.99109999999999998</v>
      </c>
      <c r="X21" s="97">
        <f t="shared" si="7"/>
        <v>-8.900000000000019E-3</v>
      </c>
      <c r="Y21" s="60">
        <v>136766926.61327502</v>
      </c>
      <c r="Z21" s="60">
        <v>177656495.57869565</v>
      </c>
      <c r="AA21" s="62">
        <v>0</v>
      </c>
      <c r="AB21" s="62">
        <f t="shared" si="8"/>
        <v>-0.18479131554232803</v>
      </c>
      <c r="AC21" s="59" t="s">
        <v>99</v>
      </c>
      <c r="AD21" s="81">
        <f t="shared" si="4"/>
        <v>-27940446.909999996</v>
      </c>
      <c r="AE21" s="35"/>
    </row>
    <row r="22" spans="1:32" ht="36" x14ac:dyDescent="0.35">
      <c r="A22" s="45" t="s">
        <v>29</v>
      </c>
      <c r="C22" s="26">
        <f t="shared" si="9"/>
        <v>18</v>
      </c>
      <c r="D22" s="6" t="s">
        <v>30</v>
      </c>
      <c r="E22" s="89" t="s">
        <v>31</v>
      </c>
      <c r="F22" s="6" t="s">
        <v>100</v>
      </c>
      <c r="G22" s="6" t="s">
        <v>101</v>
      </c>
      <c r="H22" s="12" t="s">
        <v>102</v>
      </c>
      <c r="I22" s="8" t="s">
        <v>42</v>
      </c>
      <c r="J22" s="10" t="s">
        <v>43</v>
      </c>
      <c r="K22" s="65">
        <v>383000000</v>
      </c>
      <c r="L22" s="65"/>
      <c r="M22" s="79">
        <v>0</v>
      </c>
      <c r="N22" s="60">
        <f t="shared" si="3"/>
        <v>383000000</v>
      </c>
      <c r="O22" s="87">
        <v>343679335.49000001</v>
      </c>
      <c r="P22" s="87">
        <v>343679335.49000001</v>
      </c>
      <c r="Q22" s="56">
        <f t="shared" si="6"/>
        <v>314588822.10339993</v>
      </c>
      <c r="R22" s="60">
        <v>335815067</v>
      </c>
      <c r="S22" s="60">
        <v>333308901.06</v>
      </c>
      <c r="T22" s="60">
        <v>2073191.76</v>
      </c>
      <c r="U22" s="61">
        <v>1</v>
      </c>
      <c r="V22" s="98">
        <v>1</v>
      </c>
      <c r="W22" s="98">
        <v>0.99120000000000008</v>
      </c>
      <c r="X22" s="97">
        <f t="shared" si="7"/>
        <v>-8.799999999999919E-3</v>
      </c>
      <c r="Y22" s="60">
        <v>314588822.10339993</v>
      </c>
      <c r="Z22" s="60">
        <v>321924642.66086954</v>
      </c>
      <c r="AA22" s="62">
        <v>7.4099999999999999E-2</v>
      </c>
      <c r="AB22" s="62">
        <f t="shared" si="8"/>
        <v>0.12319825848563969</v>
      </c>
      <c r="AC22" s="60">
        <v>28384288</v>
      </c>
      <c r="AD22" s="60">
        <f t="shared" si="4"/>
        <v>47184933</v>
      </c>
      <c r="AE22" s="28"/>
    </row>
    <row r="23" spans="1:32" ht="36" x14ac:dyDescent="0.35">
      <c r="A23" s="45" t="s">
        <v>29</v>
      </c>
      <c r="C23" s="26">
        <f t="shared" si="9"/>
        <v>19</v>
      </c>
      <c r="D23" s="6" t="s">
        <v>30</v>
      </c>
      <c r="E23" s="9" t="s">
        <v>31</v>
      </c>
      <c r="F23" s="6" t="s">
        <v>64</v>
      </c>
      <c r="G23" s="6" t="s">
        <v>103</v>
      </c>
      <c r="H23" s="12" t="s">
        <v>104</v>
      </c>
      <c r="I23" s="8" t="s">
        <v>35</v>
      </c>
      <c r="J23" s="10" t="s">
        <v>60</v>
      </c>
      <c r="K23" s="65">
        <v>121141296</v>
      </c>
      <c r="L23" s="65"/>
      <c r="M23" s="79">
        <v>0</v>
      </c>
      <c r="N23" s="60">
        <f t="shared" si="3"/>
        <v>121141296</v>
      </c>
      <c r="O23" s="82">
        <v>95727491</v>
      </c>
      <c r="P23" s="82">
        <v>95727491</v>
      </c>
      <c r="Q23" s="56">
        <f t="shared" si="6"/>
        <v>94752042.084619999</v>
      </c>
      <c r="R23" s="60">
        <v>107618108.03</v>
      </c>
      <c r="S23" s="60">
        <v>105993292.05</v>
      </c>
      <c r="T23" s="60">
        <v>435789.6</v>
      </c>
      <c r="U23" s="61">
        <v>1</v>
      </c>
      <c r="V23" s="98">
        <v>1</v>
      </c>
      <c r="W23" s="98">
        <v>0.98309999999999997</v>
      </c>
      <c r="X23" s="97">
        <f t="shared" si="7"/>
        <v>-1.6900000000000026E-2</v>
      </c>
      <c r="Y23" s="60">
        <v>94752042.084619999</v>
      </c>
      <c r="Z23" s="60">
        <v>102209933.54434784</v>
      </c>
      <c r="AA23" s="62">
        <v>9.8699999999999996E-2</v>
      </c>
      <c r="AB23" s="62">
        <f t="shared" si="8"/>
        <v>0.11163152794733185</v>
      </c>
      <c r="AC23" s="60">
        <v>11962119</v>
      </c>
      <c r="AD23" s="60">
        <f t="shared" si="4"/>
        <v>13523187.969999999</v>
      </c>
      <c r="AE23" s="28"/>
    </row>
    <row r="24" spans="1:32" ht="36" x14ac:dyDescent="0.35">
      <c r="A24" s="45" t="s">
        <v>29</v>
      </c>
      <c r="C24" s="26">
        <f t="shared" si="9"/>
        <v>20</v>
      </c>
      <c r="D24" s="6" t="s">
        <v>30</v>
      </c>
      <c r="E24" s="9" t="s">
        <v>31</v>
      </c>
      <c r="F24" s="6" t="s">
        <v>64</v>
      </c>
      <c r="G24" s="6" t="s">
        <v>105</v>
      </c>
      <c r="H24" s="12" t="s">
        <v>106</v>
      </c>
      <c r="I24" s="8" t="s">
        <v>35</v>
      </c>
      <c r="J24" s="10" t="s">
        <v>107</v>
      </c>
      <c r="K24" s="65">
        <v>119245157</v>
      </c>
      <c r="L24" s="65"/>
      <c r="M24" s="79">
        <v>0</v>
      </c>
      <c r="N24" s="60">
        <f t="shared" si="3"/>
        <v>119245157</v>
      </c>
      <c r="O24" s="82">
        <v>93281367</v>
      </c>
      <c r="P24" s="82">
        <v>93281367</v>
      </c>
      <c r="Q24" s="56">
        <f t="shared" si="6"/>
        <v>92920111.714999989</v>
      </c>
      <c r="R24" s="60">
        <v>101735210.01000001</v>
      </c>
      <c r="S24" s="60">
        <v>98956272.909999996</v>
      </c>
      <c r="T24" s="60">
        <v>859342.87</v>
      </c>
      <c r="U24" s="61">
        <v>1</v>
      </c>
      <c r="V24" s="98">
        <v>0.95</v>
      </c>
      <c r="W24" s="98">
        <v>0.9706999999999999</v>
      </c>
      <c r="X24" s="97">
        <f t="shared" si="7"/>
        <v>-2.9300000000000104E-2</v>
      </c>
      <c r="Y24" s="60">
        <v>92920111.714999989</v>
      </c>
      <c r="Z24" s="60">
        <v>98782085.228260875</v>
      </c>
      <c r="AA24" s="62">
        <v>6.2899999999999998E-2</v>
      </c>
      <c r="AB24" s="62">
        <f t="shared" si="8"/>
        <v>0.14683990050849607</v>
      </c>
      <c r="AC24" s="60">
        <v>7498514</v>
      </c>
      <c r="AD24" s="60">
        <f t="shared" si="4"/>
        <v>17509946.989999995</v>
      </c>
      <c r="AE24" s="28"/>
    </row>
    <row r="25" spans="1:32" ht="21" x14ac:dyDescent="0.35">
      <c r="A25" s="45" t="s">
        <v>29</v>
      </c>
      <c r="C25" s="26">
        <f t="shared" si="9"/>
        <v>21</v>
      </c>
      <c r="D25" s="6" t="s">
        <v>108</v>
      </c>
      <c r="E25" s="88" t="s">
        <v>31</v>
      </c>
      <c r="F25" s="6" t="s">
        <v>64</v>
      </c>
      <c r="G25" s="6" t="s">
        <v>109</v>
      </c>
      <c r="H25" s="15" t="s">
        <v>110</v>
      </c>
      <c r="I25" s="11" t="s">
        <v>111</v>
      </c>
      <c r="J25" s="16" t="s">
        <v>77</v>
      </c>
      <c r="K25" s="66">
        <v>218577987</v>
      </c>
      <c r="L25" s="66"/>
      <c r="M25" s="79">
        <v>0</v>
      </c>
      <c r="N25" s="60">
        <f t="shared" si="3"/>
        <v>218577987</v>
      </c>
      <c r="O25" s="60">
        <v>185847008</v>
      </c>
      <c r="P25" s="60">
        <f>+O25</f>
        <v>185847008</v>
      </c>
      <c r="Q25" s="56">
        <f t="shared" si="6"/>
        <v>161810308.491</v>
      </c>
      <c r="R25" s="60">
        <v>191385813.47999999</v>
      </c>
      <c r="S25" s="60">
        <v>138466773.84999999</v>
      </c>
      <c r="T25" s="60">
        <v>14179162.76</v>
      </c>
      <c r="U25" s="61">
        <v>0.82207857957160424</v>
      </c>
      <c r="V25" s="98">
        <v>1</v>
      </c>
      <c r="W25" s="98">
        <v>0.71889999999999998</v>
      </c>
      <c r="X25" s="97">
        <f t="shared" si="7"/>
        <v>-0.10317857957160426</v>
      </c>
      <c r="Y25" s="60">
        <v>161810308.491</v>
      </c>
      <c r="Z25" s="60">
        <v>122491730.44217393</v>
      </c>
      <c r="AA25" s="62">
        <v>7.6100000000000001E-2</v>
      </c>
      <c r="AB25" s="62">
        <f t="shared" si="8"/>
        <v>0.12440490414069012</v>
      </c>
      <c r="AC25" s="60">
        <v>16633785</v>
      </c>
      <c r="AD25" s="60">
        <f t="shared" si="4"/>
        <v>27192173.520000011</v>
      </c>
      <c r="AE25" s="29"/>
    </row>
    <row r="26" spans="1:32" ht="36" x14ac:dyDescent="0.35">
      <c r="A26" s="45" t="s">
        <v>29</v>
      </c>
      <c r="C26" s="26">
        <f t="shared" si="9"/>
        <v>22</v>
      </c>
      <c r="D26" s="6" t="s">
        <v>108</v>
      </c>
      <c r="E26" s="10" t="s">
        <v>39</v>
      </c>
      <c r="F26" s="6" t="s">
        <v>39</v>
      </c>
      <c r="G26" s="6" t="s">
        <v>112</v>
      </c>
      <c r="H26" s="12" t="s">
        <v>113</v>
      </c>
      <c r="I26" s="8" t="s">
        <v>42</v>
      </c>
      <c r="J26" s="10" t="s">
        <v>48</v>
      </c>
      <c r="K26" s="65">
        <v>36073440</v>
      </c>
      <c r="L26" s="65"/>
      <c r="M26" s="79">
        <v>0</v>
      </c>
      <c r="N26" s="60">
        <f t="shared" si="3"/>
        <v>36073440</v>
      </c>
      <c r="O26" s="60">
        <v>27705016</v>
      </c>
      <c r="P26" s="60">
        <f t="shared" ref="P26:P55" si="10">+O26</f>
        <v>27705016</v>
      </c>
      <c r="Q26" s="56">
        <f t="shared" si="6"/>
        <v>26639369.677630004</v>
      </c>
      <c r="R26" s="60">
        <v>34191905.770000003</v>
      </c>
      <c r="S26" s="60">
        <v>25769527.440000001</v>
      </c>
      <c r="T26" s="60">
        <v>3270045.69</v>
      </c>
      <c r="U26" s="61">
        <v>0.79202270243572437</v>
      </c>
      <c r="V26" s="98">
        <v>1</v>
      </c>
      <c r="W26" s="98">
        <v>0.74890000000000001</v>
      </c>
      <c r="X26" s="97">
        <f t="shared" si="7"/>
        <v>-4.3122702435724358E-2</v>
      </c>
      <c r="Y26" s="60">
        <v>26639369.677630004</v>
      </c>
      <c r="Z26" s="60">
        <v>23871834.977826085</v>
      </c>
      <c r="AA26" s="62">
        <v>5.8299999999999998E-2</v>
      </c>
      <c r="AB26" s="62">
        <f t="shared" si="8"/>
        <v>5.2158436511738182E-2</v>
      </c>
      <c r="AC26" s="60">
        <v>2103082</v>
      </c>
      <c r="AD26" s="60">
        <f t="shared" si="4"/>
        <v>1881534.2299999967</v>
      </c>
      <c r="AE26" s="28"/>
    </row>
    <row r="27" spans="1:32" ht="36" x14ac:dyDescent="0.35">
      <c r="A27" s="45" t="s">
        <v>29</v>
      </c>
      <c r="B27" t="s">
        <v>69</v>
      </c>
      <c r="C27" s="26">
        <f t="shared" si="9"/>
        <v>23</v>
      </c>
      <c r="D27" s="6" t="s">
        <v>108</v>
      </c>
      <c r="E27" s="13" t="s">
        <v>31</v>
      </c>
      <c r="F27" s="6" t="s">
        <v>100</v>
      </c>
      <c r="G27" s="6" t="s">
        <v>114</v>
      </c>
      <c r="H27" s="12" t="s">
        <v>115</v>
      </c>
      <c r="I27" s="8" t="s">
        <v>116</v>
      </c>
      <c r="J27" s="10" t="s">
        <v>117</v>
      </c>
      <c r="K27" s="65">
        <v>217950300</v>
      </c>
      <c r="L27" s="65"/>
      <c r="M27" s="79">
        <v>34406000</v>
      </c>
      <c r="N27" s="60">
        <f t="shared" si="3"/>
        <v>252356300</v>
      </c>
      <c r="O27" s="60">
        <v>226577283.52000001</v>
      </c>
      <c r="P27" s="60">
        <f t="shared" si="10"/>
        <v>226577283.52000001</v>
      </c>
      <c r="Q27" s="56">
        <f t="shared" si="6"/>
        <v>201790387.02519</v>
      </c>
      <c r="R27" s="60">
        <v>218027760.75999999</v>
      </c>
      <c r="S27" s="60">
        <v>210838408.49000001</v>
      </c>
      <c r="T27" s="60">
        <v>1734362.51</v>
      </c>
      <c r="U27" s="61">
        <v>0.99299999999999999</v>
      </c>
      <c r="V27" s="98">
        <v>1</v>
      </c>
      <c r="W27" s="98">
        <v>0.97309999999999997</v>
      </c>
      <c r="X27" s="97">
        <f t="shared" si="7"/>
        <v>-1.9900000000000029E-2</v>
      </c>
      <c r="Y27" s="60">
        <v>201790387.02519</v>
      </c>
      <c r="Z27" s="60">
        <v>201497017.1126087</v>
      </c>
      <c r="AA27" s="62">
        <v>6.2799999999999995E-2</v>
      </c>
      <c r="AB27" s="62">
        <f t="shared" si="8"/>
        <v>0.13603202789072438</v>
      </c>
      <c r="AC27" s="60">
        <f>AA27*N27</f>
        <v>15847975.639999999</v>
      </c>
      <c r="AD27" s="60">
        <f>AB27*N27</f>
        <v>34328539.24000001</v>
      </c>
      <c r="AE27" s="28"/>
    </row>
    <row r="28" spans="1:32" ht="36" x14ac:dyDescent="0.35">
      <c r="A28" s="45" t="s">
        <v>29</v>
      </c>
      <c r="B28" t="s">
        <v>69</v>
      </c>
      <c r="C28" s="26">
        <f t="shared" si="9"/>
        <v>24</v>
      </c>
      <c r="D28" s="6" t="s">
        <v>108</v>
      </c>
      <c r="E28" s="6" t="s">
        <v>31</v>
      </c>
      <c r="F28" s="6" t="s">
        <v>118</v>
      </c>
      <c r="G28" s="6" t="s">
        <v>119</v>
      </c>
      <c r="H28" s="12" t="s">
        <v>120</v>
      </c>
      <c r="I28" s="8" t="s">
        <v>47</v>
      </c>
      <c r="J28" s="10" t="s">
        <v>121</v>
      </c>
      <c r="K28" s="65">
        <v>131418256</v>
      </c>
      <c r="L28" s="65"/>
      <c r="M28" s="79">
        <v>0</v>
      </c>
      <c r="N28" s="60">
        <f t="shared" si="3"/>
        <v>131418256</v>
      </c>
      <c r="O28" s="60">
        <v>99148949</v>
      </c>
      <c r="P28" s="60">
        <v>97883916</v>
      </c>
      <c r="Q28" s="56">
        <f t="shared" si="6"/>
        <v>98213454.410109997</v>
      </c>
      <c r="R28" s="60">
        <v>131417297.98</v>
      </c>
      <c r="S28" s="60">
        <v>117308781.59999999</v>
      </c>
      <c r="T28" s="60">
        <v>8281864.9900000002</v>
      </c>
      <c r="U28" s="61">
        <v>0.97299999999999998</v>
      </c>
      <c r="V28" s="98">
        <v>1</v>
      </c>
      <c r="W28" s="98">
        <v>0.87780000000000002</v>
      </c>
      <c r="X28" s="97">
        <f t="shared" si="7"/>
        <v>-9.5199999999999951E-2</v>
      </c>
      <c r="Y28" s="60">
        <v>98213454.410109997</v>
      </c>
      <c r="Z28" s="60">
        <v>105855522.634783</v>
      </c>
      <c r="AA28" s="62">
        <v>4.5400000000000003E-2</v>
      </c>
      <c r="AB28" s="62">
        <f t="shared" si="8"/>
        <v>7.2898547671780677E-6</v>
      </c>
      <c r="AC28" s="60">
        <v>5970533</v>
      </c>
      <c r="AD28" s="60">
        <f t="shared" si="4"/>
        <v>958.01999999582767</v>
      </c>
      <c r="AE28" s="28"/>
    </row>
    <row r="29" spans="1:32" ht="36" x14ac:dyDescent="0.35">
      <c r="A29" s="45" t="s">
        <v>29</v>
      </c>
      <c r="B29" t="s">
        <v>69</v>
      </c>
      <c r="C29" s="26">
        <f t="shared" si="9"/>
        <v>25</v>
      </c>
      <c r="D29" s="6" t="s">
        <v>108</v>
      </c>
      <c r="E29" s="6" t="s">
        <v>31</v>
      </c>
      <c r="F29" s="6" t="s">
        <v>64</v>
      </c>
      <c r="G29" s="6" t="s">
        <v>122</v>
      </c>
      <c r="H29" s="12" t="s">
        <v>123</v>
      </c>
      <c r="I29" s="8" t="s">
        <v>124</v>
      </c>
      <c r="J29" s="10" t="s">
        <v>125</v>
      </c>
      <c r="K29" s="65">
        <v>37810500</v>
      </c>
      <c r="L29" s="65">
        <v>0</v>
      </c>
      <c r="M29" s="79">
        <v>0</v>
      </c>
      <c r="N29" s="60">
        <f t="shared" si="3"/>
        <v>37810500</v>
      </c>
      <c r="O29" s="90">
        <v>29053444</v>
      </c>
      <c r="P29" s="90">
        <f t="shared" si="10"/>
        <v>29053444</v>
      </c>
      <c r="Q29" s="91">
        <f t="shared" si="6"/>
        <v>26193144.660525002</v>
      </c>
      <c r="R29" s="90">
        <v>33735677.93</v>
      </c>
      <c r="S29" s="90">
        <v>24677613.149999999</v>
      </c>
      <c r="T29" s="90">
        <v>4033183.23</v>
      </c>
      <c r="U29" s="92">
        <v>0.82479999999999998</v>
      </c>
      <c r="V29" s="92">
        <v>0.9</v>
      </c>
      <c r="W29" s="92">
        <v>0.6996</v>
      </c>
      <c r="X29" s="97">
        <f t="shared" si="7"/>
        <v>-0.12519999999999998</v>
      </c>
      <c r="Y29" s="90">
        <v>26193144.660525002</v>
      </c>
      <c r="Z29" s="90">
        <v>24051289.030000001</v>
      </c>
      <c r="AA29" s="93">
        <v>0.14410000000000001</v>
      </c>
      <c r="AB29" s="93">
        <f t="shared" si="8"/>
        <v>0.10776958966424671</v>
      </c>
      <c r="AC29" s="90">
        <v>5448232</v>
      </c>
      <c r="AD29" s="90">
        <f t="shared" si="4"/>
        <v>4074822.0700000003</v>
      </c>
      <c r="AE29" s="28"/>
    </row>
    <row r="30" spans="1:32" ht="36" x14ac:dyDescent="0.35">
      <c r="A30" s="45" t="s">
        <v>53</v>
      </c>
      <c r="B30" t="s">
        <v>69</v>
      </c>
      <c r="C30" s="26">
        <f t="shared" si="9"/>
        <v>26</v>
      </c>
      <c r="D30" s="6" t="s">
        <v>108</v>
      </c>
      <c r="E30" s="89" t="s">
        <v>126</v>
      </c>
      <c r="F30" s="6" t="s">
        <v>126</v>
      </c>
      <c r="G30" s="6" t="s">
        <v>127</v>
      </c>
      <c r="H30" s="12" t="s">
        <v>128</v>
      </c>
      <c r="I30" s="8" t="s">
        <v>129</v>
      </c>
      <c r="J30" s="10" t="s">
        <v>130</v>
      </c>
      <c r="K30" s="65">
        <v>388016486</v>
      </c>
      <c r="L30" s="65">
        <v>0</v>
      </c>
      <c r="M30" s="79">
        <v>0</v>
      </c>
      <c r="N30" s="60">
        <f t="shared" si="3"/>
        <v>388016486</v>
      </c>
      <c r="O30" s="90">
        <v>152961744</v>
      </c>
      <c r="P30" s="90">
        <f t="shared" si="10"/>
        <v>152961744</v>
      </c>
      <c r="Q30" s="91">
        <v>152961744</v>
      </c>
      <c r="R30" s="90">
        <v>355607182.98000002</v>
      </c>
      <c r="S30" s="90">
        <v>183039784.93000001</v>
      </c>
      <c r="T30" s="90">
        <v>107455296.95999999</v>
      </c>
      <c r="U30" s="92">
        <v>0.79687575150300594</v>
      </c>
      <c r="V30" s="92">
        <v>1</v>
      </c>
      <c r="W30" s="92">
        <v>0.499</v>
      </c>
      <c r="X30" s="97">
        <f t="shared" si="7"/>
        <v>-0.29787575150300594</v>
      </c>
      <c r="Y30" s="90">
        <v>152961744</v>
      </c>
      <c r="Z30" s="90">
        <v>153451188</v>
      </c>
      <c r="AA30" s="93">
        <v>7.4099999999999999E-2</v>
      </c>
      <c r="AB30" s="93">
        <f t="shared" si="8"/>
        <v>8.3525582518676741E-2</v>
      </c>
      <c r="AC30" s="90">
        <v>28741962</v>
      </c>
      <c r="AD30" s="90">
        <f t="shared" si="4"/>
        <v>32409303.019999977</v>
      </c>
      <c r="AE30" s="28"/>
    </row>
    <row r="31" spans="1:32" ht="21" x14ac:dyDescent="0.35">
      <c r="A31" s="45" t="s">
        <v>29</v>
      </c>
      <c r="C31" s="26">
        <f t="shared" si="9"/>
        <v>27</v>
      </c>
      <c r="D31" s="6" t="s">
        <v>108</v>
      </c>
      <c r="E31" s="89" t="s">
        <v>31</v>
      </c>
      <c r="F31" s="6" t="s">
        <v>32</v>
      </c>
      <c r="G31" s="6" t="s">
        <v>131</v>
      </c>
      <c r="H31" s="12" t="s">
        <v>132</v>
      </c>
      <c r="I31" s="8" t="s">
        <v>57</v>
      </c>
      <c r="J31" s="10" t="s">
        <v>43</v>
      </c>
      <c r="K31" s="63">
        <v>351450000</v>
      </c>
      <c r="L31" s="64"/>
      <c r="M31" s="80">
        <v>-12000000</v>
      </c>
      <c r="N31" s="60">
        <f t="shared" si="3"/>
        <v>339450000</v>
      </c>
      <c r="O31" s="60">
        <v>269597677</v>
      </c>
      <c r="P31" s="60">
        <f t="shared" si="10"/>
        <v>269597677</v>
      </c>
      <c r="Q31" s="56">
        <f t="shared" si="6"/>
        <v>227723233.29050002</v>
      </c>
      <c r="R31" s="60">
        <v>283597331.00999999</v>
      </c>
      <c r="S31" s="60">
        <v>219630392.47</v>
      </c>
      <c r="T31" s="60">
        <v>22370628.23</v>
      </c>
      <c r="U31" s="61">
        <v>0.80600000000000005</v>
      </c>
      <c r="V31" s="98">
        <v>1</v>
      </c>
      <c r="W31" s="98">
        <v>0.77229999999999999</v>
      </c>
      <c r="X31" s="97">
        <f t="shared" si="7"/>
        <v>-3.3700000000000063E-2</v>
      </c>
      <c r="Y31" s="60">
        <v>227723233.29050002</v>
      </c>
      <c r="Z31" s="60">
        <v>199242192.73608696</v>
      </c>
      <c r="AA31" s="62">
        <v>4.0300000000000002E-2</v>
      </c>
      <c r="AB31" s="62">
        <f t="shared" si="8"/>
        <v>0.16453872143172782</v>
      </c>
      <c r="AC31" s="60">
        <v>13688790</v>
      </c>
      <c r="AD31" s="60">
        <f t="shared" si="4"/>
        <v>55852668.99000001</v>
      </c>
      <c r="AE31" s="28"/>
    </row>
    <row r="32" spans="1:32" ht="36" x14ac:dyDescent="0.35">
      <c r="A32" s="45" t="s">
        <v>29</v>
      </c>
      <c r="C32" s="26">
        <f t="shared" si="9"/>
        <v>28</v>
      </c>
      <c r="D32" s="6" t="s">
        <v>108</v>
      </c>
      <c r="E32" s="9" t="s">
        <v>31</v>
      </c>
      <c r="F32" s="6" t="s">
        <v>61</v>
      </c>
      <c r="G32" s="6" t="s">
        <v>133</v>
      </c>
      <c r="H32" s="12" t="s">
        <v>134</v>
      </c>
      <c r="I32" s="8" t="s">
        <v>47</v>
      </c>
      <c r="J32" s="10" t="s">
        <v>135</v>
      </c>
      <c r="K32" s="65">
        <v>40038020</v>
      </c>
      <c r="L32" s="65"/>
      <c r="M32" s="79">
        <v>0</v>
      </c>
      <c r="N32" s="60">
        <f t="shared" si="3"/>
        <v>40038020</v>
      </c>
      <c r="O32" s="60">
        <v>29873177</v>
      </c>
      <c r="P32" s="60">
        <f t="shared" si="10"/>
        <v>29873177</v>
      </c>
      <c r="Q32" s="56">
        <f t="shared" si="6"/>
        <v>24176246.966679998</v>
      </c>
      <c r="R32" s="60">
        <v>30116251</v>
      </c>
      <c r="S32" s="60">
        <v>21182712.75</v>
      </c>
      <c r="T32" s="60">
        <v>2190968.94</v>
      </c>
      <c r="U32" s="61">
        <v>0.91800000000000004</v>
      </c>
      <c r="V32" s="98">
        <v>1</v>
      </c>
      <c r="W32" s="98">
        <v>0.69279999999999997</v>
      </c>
      <c r="X32" s="97">
        <f t="shared" si="7"/>
        <v>-0.22520000000000007</v>
      </c>
      <c r="Y32" s="60">
        <v>24176246.966679998</v>
      </c>
      <c r="Z32" s="60">
        <v>14463539.670000002</v>
      </c>
      <c r="AA32" s="62">
        <v>7.1499999999999994E-2</v>
      </c>
      <c r="AB32" s="62">
        <f t="shared" si="8"/>
        <v>0.24780868284695398</v>
      </c>
      <c r="AC32" s="60">
        <v>2862718</v>
      </c>
      <c r="AD32" s="60">
        <f t="shared" si="4"/>
        <v>9921769</v>
      </c>
      <c r="AE32" s="28"/>
      <c r="AF32" s="42"/>
    </row>
    <row r="33" spans="1:32" ht="36" x14ac:dyDescent="0.35">
      <c r="A33" s="45" t="s">
        <v>29</v>
      </c>
      <c r="B33" t="s">
        <v>69</v>
      </c>
      <c r="C33" s="26">
        <f t="shared" si="9"/>
        <v>29</v>
      </c>
      <c r="D33" s="6" t="s">
        <v>108</v>
      </c>
      <c r="E33" s="88" t="s">
        <v>39</v>
      </c>
      <c r="F33" s="6" t="s">
        <v>39</v>
      </c>
      <c r="G33" s="6" t="s">
        <v>136</v>
      </c>
      <c r="H33" s="15" t="s">
        <v>137</v>
      </c>
      <c r="I33" s="11" t="s">
        <v>80</v>
      </c>
      <c r="J33" s="10" t="s">
        <v>72</v>
      </c>
      <c r="K33" s="66">
        <v>76529100</v>
      </c>
      <c r="L33" s="66">
        <v>383109</v>
      </c>
      <c r="M33" s="79">
        <v>0</v>
      </c>
      <c r="N33" s="60">
        <f t="shared" si="3"/>
        <v>76529100</v>
      </c>
      <c r="O33" s="60">
        <v>67860130.488000005</v>
      </c>
      <c r="P33" s="60">
        <f t="shared" si="10"/>
        <v>67860130.488000005</v>
      </c>
      <c r="Q33" s="56">
        <f t="shared" si="6"/>
        <v>46141311.452140003</v>
      </c>
      <c r="R33" s="60">
        <v>57711052.130000003</v>
      </c>
      <c r="S33" s="60">
        <v>50088335.229999997</v>
      </c>
      <c r="T33" s="60">
        <v>2049372.84</v>
      </c>
      <c r="U33" s="61">
        <v>0.93110000000000004</v>
      </c>
      <c r="V33" s="98">
        <v>1</v>
      </c>
      <c r="W33" s="98">
        <v>0.8619</v>
      </c>
      <c r="X33" s="97">
        <f t="shared" si="7"/>
        <v>-6.9200000000000039E-2</v>
      </c>
      <c r="Y33" s="60">
        <v>46141311.452140003</v>
      </c>
      <c r="Z33" s="60">
        <v>45865606</v>
      </c>
      <c r="AA33" s="62">
        <v>5.6599999999999998E-2</v>
      </c>
      <c r="AB33" s="62">
        <f t="shared" si="8"/>
        <v>0.24589401770045638</v>
      </c>
      <c r="AC33" s="60">
        <v>4329636</v>
      </c>
      <c r="AD33" s="60">
        <f t="shared" si="4"/>
        <v>18818047.869999997</v>
      </c>
      <c r="AE33" s="29"/>
    </row>
    <row r="34" spans="1:32" ht="36" x14ac:dyDescent="0.35">
      <c r="A34" s="45" t="s">
        <v>95</v>
      </c>
      <c r="B34" t="s">
        <v>69</v>
      </c>
      <c r="C34" s="26">
        <f t="shared" si="9"/>
        <v>30</v>
      </c>
      <c r="D34" s="6" t="s">
        <v>108</v>
      </c>
      <c r="E34" s="9" t="s">
        <v>31</v>
      </c>
      <c r="F34" s="6" t="s">
        <v>32</v>
      </c>
      <c r="G34" s="6" t="s">
        <v>138</v>
      </c>
      <c r="H34" s="15" t="s">
        <v>139</v>
      </c>
      <c r="I34" s="8" t="s">
        <v>116</v>
      </c>
      <c r="J34" s="10" t="s">
        <v>117</v>
      </c>
      <c r="K34" s="66">
        <v>335406292</v>
      </c>
      <c r="L34" s="66"/>
      <c r="M34" s="79">
        <v>0</v>
      </c>
      <c r="N34" s="60">
        <f t="shared" si="3"/>
        <v>335406292</v>
      </c>
      <c r="O34" s="60">
        <v>265264290.88999999</v>
      </c>
      <c r="P34" s="60">
        <f t="shared" si="10"/>
        <v>265264290.88999999</v>
      </c>
      <c r="Q34" s="56">
        <f t="shared" si="6"/>
        <v>177111267.05492997</v>
      </c>
      <c r="R34" s="60">
        <v>299469903.68000001</v>
      </c>
      <c r="S34" s="60">
        <v>260941377</v>
      </c>
      <c r="T34" s="60">
        <v>13826642</v>
      </c>
      <c r="U34" s="61">
        <v>0.96499999999999997</v>
      </c>
      <c r="V34" s="98">
        <v>1</v>
      </c>
      <c r="W34" s="98">
        <v>0.86099999999999999</v>
      </c>
      <c r="X34" s="97">
        <f t="shared" si="7"/>
        <v>-0.10399999999999998</v>
      </c>
      <c r="Y34" s="60">
        <v>177111267.05492997</v>
      </c>
      <c r="Z34" s="60">
        <v>242774376</v>
      </c>
      <c r="AA34" s="62">
        <v>0.1071</v>
      </c>
      <c r="AB34" s="62">
        <f t="shared" si="8"/>
        <v>0.10714285681915589</v>
      </c>
      <c r="AC34" s="60">
        <f>AA34*N34</f>
        <v>35922013.873199999</v>
      </c>
      <c r="AD34" s="60">
        <f>AB34*N34</f>
        <v>35936388.319999993</v>
      </c>
      <c r="AE34" s="29"/>
    </row>
    <row r="35" spans="1:32" ht="36" x14ac:dyDescent="0.35">
      <c r="A35" s="45" t="s">
        <v>140</v>
      </c>
      <c r="B35" t="s">
        <v>69</v>
      </c>
      <c r="C35" s="26">
        <f t="shared" si="9"/>
        <v>31</v>
      </c>
      <c r="D35" s="6" t="s">
        <v>108</v>
      </c>
      <c r="E35" s="88" t="s">
        <v>141</v>
      </c>
      <c r="F35" s="6" t="s">
        <v>64</v>
      </c>
      <c r="G35" s="115" t="s">
        <v>142</v>
      </c>
      <c r="H35" s="15" t="s">
        <v>143</v>
      </c>
      <c r="I35" s="11" t="s">
        <v>144</v>
      </c>
      <c r="J35" s="16" t="s">
        <v>145</v>
      </c>
      <c r="K35" s="66">
        <v>165245150</v>
      </c>
      <c r="L35" s="66">
        <v>359454.3</v>
      </c>
      <c r="M35" s="79">
        <f>2542950+571425</f>
        <v>3114375</v>
      </c>
      <c r="N35" s="60">
        <f t="shared" si="3"/>
        <v>168359525</v>
      </c>
      <c r="O35" s="60">
        <v>119732538.07000001</v>
      </c>
      <c r="P35" s="60">
        <f t="shared" si="10"/>
        <v>119732538.07000001</v>
      </c>
      <c r="Q35" s="56">
        <f>+Y35</f>
        <v>94514300.900800005</v>
      </c>
      <c r="R35" s="60">
        <v>131524606.83</v>
      </c>
      <c r="S35" s="60">
        <v>86199371.540000007</v>
      </c>
      <c r="T35" s="60">
        <v>15867596.42</v>
      </c>
      <c r="U35" s="61">
        <v>0.77700000000000002</v>
      </c>
      <c r="V35" s="98">
        <v>0.97099999999999997</v>
      </c>
      <c r="W35" s="98">
        <v>0.66759999999999997</v>
      </c>
      <c r="X35" s="97">
        <f t="shared" si="7"/>
        <v>-0.10940000000000005</v>
      </c>
      <c r="Y35" s="60">
        <v>94514300.900800005</v>
      </c>
      <c r="Z35" s="60">
        <v>45683059.368695602</v>
      </c>
      <c r="AA35" s="62">
        <v>0.1057</v>
      </c>
      <c r="AB35" s="62">
        <f t="shared" si="8"/>
        <v>0.2187872540624001</v>
      </c>
      <c r="AC35" s="60">
        <v>17735202</v>
      </c>
      <c r="AD35" s="60">
        <f t="shared" si="4"/>
        <v>36834918.170000002</v>
      </c>
      <c r="AE35" s="29"/>
    </row>
    <row r="36" spans="1:32" ht="21" x14ac:dyDescent="0.35">
      <c r="A36" s="45" t="s">
        <v>29</v>
      </c>
      <c r="B36" t="s">
        <v>69</v>
      </c>
      <c r="C36" s="26">
        <f t="shared" si="9"/>
        <v>32</v>
      </c>
      <c r="D36" s="6" t="s">
        <v>108</v>
      </c>
      <c r="E36" s="88" t="s">
        <v>31</v>
      </c>
      <c r="F36" s="6" t="s">
        <v>146</v>
      </c>
      <c r="G36" s="6" t="s">
        <v>147</v>
      </c>
      <c r="H36" s="15" t="s">
        <v>148</v>
      </c>
      <c r="I36" s="11" t="s">
        <v>52</v>
      </c>
      <c r="J36" s="16" t="s">
        <v>149</v>
      </c>
      <c r="K36" s="66">
        <v>108569000</v>
      </c>
      <c r="L36" s="66"/>
      <c r="M36" s="79">
        <v>608288</v>
      </c>
      <c r="N36" s="60">
        <f t="shared" si="3"/>
        <v>109177288</v>
      </c>
      <c r="O36" s="60">
        <v>95211669</v>
      </c>
      <c r="P36" s="60">
        <f t="shared" si="10"/>
        <v>95211669</v>
      </c>
      <c r="Q36" s="56">
        <f>95211669*0.9</f>
        <v>85690502.100000009</v>
      </c>
      <c r="R36" s="60">
        <v>98994799</v>
      </c>
      <c r="S36" s="60">
        <v>94648104.480000004</v>
      </c>
      <c r="T36" s="60">
        <v>728456.81</v>
      </c>
      <c r="U36" s="61">
        <v>0.99</v>
      </c>
      <c r="V36" s="98">
        <v>1</v>
      </c>
      <c r="W36" s="98">
        <v>0.95750000000000002</v>
      </c>
      <c r="X36" s="97">
        <f t="shared" si="7"/>
        <v>-3.2499999999999973E-2</v>
      </c>
      <c r="Y36" s="60">
        <v>96547402</v>
      </c>
      <c r="Z36" s="60">
        <v>88768157</v>
      </c>
      <c r="AA36" s="62">
        <v>9.0899999999999995E-2</v>
      </c>
      <c r="AB36" s="62">
        <f t="shared" si="8"/>
        <v>9.3265634149109836E-2</v>
      </c>
      <c r="AC36" s="60">
        <v>9870304</v>
      </c>
      <c r="AD36" s="60">
        <f t="shared" si="4"/>
        <v>10182489</v>
      </c>
      <c r="AE36" s="29"/>
    </row>
    <row r="37" spans="1:32" ht="21" x14ac:dyDescent="0.35">
      <c r="A37" s="45" t="s">
        <v>29</v>
      </c>
      <c r="B37" t="s">
        <v>69</v>
      </c>
      <c r="C37" s="26">
        <f t="shared" si="9"/>
        <v>33</v>
      </c>
      <c r="D37" s="6" t="s">
        <v>108</v>
      </c>
      <c r="E37" s="88" t="s">
        <v>31</v>
      </c>
      <c r="F37" s="6" t="s">
        <v>64</v>
      </c>
      <c r="G37" s="6" t="s">
        <v>150</v>
      </c>
      <c r="H37" s="15" t="s">
        <v>151</v>
      </c>
      <c r="I37" s="14" t="s">
        <v>111</v>
      </c>
      <c r="J37" s="14" t="s">
        <v>117</v>
      </c>
      <c r="K37" s="66">
        <v>152000000</v>
      </c>
      <c r="L37" s="66"/>
      <c r="M37" s="79">
        <v>0</v>
      </c>
      <c r="N37" s="60">
        <f t="shared" si="3"/>
        <v>152000000</v>
      </c>
      <c r="O37" s="59">
        <v>0</v>
      </c>
      <c r="P37" s="60">
        <f t="shared" si="10"/>
        <v>0</v>
      </c>
      <c r="Q37" s="56">
        <f t="shared" si="6"/>
        <v>0</v>
      </c>
      <c r="R37" s="60">
        <v>139571180.70999998</v>
      </c>
      <c r="S37" s="60">
        <v>873763</v>
      </c>
      <c r="T37" s="60">
        <v>61709311</v>
      </c>
      <c r="U37" s="61">
        <v>4.0000000000000001E-3</v>
      </c>
      <c r="V37" s="98">
        <v>7.2999999999999995E-2</v>
      </c>
      <c r="W37" s="98">
        <v>5.0000000000000001E-3</v>
      </c>
      <c r="X37" s="97">
        <f t="shared" si="7"/>
        <v>1E-3</v>
      </c>
      <c r="Y37" s="59">
        <v>0</v>
      </c>
      <c r="Z37" s="60">
        <v>3075879</v>
      </c>
      <c r="AA37" s="62">
        <v>8.2568804838308751E-2</v>
      </c>
      <c r="AB37" s="62">
        <f t="shared" si="8"/>
        <v>8.1768547960526461E-2</v>
      </c>
      <c r="AC37" s="60">
        <f>AA37*N37</f>
        <v>12550458.335422929</v>
      </c>
      <c r="AD37" s="60">
        <f>AB37*N37</f>
        <v>12428819.290000021</v>
      </c>
      <c r="AE37" s="29"/>
    </row>
    <row r="38" spans="1:32" ht="36" x14ac:dyDescent="0.35">
      <c r="A38" s="45" t="s">
        <v>29</v>
      </c>
      <c r="C38" s="26">
        <f t="shared" si="9"/>
        <v>34</v>
      </c>
      <c r="D38" s="6" t="s">
        <v>108</v>
      </c>
      <c r="E38" s="88" t="s">
        <v>31</v>
      </c>
      <c r="F38" s="6" t="s">
        <v>73</v>
      </c>
      <c r="G38" s="6" t="s">
        <v>152</v>
      </c>
      <c r="H38" s="15" t="s">
        <v>153</v>
      </c>
      <c r="I38" s="11" t="s">
        <v>154</v>
      </c>
      <c r="J38" s="16" t="s">
        <v>155</v>
      </c>
      <c r="K38" s="66">
        <v>878629474</v>
      </c>
      <c r="L38" s="66"/>
      <c r="M38" s="79">
        <v>0</v>
      </c>
      <c r="N38" s="60">
        <f t="shared" si="3"/>
        <v>878629474</v>
      </c>
      <c r="O38" s="60">
        <v>648755834</v>
      </c>
      <c r="P38" s="60">
        <f t="shared" si="10"/>
        <v>648755834</v>
      </c>
      <c r="Q38" s="56">
        <f t="shared" si="6"/>
        <v>465270388.94299996</v>
      </c>
      <c r="R38" s="60">
        <v>757377634.45000005</v>
      </c>
      <c r="S38" s="60">
        <v>632547247.40999997</v>
      </c>
      <c r="T38" s="60">
        <v>62103657.899999999</v>
      </c>
      <c r="U38" s="61">
        <v>0.876</v>
      </c>
      <c r="V38" s="98">
        <v>1</v>
      </c>
      <c r="W38" s="98">
        <v>0.8284999999999999</v>
      </c>
      <c r="X38" s="97">
        <f t="shared" si="7"/>
        <v>-4.7500000000000098E-2</v>
      </c>
      <c r="Y38" s="60">
        <v>465270388.94299996</v>
      </c>
      <c r="Z38" s="60">
        <f t="shared" ref="Z38:Z52" si="11">S38</f>
        <v>632547247.40999997</v>
      </c>
      <c r="AA38" s="62">
        <v>6.54E-2</v>
      </c>
      <c r="AB38" s="62">
        <f t="shared" si="8"/>
        <v>0.13800110642543725</v>
      </c>
      <c r="AC38" s="60">
        <v>57462368</v>
      </c>
      <c r="AD38" s="60">
        <f t="shared" si="4"/>
        <v>121251839.54999995</v>
      </c>
      <c r="AE38" s="29"/>
    </row>
    <row r="39" spans="1:32" ht="21" x14ac:dyDescent="0.35">
      <c r="A39" s="45" t="s">
        <v>29</v>
      </c>
      <c r="B39" t="s">
        <v>69</v>
      </c>
      <c r="C39" s="26">
        <f t="shared" si="9"/>
        <v>35</v>
      </c>
      <c r="D39" s="6" t="s">
        <v>108</v>
      </c>
      <c r="E39" s="88" t="s">
        <v>31</v>
      </c>
      <c r="F39" s="6" t="s">
        <v>32</v>
      </c>
      <c r="G39" s="6" t="s">
        <v>156</v>
      </c>
      <c r="H39" s="15" t="s">
        <v>157</v>
      </c>
      <c r="I39" s="11" t="s">
        <v>52</v>
      </c>
      <c r="J39" s="16" t="s">
        <v>149</v>
      </c>
      <c r="K39" s="66">
        <v>205975000</v>
      </c>
      <c r="L39" s="66">
        <v>6494939</v>
      </c>
      <c r="M39" s="79">
        <v>0</v>
      </c>
      <c r="N39" s="60">
        <f t="shared" si="3"/>
        <v>205975000</v>
      </c>
      <c r="O39" s="60">
        <v>158955720</v>
      </c>
      <c r="P39" s="60">
        <f t="shared" si="10"/>
        <v>158955720</v>
      </c>
      <c r="Q39" s="56">
        <v>155636874</v>
      </c>
      <c r="R39" s="60">
        <v>184193505.87</v>
      </c>
      <c r="S39" s="60">
        <v>168976269</v>
      </c>
      <c r="T39" s="60">
        <v>4980635.45</v>
      </c>
      <c r="U39" s="61">
        <v>0.95899999999999996</v>
      </c>
      <c r="V39" s="98">
        <v>1</v>
      </c>
      <c r="W39" s="98">
        <v>0.90800000000000003</v>
      </c>
      <c r="X39" s="97">
        <f t="shared" si="7"/>
        <v>-5.0999999999999934E-2</v>
      </c>
      <c r="Y39" s="60">
        <v>152120923.45499998</v>
      </c>
      <c r="Z39" s="60">
        <v>148942000</v>
      </c>
      <c r="AA39" s="62">
        <v>9.0800000000000006E-2</v>
      </c>
      <c r="AB39" s="62">
        <f t="shared" si="8"/>
        <v>0.10574824192256339</v>
      </c>
      <c r="AC39" s="60">
        <v>18708299</v>
      </c>
      <c r="AD39" s="60">
        <f t="shared" si="4"/>
        <v>21781494.129999995</v>
      </c>
      <c r="AE39" s="29"/>
    </row>
    <row r="40" spans="1:32" ht="72" x14ac:dyDescent="0.35">
      <c r="A40" s="45" t="s">
        <v>29</v>
      </c>
      <c r="C40" s="26">
        <f t="shared" si="9"/>
        <v>36</v>
      </c>
      <c r="D40" s="6" t="s">
        <v>108</v>
      </c>
      <c r="E40" s="9" t="s">
        <v>158</v>
      </c>
      <c r="F40" s="6" t="s">
        <v>158</v>
      </c>
      <c r="G40" s="6" t="s">
        <v>159</v>
      </c>
      <c r="H40" s="15" t="s">
        <v>160</v>
      </c>
      <c r="I40" s="11" t="s">
        <v>161</v>
      </c>
      <c r="J40" s="16" t="s">
        <v>162</v>
      </c>
      <c r="K40" s="66">
        <v>1055702232</v>
      </c>
      <c r="L40" s="66"/>
      <c r="M40" s="79">
        <v>0</v>
      </c>
      <c r="N40" s="60">
        <f t="shared" si="3"/>
        <v>1055702232</v>
      </c>
      <c r="O40" s="60"/>
      <c r="P40" s="60">
        <f t="shared" si="10"/>
        <v>0</v>
      </c>
      <c r="Q40" s="56">
        <f t="shared" si="6"/>
        <v>249546087.887945</v>
      </c>
      <c r="R40" s="60">
        <v>916415702.28999996</v>
      </c>
      <c r="S40" s="60">
        <v>464308840.06</v>
      </c>
      <c r="T40" s="60">
        <v>215332179.34999999</v>
      </c>
      <c r="U40" s="61"/>
      <c r="V40" s="98">
        <v>0</v>
      </c>
      <c r="W40" s="98">
        <v>0.46299999999999997</v>
      </c>
      <c r="X40" s="97">
        <f t="shared" si="7"/>
        <v>0.46299999999999997</v>
      </c>
      <c r="Y40" s="60">
        <v>249546087.887945</v>
      </c>
      <c r="Z40" s="60">
        <f t="shared" si="11"/>
        <v>464308840.06</v>
      </c>
      <c r="AA40" s="62">
        <v>9.0899999999999995E-2</v>
      </c>
      <c r="AB40" s="62">
        <f t="shared" si="8"/>
        <v>0.13193732615884063</v>
      </c>
      <c r="AC40" s="60">
        <v>95963333</v>
      </c>
      <c r="AD40" s="60">
        <f t="shared" si="4"/>
        <v>139286529.71000004</v>
      </c>
      <c r="AE40" s="29"/>
    </row>
    <row r="41" spans="1:32" ht="36" x14ac:dyDescent="0.35">
      <c r="A41" s="45" t="s">
        <v>29</v>
      </c>
      <c r="C41" s="26">
        <f t="shared" si="9"/>
        <v>37</v>
      </c>
      <c r="D41" s="6" t="s">
        <v>108</v>
      </c>
      <c r="E41" s="89" t="s">
        <v>163</v>
      </c>
      <c r="F41" s="6" t="s">
        <v>163</v>
      </c>
      <c r="G41" s="6" t="s">
        <v>164</v>
      </c>
      <c r="H41" s="15" t="s">
        <v>165</v>
      </c>
      <c r="I41" s="11" t="s">
        <v>166</v>
      </c>
      <c r="J41" s="16" t="s">
        <v>167</v>
      </c>
      <c r="K41" s="66">
        <v>954530000</v>
      </c>
      <c r="L41" s="66"/>
      <c r="M41" s="79">
        <v>0</v>
      </c>
      <c r="N41" s="60">
        <f t="shared" si="3"/>
        <v>954530000</v>
      </c>
      <c r="O41" s="60">
        <v>529361790</v>
      </c>
      <c r="P41" s="60">
        <f t="shared" si="10"/>
        <v>529361790</v>
      </c>
      <c r="Q41" s="56">
        <f t="shared" si="6"/>
        <v>361392070.70881504</v>
      </c>
      <c r="R41" s="60">
        <v>868139130.13</v>
      </c>
      <c r="S41" s="60">
        <v>600488974.60000002</v>
      </c>
      <c r="T41" s="60">
        <v>202482994.25</v>
      </c>
      <c r="U41" s="61">
        <v>0.648123940739047</v>
      </c>
      <c r="V41" s="98">
        <v>0.7</v>
      </c>
      <c r="W41" s="98">
        <v>0.53859999999999997</v>
      </c>
      <c r="X41" s="97">
        <f t="shared" si="7"/>
        <v>-0.10952394073904703</v>
      </c>
      <c r="Y41" s="60">
        <v>361392070.70881504</v>
      </c>
      <c r="Z41" s="60">
        <f t="shared" si="11"/>
        <v>600488974.60000002</v>
      </c>
      <c r="AA41" s="62">
        <v>0.1958</v>
      </c>
      <c r="AB41" s="62">
        <f t="shared" si="8"/>
        <v>9.0506186154442503E-2</v>
      </c>
      <c r="AC41" s="60">
        <v>186896974</v>
      </c>
      <c r="AD41" s="60">
        <f t="shared" si="4"/>
        <v>86390869.870000005</v>
      </c>
      <c r="AE41" s="29"/>
    </row>
    <row r="42" spans="1:32" ht="21" x14ac:dyDescent="0.35">
      <c r="A42" s="45" t="s">
        <v>29</v>
      </c>
      <c r="C42" s="26">
        <f t="shared" si="9"/>
        <v>38</v>
      </c>
      <c r="D42" s="6" t="s">
        <v>108</v>
      </c>
      <c r="E42" s="89" t="s">
        <v>163</v>
      </c>
      <c r="F42" s="6" t="s">
        <v>163</v>
      </c>
      <c r="G42" s="114" t="s">
        <v>168</v>
      </c>
      <c r="H42" s="15" t="s">
        <v>169</v>
      </c>
      <c r="I42" s="11" t="s">
        <v>170</v>
      </c>
      <c r="J42" s="16" t="s">
        <v>36</v>
      </c>
      <c r="K42" s="66">
        <v>98175162</v>
      </c>
      <c r="L42" s="66"/>
      <c r="M42" s="79">
        <v>12443769</v>
      </c>
      <c r="N42" s="60">
        <f t="shared" si="3"/>
        <v>110618931</v>
      </c>
      <c r="O42" s="60">
        <v>88690836.849999994</v>
      </c>
      <c r="P42" s="60">
        <f t="shared" si="10"/>
        <v>88690836.849999994</v>
      </c>
      <c r="Q42" s="56">
        <f t="shared" si="6"/>
        <v>61788402.480279997</v>
      </c>
      <c r="R42" s="60">
        <v>76756532.799999997</v>
      </c>
      <c r="S42" s="60">
        <v>56634484.759999998</v>
      </c>
      <c r="T42" s="60">
        <v>8012958.6600000001</v>
      </c>
      <c r="U42" s="61">
        <v>0.68108730046186838</v>
      </c>
      <c r="V42" s="99">
        <v>0.8</v>
      </c>
      <c r="W42" s="98">
        <v>0.7256999999999999</v>
      </c>
      <c r="X42" s="97">
        <f t="shared" si="7"/>
        <v>4.4612699538131517E-2</v>
      </c>
      <c r="Y42" s="60">
        <v>61788402.480279997</v>
      </c>
      <c r="Z42" s="60">
        <f t="shared" si="11"/>
        <v>56634484.759999998</v>
      </c>
      <c r="AA42" s="62">
        <v>0.13059999999999999</v>
      </c>
      <c r="AB42" s="62">
        <f t="shared" si="8"/>
        <v>0.30611756861038553</v>
      </c>
      <c r="AC42" s="60">
        <v>14450340</v>
      </c>
      <c r="AD42" s="60">
        <f t="shared" si="4"/>
        <v>33862398.200000003</v>
      </c>
      <c r="AE42" s="30"/>
    </row>
    <row r="43" spans="1:32" ht="36" x14ac:dyDescent="0.35">
      <c r="A43" s="45" t="s">
        <v>29</v>
      </c>
      <c r="C43" s="26">
        <f t="shared" si="9"/>
        <v>39</v>
      </c>
      <c r="D43" s="6" t="s">
        <v>108</v>
      </c>
      <c r="E43" s="89" t="s">
        <v>163</v>
      </c>
      <c r="F43" s="6" t="s">
        <v>163</v>
      </c>
      <c r="G43" s="6" t="s">
        <v>171</v>
      </c>
      <c r="H43" s="12" t="s">
        <v>172</v>
      </c>
      <c r="I43" s="8" t="s">
        <v>173</v>
      </c>
      <c r="J43" s="10" t="s">
        <v>174</v>
      </c>
      <c r="K43" s="65">
        <v>176416000</v>
      </c>
      <c r="L43" s="65">
        <v>4734324</v>
      </c>
      <c r="M43" s="79">
        <v>0</v>
      </c>
      <c r="N43" s="60">
        <f t="shared" si="3"/>
        <v>176416000</v>
      </c>
      <c r="O43" s="60">
        <v>102697920.59999999</v>
      </c>
      <c r="P43" s="60">
        <f t="shared" si="10"/>
        <v>102697920.59999999</v>
      </c>
      <c r="Q43" s="56">
        <f t="shared" si="6"/>
        <v>103262607.5323</v>
      </c>
      <c r="R43" s="60">
        <v>139730200.71000001</v>
      </c>
      <c r="S43" s="60">
        <v>67602516.140000001</v>
      </c>
      <c r="T43" s="60">
        <v>14602715.43</v>
      </c>
      <c r="U43" s="61">
        <v>0.62170000000000003</v>
      </c>
      <c r="V43" s="98">
        <v>1</v>
      </c>
      <c r="W43" s="98">
        <v>0.48100000000000004</v>
      </c>
      <c r="X43" s="97">
        <f t="shared" si="7"/>
        <v>-0.14069999999999999</v>
      </c>
      <c r="Y43" s="60">
        <v>103262607.5323</v>
      </c>
      <c r="Z43" s="60">
        <f t="shared" si="11"/>
        <v>67602516.140000001</v>
      </c>
      <c r="AA43" s="62">
        <v>0.13039999999999999</v>
      </c>
      <c r="AB43" s="62">
        <f t="shared" si="8"/>
        <v>0.20795052200480676</v>
      </c>
      <c r="AC43" s="60">
        <v>23010783</v>
      </c>
      <c r="AD43" s="60">
        <f t="shared" si="4"/>
        <v>36685799.289999992</v>
      </c>
      <c r="AE43" s="28"/>
    </row>
    <row r="44" spans="1:32" ht="36" x14ac:dyDescent="0.35">
      <c r="A44" s="45" t="s">
        <v>29</v>
      </c>
      <c r="C44" s="26">
        <f t="shared" si="9"/>
        <v>40</v>
      </c>
      <c r="D44" s="6" t="s">
        <v>108</v>
      </c>
      <c r="E44" s="89" t="s">
        <v>163</v>
      </c>
      <c r="F44" s="6" t="s">
        <v>163</v>
      </c>
      <c r="G44" s="6" t="s">
        <v>175</v>
      </c>
      <c r="H44" s="12" t="s">
        <v>176</v>
      </c>
      <c r="I44" s="8" t="s">
        <v>80</v>
      </c>
      <c r="J44" s="24" t="s">
        <v>177</v>
      </c>
      <c r="K44" s="65">
        <v>122169900</v>
      </c>
      <c r="L44" s="65"/>
      <c r="M44" s="79">
        <v>0</v>
      </c>
      <c r="N44" s="60">
        <f t="shared" si="3"/>
        <v>122169900</v>
      </c>
      <c r="O44" s="60">
        <v>52976660.969999999</v>
      </c>
      <c r="P44" s="60">
        <f t="shared" si="10"/>
        <v>52976660.969999999</v>
      </c>
      <c r="Q44" s="56">
        <v>47873053.58160001</v>
      </c>
      <c r="R44" s="60">
        <v>106344412.52</v>
      </c>
      <c r="S44" s="60">
        <v>33397052.550000001</v>
      </c>
      <c r="T44" s="60">
        <v>25609552.77</v>
      </c>
      <c r="U44" s="61">
        <v>0.29210265593232937</v>
      </c>
      <c r="V44" s="98">
        <v>0.42</v>
      </c>
      <c r="W44" s="98">
        <v>0.28029999999999999</v>
      </c>
      <c r="X44" s="97">
        <f t="shared" si="7"/>
        <v>-1.1802655932329376E-2</v>
      </c>
      <c r="Y44" s="60">
        <v>47873053.58160001</v>
      </c>
      <c r="Z44" s="60">
        <f t="shared" si="11"/>
        <v>33397052.550000001</v>
      </c>
      <c r="AA44" s="62">
        <v>0.1295</v>
      </c>
      <c r="AB44" s="62">
        <f t="shared" si="8"/>
        <v>0.12953671468995231</v>
      </c>
      <c r="AC44" s="60">
        <v>15825987.479999989</v>
      </c>
      <c r="AD44" s="60">
        <f t="shared" si="4"/>
        <v>15825487.480000006</v>
      </c>
      <c r="AE44" s="74"/>
      <c r="AF44" s="41"/>
    </row>
    <row r="45" spans="1:32" ht="36" x14ac:dyDescent="0.35">
      <c r="A45" s="45" t="s">
        <v>29</v>
      </c>
      <c r="C45" s="26">
        <f t="shared" si="9"/>
        <v>41</v>
      </c>
      <c r="D45" s="6" t="s">
        <v>108</v>
      </c>
      <c r="E45" s="9" t="s">
        <v>178</v>
      </c>
      <c r="F45" s="6" t="s">
        <v>178</v>
      </c>
      <c r="G45" s="6" t="s">
        <v>179</v>
      </c>
      <c r="H45" s="12" t="s">
        <v>180</v>
      </c>
      <c r="I45" s="8" t="s">
        <v>181</v>
      </c>
      <c r="J45" s="6" t="s">
        <v>182</v>
      </c>
      <c r="K45" s="66">
        <v>522306062</v>
      </c>
      <c r="L45" s="66">
        <v>0</v>
      </c>
      <c r="M45" s="79">
        <v>0</v>
      </c>
      <c r="N45" s="60">
        <f t="shared" si="3"/>
        <v>522306062</v>
      </c>
      <c r="O45" s="60">
        <v>463197875.824</v>
      </c>
      <c r="P45" s="60">
        <v>411024102.62400001</v>
      </c>
      <c r="Q45" s="56">
        <v>310575728.36688</v>
      </c>
      <c r="R45" s="60">
        <v>324874550.98000002</v>
      </c>
      <c r="S45" s="60">
        <v>298955885.16000003</v>
      </c>
      <c r="T45" s="60">
        <v>4517261.2300000004</v>
      </c>
      <c r="U45" s="61">
        <v>0.9925325441181978</v>
      </c>
      <c r="V45" s="98">
        <v>1</v>
      </c>
      <c r="W45" s="98">
        <v>0.91720000000000002</v>
      </c>
      <c r="X45" s="97">
        <f t="shared" si="7"/>
        <v>-7.5332544118197786E-2</v>
      </c>
      <c r="Y45" s="60">
        <v>361704502</v>
      </c>
      <c r="Z45" s="60">
        <f t="shared" si="11"/>
        <v>298955885.16000003</v>
      </c>
      <c r="AA45" s="62">
        <v>7.4099999999999999E-2</v>
      </c>
      <c r="AB45" s="62">
        <f t="shared" si="8"/>
        <v>0.37799965457800866</v>
      </c>
      <c r="AC45" s="60">
        <v>38702879</v>
      </c>
      <c r="AD45" s="60">
        <f t="shared" si="4"/>
        <v>197431511.01999998</v>
      </c>
      <c r="AE45" s="28" t="s">
        <v>183</v>
      </c>
    </row>
    <row r="46" spans="1:32" ht="36" x14ac:dyDescent="0.35">
      <c r="A46" s="45" t="s">
        <v>29</v>
      </c>
      <c r="B46" t="s">
        <v>69</v>
      </c>
      <c r="C46" s="26">
        <f t="shared" si="9"/>
        <v>42</v>
      </c>
      <c r="D46" s="6" t="s">
        <v>108</v>
      </c>
      <c r="E46" s="9" t="s">
        <v>31</v>
      </c>
      <c r="F46" s="6" t="s">
        <v>64</v>
      </c>
      <c r="G46" s="6" t="s">
        <v>184</v>
      </c>
      <c r="H46" s="12" t="s">
        <v>185</v>
      </c>
      <c r="I46" s="8" t="s">
        <v>186</v>
      </c>
      <c r="J46" s="10" t="s">
        <v>121</v>
      </c>
      <c r="K46" s="65">
        <v>168310428</v>
      </c>
      <c r="L46" s="65"/>
      <c r="M46" s="79">
        <v>0</v>
      </c>
      <c r="N46" s="60">
        <f t="shared" si="3"/>
        <v>168310428</v>
      </c>
      <c r="O46" s="60">
        <v>86215796.480000004</v>
      </c>
      <c r="P46" s="60">
        <v>55484993</v>
      </c>
      <c r="Q46" s="56">
        <f t="shared" si="6"/>
        <v>43488747.033500001</v>
      </c>
      <c r="R46" s="60">
        <v>146397893.75999999</v>
      </c>
      <c r="S46" s="60">
        <v>32758459.02</v>
      </c>
      <c r="T46" s="60">
        <v>52283239.950000003</v>
      </c>
      <c r="U46" s="61">
        <v>0.23899999999999999</v>
      </c>
      <c r="V46" s="98">
        <v>0.5</v>
      </c>
      <c r="W46" s="98">
        <v>0.1865</v>
      </c>
      <c r="X46" s="97">
        <f t="shared" si="7"/>
        <v>-5.2499999999999991E-2</v>
      </c>
      <c r="Y46" s="60">
        <v>43488747.033500001</v>
      </c>
      <c r="Z46" s="60">
        <v>35445893.140434802</v>
      </c>
      <c r="AA46" s="62">
        <v>0.13039999999999999</v>
      </c>
      <c r="AB46" s="62">
        <f t="shared" si="8"/>
        <v>0.13019118601492718</v>
      </c>
      <c r="AC46" s="60">
        <f>AA46*N46</f>
        <v>21947679.811199997</v>
      </c>
      <c r="AD46" s="60">
        <f>AB46*N46</f>
        <v>21912534.24000001</v>
      </c>
      <c r="AE46" s="28"/>
    </row>
    <row r="47" spans="1:32" ht="31.15" customHeight="1" x14ac:dyDescent="0.35">
      <c r="A47" s="45" t="s">
        <v>29</v>
      </c>
      <c r="C47" s="26">
        <f t="shared" si="9"/>
        <v>43</v>
      </c>
      <c r="D47" s="6" t="s">
        <v>108</v>
      </c>
      <c r="E47" s="9" t="s">
        <v>178</v>
      </c>
      <c r="F47" s="6" t="s">
        <v>178</v>
      </c>
      <c r="G47" s="6" t="s">
        <v>187</v>
      </c>
      <c r="H47" s="12" t="s">
        <v>188</v>
      </c>
      <c r="I47" s="8" t="s">
        <v>189</v>
      </c>
      <c r="J47" s="6" t="s">
        <v>182</v>
      </c>
      <c r="K47" s="65">
        <v>432362000</v>
      </c>
      <c r="L47" s="65">
        <v>3117500</v>
      </c>
      <c r="M47" s="65">
        <v>3117500</v>
      </c>
      <c r="N47" s="60">
        <f t="shared" si="3"/>
        <v>435479500</v>
      </c>
      <c r="O47" s="60">
        <v>224803897.59999999</v>
      </c>
      <c r="P47" s="60">
        <v>110130259.86</v>
      </c>
      <c r="Q47" s="56">
        <v>89192525</v>
      </c>
      <c r="R47" s="60">
        <v>394726635.87</v>
      </c>
      <c r="S47" s="60">
        <v>124043236.06999999</v>
      </c>
      <c r="T47" s="60">
        <v>145192475.66999999</v>
      </c>
      <c r="U47" s="61">
        <v>0.40618164772803156</v>
      </c>
      <c r="V47" s="98">
        <v>0.72375794442268693</v>
      </c>
      <c r="W47" s="98">
        <v>0.2626</v>
      </c>
      <c r="X47" s="97">
        <f t="shared" si="7"/>
        <v>-0.14358164772803156</v>
      </c>
      <c r="Y47" s="60">
        <v>89192525</v>
      </c>
      <c r="Z47" s="60">
        <f t="shared" si="11"/>
        <v>124043236.06999999</v>
      </c>
      <c r="AA47" s="62">
        <v>6.54E-2</v>
      </c>
      <c r="AB47" s="62">
        <f t="shared" si="8"/>
        <v>9.3581590247072466E-2</v>
      </c>
      <c r="AC47" s="60">
        <v>28276475</v>
      </c>
      <c r="AD47" s="60">
        <f t="shared" si="4"/>
        <v>40752864.129999995</v>
      </c>
      <c r="AE47" s="28"/>
    </row>
    <row r="48" spans="1:32" ht="36" x14ac:dyDescent="0.35">
      <c r="A48" s="45" t="s">
        <v>29</v>
      </c>
      <c r="B48" t="s">
        <v>69</v>
      </c>
      <c r="C48" s="26">
        <f t="shared" si="9"/>
        <v>44</v>
      </c>
      <c r="D48" s="6" t="s">
        <v>108</v>
      </c>
      <c r="E48" s="9" t="s">
        <v>31</v>
      </c>
      <c r="F48" s="6" t="s">
        <v>64</v>
      </c>
      <c r="G48" s="115" t="s">
        <v>190</v>
      </c>
      <c r="H48" s="19" t="s">
        <v>191</v>
      </c>
      <c r="I48" s="8" t="s">
        <v>86</v>
      </c>
      <c r="J48" s="10" t="s">
        <v>81</v>
      </c>
      <c r="K48" s="65">
        <v>110239453</v>
      </c>
      <c r="L48" s="65"/>
      <c r="M48" s="79">
        <v>0</v>
      </c>
      <c r="N48" s="60">
        <f t="shared" si="3"/>
        <v>110239453</v>
      </c>
      <c r="O48" s="60">
        <v>8447743</v>
      </c>
      <c r="P48" s="60">
        <v>6328855</v>
      </c>
      <c r="Q48" s="56">
        <f t="shared" si="6"/>
        <v>10803801.399999999</v>
      </c>
      <c r="R48" s="60">
        <v>102076167.06999999</v>
      </c>
      <c r="S48" s="60">
        <v>7108037.46</v>
      </c>
      <c r="T48" s="60">
        <v>68900629.400000006</v>
      </c>
      <c r="U48" s="61">
        <v>0.26079999999999998</v>
      </c>
      <c r="V48" s="99">
        <v>0.55000000000000004</v>
      </c>
      <c r="W48" s="98">
        <v>4.48E-2</v>
      </c>
      <c r="X48" s="97">
        <f t="shared" si="7"/>
        <v>-0.21599999999999997</v>
      </c>
      <c r="Y48" s="60">
        <v>10803801.399999999</v>
      </c>
      <c r="Z48" s="60">
        <v>10134284</v>
      </c>
      <c r="AA48" s="62">
        <v>7.4099999999999999E-2</v>
      </c>
      <c r="AB48" s="62">
        <f t="shared" si="8"/>
        <v>7.4050493791909575E-2</v>
      </c>
      <c r="AC48" s="60">
        <v>8168743</v>
      </c>
      <c r="AD48" s="60">
        <f t="shared" si="4"/>
        <v>8163285.9300000072</v>
      </c>
      <c r="AE48" s="31"/>
    </row>
    <row r="49" spans="1:31" ht="54" x14ac:dyDescent="0.35">
      <c r="A49" s="45" t="s">
        <v>29</v>
      </c>
      <c r="B49" t="s">
        <v>69</v>
      </c>
      <c r="C49" s="26">
        <f t="shared" si="9"/>
        <v>45</v>
      </c>
      <c r="D49" s="6" t="s">
        <v>108</v>
      </c>
      <c r="E49" s="9" t="s">
        <v>31</v>
      </c>
      <c r="F49" s="6" t="s">
        <v>192</v>
      </c>
      <c r="G49" s="6" t="s">
        <v>193</v>
      </c>
      <c r="H49" s="20" t="s">
        <v>194</v>
      </c>
      <c r="I49" s="8" t="s">
        <v>52</v>
      </c>
      <c r="J49" s="10" t="s">
        <v>72</v>
      </c>
      <c r="K49" s="67">
        <v>121779924</v>
      </c>
      <c r="L49" s="65">
        <v>0</v>
      </c>
      <c r="M49" s="79">
        <v>0</v>
      </c>
      <c r="N49" s="60">
        <f t="shared" si="3"/>
        <v>121779924</v>
      </c>
      <c r="O49" s="60">
        <v>12015009.43344</v>
      </c>
      <c r="P49" s="60">
        <f t="shared" si="10"/>
        <v>12015009.43344</v>
      </c>
      <c r="Q49" s="56">
        <f t="shared" si="6"/>
        <v>11934596.32</v>
      </c>
      <c r="R49" s="60">
        <v>112758346.68000001</v>
      </c>
      <c r="S49" s="60">
        <v>12732354.67</v>
      </c>
      <c r="T49" s="60">
        <v>69974600.739999995</v>
      </c>
      <c r="U49" s="61">
        <v>0.10539999999999999</v>
      </c>
      <c r="V49" s="98">
        <v>0.5</v>
      </c>
      <c r="W49" s="98">
        <v>0.10539999999999999</v>
      </c>
      <c r="X49" s="97">
        <f t="shared" si="7"/>
        <v>0</v>
      </c>
      <c r="Y49" s="60">
        <v>11934596.32</v>
      </c>
      <c r="Z49" s="60">
        <f t="shared" si="11"/>
        <v>12732354.67</v>
      </c>
      <c r="AA49" s="62">
        <v>7.4099999999999999E-2</v>
      </c>
      <c r="AB49" s="62">
        <f t="shared" si="8"/>
        <v>7.4080989901093977E-2</v>
      </c>
      <c r="AC49" s="60">
        <v>9021577</v>
      </c>
      <c r="AD49" s="60">
        <f t="shared" si="4"/>
        <v>9021577.3199999928</v>
      </c>
      <c r="AE49" s="32"/>
    </row>
    <row r="50" spans="1:31" ht="54" x14ac:dyDescent="0.35">
      <c r="A50" s="45" t="s">
        <v>29</v>
      </c>
      <c r="B50" t="s">
        <v>69</v>
      </c>
      <c r="C50" s="26">
        <f t="shared" si="9"/>
        <v>46</v>
      </c>
      <c r="D50" s="6" t="s">
        <v>108</v>
      </c>
      <c r="E50" s="14" t="s">
        <v>31</v>
      </c>
      <c r="F50" s="6" t="s">
        <v>64</v>
      </c>
      <c r="G50" s="6" t="s">
        <v>195</v>
      </c>
      <c r="H50" s="47" t="s">
        <v>196</v>
      </c>
      <c r="I50" s="8" t="s">
        <v>67</v>
      </c>
      <c r="J50" s="17" t="s">
        <v>197</v>
      </c>
      <c r="K50" s="67">
        <v>103814627</v>
      </c>
      <c r="L50" s="65">
        <v>0</v>
      </c>
      <c r="M50" s="79">
        <v>0</v>
      </c>
      <c r="N50" s="60">
        <f t="shared" si="3"/>
        <v>103814627</v>
      </c>
      <c r="O50" s="60">
        <v>5386589</v>
      </c>
      <c r="P50" s="60">
        <f>+O50</f>
        <v>5386589</v>
      </c>
      <c r="Q50" s="95">
        <v>11694402</v>
      </c>
      <c r="R50" s="60">
        <v>95242778.150000006</v>
      </c>
      <c r="S50" s="60">
        <v>4207454</v>
      </c>
      <c r="T50" s="60">
        <v>63822107.68</v>
      </c>
      <c r="U50" s="61">
        <v>6.9900000000000004E-2</v>
      </c>
      <c r="V50" s="99">
        <v>0.294615780067088</v>
      </c>
      <c r="W50" s="98">
        <v>3.9100000000000003E-2</v>
      </c>
      <c r="X50" s="97">
        <f t="shared" si="7"/>
        <v>-3.0800000000000001E-2</v>
      </c>
      <c r="Y50" s="60">
        <v>11694402</v>
      </c>
      <c r="Z50" s="60">
        <v>6244377</v>
      </c>
      <c r="AA50" s="62">
        <v>8.2600000000000007E-2</v>
      </c>
      <c r="AB50" s="62">
        <f t="shared" si="8"/>
        <v>8.2568796880616774E-2</v>
      </c>
      <c r="AC50" s="60">
        <v>8571850</v>
      </c>
      <c r="AD50" s="60">
        <f>+N50*AB50</f>
        <v>8571848.849999994</v>
      </c>
      <c r="AE50" s="48"/>
    </row>
    <row r="51" spans="1:31" ht="36" x14ac:dyDescent="0.35">
      <c r="A51" s="45" t="s">
        <v>29</v>
      </c>
      <c r="B51" t="s">
        <v>69</v>
      </c>
      <c r="C51" s="26">
        <f t="shared" si="9"/>
        <v>47</v>
      </c>
      <c r="D51" s="6" t="s">
        <v>108</v>
      </c>
      <c r="E51" s="14" t="s">
        <v>198</v>
      </c>
      <c r="F51" s="6" t="s">
        <v>199</v>
      </c>
      <c r="G51" s="6" t="s">
        <v>200</v>
      </c>
      <c r="H51" s="47" t="s">
        <v>201</v>
      </c>
      <c r="I51" s="8" t="s">
        <v>154</v>
      </c>
      <c r="J51" s="17" t="s">
        <v>117</v>
      </c>
      <c r="K51" s="67">
        <v>236924477</v>
      </c>
      <c r="L51" s="65"/>
      <c r="M51" s="79">
        <v>0</v>
      </c>
      <c r="N51" s="60">
        <f t="shared" si="3"/>
        <v>236924477</v>
      </c>
      <c r="O51" s="59">
        <v>7451413.4000000004</v>
      </c>
      <c r="P51" s="60">
        <f t="shared" si="10"/>
        <v>7451413.4000000004</v>
      </c>
      <c r="Q51" s="56">
        <f t="shared" si="6"/>
        <v>0</v>
      </c>
      <c r="R51" s="60">
        <v>218363573.53999999</v>
      </c>
      <c r="S51" s="60">
        <v>2617071</v>
      </c>
      <c r="T51" s="60">
        <v>93766779</v>
      </c>
      <c r="U51" s="61">
        <v>2.4E-2</v>
      </c>
      <c r="V51" s="99">
        <v>7.2999999999999995E-2</v>
      </c>
      <c r="W51" s="98">
        <v>1.2999999999999999E-2</v>
      </c>
      <c r="X51" s="97">
        <f t="shared" si="7"/>
        <v>-1.1000000000000001E-2</v>
      </c>
      <c r="Y51" s="59">
        <v>0</v>
      </c>
      <c r="Z51" s="60">
        <v>8102386</v>
      </c>
      <c r="AA51" s="62">
        <v>7.8341012693255871E-2</v>
      </c>
      <c r="AB51" s="62">
        <f t="shared" si="8"/>
        <v>7.8341012693255871E-2</v>
      </c>
      <c r="AC51" s="60">
        <f>AA51*N51</f>
        <v>18560903.460000008</v>
      </c>
      <c r="AD51" s="60">
        <f>AB51*N51</f>
        <v>18560903.460000008</v>
      </c>
      <c r="AE51" s="33"/>
    </row>
    <row r="52" spans="1:31" ht="36" x14ac:dyDescent="0.35">
      <c r="A52" s="45" t="s">
        <v>29</v>
      </c>
      <c r="C52" s="26">
        <f t="shared" si="9"/>
        <v>48</v>
      </c>
      <c r="D52" s="6" t="s">
        <v>108</v>
      </c>
      <c r="E52" s="14" t="s">
        <v>163</v>
      </c>
      <c r="F52" s="6" t="s">
        <v>163</v>
      </c>
      <c r="G52" s="6" t="s">
        <v>202</v>
      </c>
      <c r="H52" s="21" t="s">
        <v>203</v>
      </c>
      <c r="I52" s="8" t="s">
        <v>67</v>
      </c>
      <c r="J52" s="24" t="s">
        <v>177</v>
      </c>
      <c r="K52" s="67">
        <v>204670557</v>
      </c>
      <c r="L52" s="65">
        <v>0</v>
      </c>
      <c r="M52" s="79">
        <v>0</v>
      </c>
      <c r="N52" s="60">
        <f t="shared" si="3"/>
        <v>204670557</v>
      </c>
      <c r="O52" s="60">
        <v>2749442</v>
      </c>
      <c r="P52" s="60">
        <f t="shared" si="10"/>
        <v>2749442</v>
      </c>
      <c r="Q52" s="56">
        <v>21567927</v>
      </c>
      <c r="R52" s="60">
        <v>177975988.31999999</v>
      </c>
      <c r="S52" s="60">
        <v>5061427.91</v>
      </c>
      <c r="T52" s="60">
        <v>90972460.409999996</v>
      </c>
      <c r="U52" s="61">
        <v>3.6999999999999998E-2</v>
      </c>
      <c r="V52" s="99">
        <v>0.3</v>
      </c>
      <c r="W52" s="98">
        <v>5.1000000000000004E-3</v>
      </c>
      <c r="X52" s="97">
        <f t="shared" si="7"/>
        <v>-3.1899999999999998E-2</v>
      </c>
      <c r="Y52" s="60">
        <v>21567927.34</v>
      </c>
      <c r="Z52" s="60">
        <f t="shared" si="11"/>
        <v>5061427.91</v>
      </c>
      <c r="AA52" s="62">
        <v>0.13039999999999999</v>
      </c>
      <c r="AB52" s="62">
        <f t="shared" si="8"/>
        <v>0.13042700948920566</v>
      </c>
      <c r="AC52" s="60">
        <v>26694569</v>
      </c>
      <c r="AD52" s="60">
        <f t="shared" si="4"/>
        <v>26694568.680000007</v>
      </c>
      <c r="AE52" s="33"/>
    </row>
    <row r="53" spans="1:31" ht="47.25" x14ac:dyDescent="0.35">
      <c r="A53" s="45" t="s">
        <v>29</v>
      </c>
      <c r="B53" t="s">
        <v>69</v>
      </c>
      <c r="C53" s="26">
        <f t="shared" si="9"/>
        <v>49</v>
      </c>
      <c r="D53" s="6" t="s">
        <v>108</v>
      </c>
      <c r="E53" s="14" t="s">
        <v>31</v>
      </c>
      <c r="F53" s="6" t="s">
        <v>100</v>
      </c>
      <c r="G53" s="6" t="s">
        <v>204</v>
      </c>
      <c r="H53" s="21" t="s">
        <v>205</v>
      </c>
      <c r="I53" s="8" t="s">
        <v>206</v>
      </c>
      <c r="J53" s="24" t="s">
        <v>149</v>
      </c>
      <c r="K53" s="65">
        <v>505052515</v>
      </c>
      <c r="L53" s="65"/>
      <c r="M53" s="79">
        <v>0</v>
      </c>
      <c r="N53" s="60">
        <f t="shared" si="3"/>
        <v>505052515</v>
      </c>
      <c r="O53" s="60">
        <v>22770359</v>
      </c>
      <c r="P53" s="60">
        <f t="shared" si="10"/>
        <v>22770359</v>
      </c>
      <c r="Q53" s="56">
        <f t="shared" si="6"/>
        <v>49472252</v>
      </c>
      <c r="R53" s="60">
        <v>476464636.67000002</v>
      </c>
      <c r="S53" s="60">
        <v>29661850</v>
      </c>
      <c r="T53" s="60">
        <v>300797346</v>
      </c>
      <c r="U53" s="61">
        <v>8.2000000000000003E-2</v>
      </c>
      <c r="V53" s="99">
        <v>0.1463593028549427</v>
      </c>
      <c r="W53" s="98">
        <v>3.5000000000000003E-2</v>
      </c>
      <c r="X53" s="97">
        <f t="shared" si="7"/>
        <v>-4.7E-2</v>
      </c>
      <c r="Y53" s="59">
        <v>49472252</v>
      </c>
      <c r="Z53" s="60">
        <v>43373016</v>
      </c>
      <c r="AA53" s="62">
        <v>5.6599999999999998E-2</v>
      </c>
      <c r="AB53" s="62">
        <f t="shared" si="8"/>
        <v>5.6603773827361266E-2</v>
      </c>
      <c r="AC53" s="60">
        <v>28587878</v>
      </c>
      <c r="AD53" s="60">
        <f t="shared" si="4"/>
        <v>28587878.329999983</v>
      </c>
      <c r="AE53" s="33"/>
    </row>
    <row r="54" spans="1:31" ht="36" x14ac:dyDescent="0.35">
      <c r="A54" s="45" t="s">
        <v>29</v>
      </c>
      <c r="B54" t="s">
        <v>69</v>
      </c>
      <c r="C54" s="26">
        <f t="shared" si="9"/>
        <v>50</v>
      </c>
      <c r="D54" s="6" t="s">
        <v>108</v>
      </c>
      <c r="E54" s="14" t="s">
        <v>31</v>
      </c>
      <c r="F54" s="6" t="s">
        <v>100</v>
      </c>
      <c r="G54" s="115" t="s">
        <v>207</v>
      </c>
      <c r="H54" s="21" t="s">
        <v>208</v>
      </c>
      <c r="I54" s="8" t="s">
        <v>89</v>
      </c>
      <c r="J54" s="17" t="s">
        <v>145</v>
      </c>
      <c r="K54" s="65">
        <v>467466515</v>
      </c>
      <c r="L54" s="65">
        <v>0</v>
      </c>
      <c r="M54" s="79">
        <v>0</v>
      </c>
      <c r="N54" s="60">
        <f t="shared" si="3"/>
        <v>467466515</v>
      </c>
      <c r="O54" s="60">
        <v>55568352.600000001</v>
      </c>
      <c r="P54" s="60">
        <f t="shared" si="10"/>
        <v>55568352.600000001</v>
      </c>
      <c r="Q54" s="56">
        <f t="shared" si="6"/>
        <v>45788823.5</v>
      </c>
      <c r="R54" s="60">
        <v>441006145.98000002</v>
      </c>
      <c r="S54" s="60">
        <v>22761530.91</v>
      </c>
      <c r="T54" s="60">
        <v>246885846.72</v>
      </c>
      <c r="U54" s="61">
        <v>7.0000000000000007E-2</v>
      </c>
      <c r="V54" s="99">
        <v>0.15</v>
      </c>
      <c r="W54" s="98">
        <v>4.1399999999999999E-2</v>
      </c>
      <c r="X54" s="97">
        <f t="shared" si="7"/>
        <v>-2.8600000000000007E-2</v>
      </c>
      <c r="Y54" s="60">
        <v>45788823.5</v>
      </c>
      <c r="Z54" s="60">
        <v>34326820.314347804</v>
      </c>
      <c r="AA54" s="62">
        <v>5.6599999999999998E-2</v>
      </c>
      <c r="AB54" s="62">
        <f t="shared" si="8"/>
        <v>5.6603774112034488E-2</v>
      </c>
      <c r="AC54" s="60">
        <v>26458605</v>
      </c>
      <c r="AD54" s="60">
        <f t="shared" si="4"/>
        <v>26460369.019999981</v>
      </c>
      <c r="AE54" s="33"/>
    </row>
    <row r="55" spans="1:31" ht="36" x14ac:dyDescent="0.35">
      <c r="A55" s="45" t="s">
        <v>29</v>
      </c>
      <c r="B55" s="45"/>
      <c r="C55" s="26">
        <f t="shared" si="9"/>
        <v>51</v>
      </c>
      <c r="D55" s="6" t="s">
        <v>108</v>
      </c>
      <c r="E55" s="43" t="s">
        <v>31</v>
      </c>
      <c r="F55" s="6" t="s">
        <v>64</v>
      </c>
      <c r="G55" s="114" t="s">
        <v>209</v>
      </c>
      <c r="H55" s="44" t="s">
        <v>210</v>
      </c>
      <c r="I55" s="8" t="s">
        <v>211</v>
      </c>
      <c r="J55" s="10" t="s">
        <v>81</v>
      </c>
      <c r="K55" s="65">
        <v>111410000</v>
      </c>
      <c r="L55" s="65"/>
      <c r="M55" s="79">
        <v>0</v>
      </c>
      <c r="N55" s="60">
        <f t="shared" si="3"/>
        <v>111410000</v>
      </c>
      <c r="O55" s="59">
        <v>0</v>
      </c>
      <c r="P55" s="60">
        <f t="shared" si="10"/>
        <v>0</v>
      </c>
      <c r="Q55" s="56">
        <f t="shared" si="6"/>
        <v>0</v>
      </c>
      <c r="R55" s="60">
        <v>89127999.870000005</v>
      </c>
      <c r="S55" s="60">
        <v>97712.79</v>
      </c>
      <c r="T55" s="60">
        <v>31258870.640000001</v>
      </c>
      <c r="U55" s="61">
        <v>5.1999999999999998E-2</v>
      </c>
      <c r="V55" s="99">
        <v>0.33</v>
      </c>
      <c r="W55" s="98">
        <v>4.0000000000000002E-4</v>
      </c>
      <c r="X55" s="97">
        <f t="shared" si="7"/>
        <v>-5.16E-2</v>
      </c>
      <c r="Y55" s="59">
        <v>0</v>
      </c>
      <c r="Z55" s="60">
        <v>1039569</v>
      </c>
      <c r="AA55" s="62">
        <v>0.2</v>
      </c>
      <c r="AB55" s="62">
        <f t="shared" si="8"/>
        <v>0.20000000116686109</v>
      </c>
      <c r="AC55" s="60">
        <v>22282000</v>
      </c>
      <c r="AD55" s="60">
        <f t="shared" si="4"/>
        <v>22282000.129999995</v>
      </c>
      <c r="AE55" s="34"/>
    </row>
    <row r="56" spans="1:31" s="111" customFormat="1" ht="36" x14ac:dyDescent="0.35">
      <c r="A56" s="110"/>
      <c r="B56" s="110"/>
      <c r="C56" s="109">
        <f t="shared" si="9"/>
        <v>52</v>
      </c>
      <c r="D56" s="6" t="s">
        <v>108</v>
      </c>
      <c r="E56" s="43" t="s">
        <v>31</v>
      </c>
      <c r="F56" s="6" t="s">
        <v>100</v>
      </c>
      <c r="G56" s="114" t="s">
        <v>212</v>
      </c>
      <c r="H56" s="44" t="s">
        <v>213</v>
      </c>
      <c r="I56" s="8" t="s">
        <v>35</v>
      </c>
      <c r="J56" s="10" t="s">
        <v>43</v>
      </c>
      <c r="K56" s="65">
        <v>619500000</v>
      </c>
      <c r="L56" s="65"/>
      <c r="M56" s="79">
        <v>0</v>
      </c>
      <c r="N56" s="60">
        <f t="shared" si="3"/>
        <v>619500000</v>
      </c>
      <c r="O56" s="59">
        <v>0</v>
      </c>
      <c r="P56" s="60">
        <f t="shared" ref="P56" si="12">+O56</f>
        <v>0</v>
      </c>
      <c r="Q56" s="56">
        <f t="shared" ref="Q56" si="13">+Y56</f>
        <v>0</v>
      </c>
      <c r="R56" s="60">
        <v>582079445.61000001</v>
      </c>
      <c r="S56" s="60">
        <v>83230.5</v>
      </c>
      <c r="T56" s="60">
        <v>0</v>
      </c>
      <c r="U56" s="61"/>
      <c r="V56" s="99"/>
      <c r="W56" s="98">
        <v>1E-4</v>
      </c>
      <c r="X56" s="97">
        <f t="shared" si="7"/>
        <v>1E-4</v>
      </c>
      <c r="Y56" s="59">
        <v>0</v>
      </c>
      <c r="Z56" s="60">
        <v>0</v>
      </c>
      <c r="AA56" s="62">
        <v>6.0999999999999999E-2</v>
      </c>
      <c r="AB56" s="62">
        <f t="shared" ref="AB56" si="14">+(N56-R56)/N56</f>
        <v>6.0404446150121041E-2</v>
      </c>
      <c r="AC56" s="60">
        <f>+N56*AA56</f>
        <v>37789500</v>
      </c>
      <c r="AD56" s="60">
        <f>+N56*AB56</f>
        <v>37420554.389999986</v>
      </c>
      <c r="AE56" s="34"/>
    </row>
    <row r="57" spans="1:31" ht="32.25" x14ac:dyDescent="0.35">
      <c r="A57" s="45"/>
      <c r="B57" s="45"/>
      <c r="C57" s="109">
        <f t="shared" si="9"/>
        <v>53</v>
      </c>
      <c r="D57" s="6" t="s">
        <v>108</v>
      </c>
      <c r="E57" s="43"/>
      <c r="F57" s="6"/>
      <c r="G57" s="114" t="s">
        <v>214</v>
      </c>
      <c r="H57" s="112" t="s">
        <v>215</v>
      </c>
      <c r="I57" s="8" t="s">
        <v>170</v>
      </c>
      <c r="J57" s="10"/>
      <c r="K57" s="65">
        <v>125693278</v>
      </c>
      <c r="L57" s="65"/>
      <c r="M57" s="79">
        <v>0</v>
      </c>
      <c r="N57" s="60">
        <f t="shared" si="3"/>
        <v>125693278</v>
      </c>
      <c r="O57" s="59"/>
      <c r="P57" s="60"/>
      <c r="Q57" s="56"/>
      <c r="R57" s="60"/>
      <c r="S57" s="60"/>
      <c r="T57" s="60"/>
      <c r="U57" s="61"/>
      <c r="V57" s="99"/>
      <c r="W57" s="98"/>
      <c r="X57" s="97"/>
      <c r="Y57" s="59"/>
      <c r="Z57" s="60"/>
      <c r="AA57" s="62"/>
      <c r="AB57" s="62"/>
      <c r="AC57" s="60"/>
      <c r="AD57" s="60"/>
      <c r="AE57" s="34"/>
    </row>
    <row r="58" spans="1:31" ht="32.25" x14ac:dyDescent="0.35">
      <c r="A58" s="45"/>
      <c r="B58" s="45"/>
      <c r="C58" s="109">
        <f t="shared" si="9"/>
        <v>54</v>
      </c>
      <c r="D58" s="6" t="s">
        <v>108</v>
      </c>
      <c r="E58" s="43"/>
      <c r="F58" s="6"/>
      <c r="G58" s="114" t="s">
        <v>216</v>
      </c>
      <c r="H58" s="113" t="s">
        <v>217</v>
      </c>
      <c r="I58" s="8" t="s">
        <v>52</v>
      </c>
      <c r="J58" s="24" t="s">
        <v>149</v>
      </c>
      <c r="K58" s="65">
        <v>104775000</v>
      </c>
      <c r="L58" s="65"/>
      <c r="M58" s="79">
        <v>0</v>
      </c>
      <c r="N58" s="60">
        <f t="shared" si="3"/>
        <v>104775000</v>
      </c>
      <c r="O58" s="59"/>
      <c r="P58" s="60"/>
      <c r="Q58" s="56"/>
      <c r="R58" s="60"/>
      <c r="S58" s="60"/>
      <c r="T58" s="60"/>
      <c r="U58" s="61"/>
      <c r="V58" s="99"/>
      <c r="W58" s="98"/>
      <c r="X58" s="97"/>
      <c r="Y58" s="59"/>
      <c r="Z58" s="60"/>
      <c r="AA58" s="62"/>
      <c r="AB58" s="62"/>
      <c r="AC58" s="60"/>
      <c r="AD58" s="60"/>
      <c r="AE58" s="34"/>
    </row>
    <row r="59" spans="1:31" ht="36" x14ac:dyDescent="0.35">
      <c r="A59" s="45" t="s">
        <v>29</v>
      </c>
      <c r="C59" s="109">
        <f t="shared" si="9"/>
        <v>55</v>
      </c>
      <c r="D59" s="6" t="s">
        <v>108</v>
      </c>
      <c r="E59" s="43"/>
      <c r="F59" s="6"/>
      <c r="G59" s="114" t="s">
        <v>218</v>
      </c>
      <c r="H59" s="113" t="s">
        <v>219</v>
      </c>
      <c r="I59" s="8" t="s">
        <v>76</v>
      </c>
      <c r="J59" s="10"/>
      <c r="K59" s="65">
        <v>391050000</v>
      </c>
      <c r="L59" s="65"/>
      <c r="M59" s="79">
        <v>0</v>
      </c>
      <c r="N59" s="60">
        <f t="shared" si="3"/>
        <v>391050000</v>
      </c>
      <c r="O59" s="59"/>
      <c r="P59" s="60"/>
      <c r="Q59" s="56"/>
      <c r="R59" s="60"/>
      <c r="S59" s="60"/>
      <c r="T59" s="60"/>
      <c r="U59" s="61"/>
      <c r="V59" s="99"/>
      <c r="W59" s="98"/>
      <c r="X59" s="97"/>
      <c r="Y59" s="59"/>
      <c r="Z59" s="60"/>
      <c r="AA59" s="62"/>
      <c r="AB59" s="62"/>
      <c r="AC59" s="60"/>
      <c r="AD59" s="60"/>
      <c r="AE59" s="34"/>
    </row>
    <row r="60" spans="1:31" ht="31.5" customHeight="1" x14ac:dyDescent="0.25">
      <c r="C60" s="49"/>
      <c r="D60" s="103"/>
      <c r="E60" s="102"/>
      <c r="F60" s="103"/>
      <c r="G60" s="103"/>
      <c r="H60" s="102" t="s">
        <v>220</v>
      </c>
      <c r="I60" s="102"/>
      <c r="J60" s="102"/>
      <c r="K60" s="104">
        <f t="shared" ref="K60" si="15">SUM(K61:K63)</f>
        <v>382840600</v>
      </c>
      <c r="L60" s="105">
        <f t="shared" ref="L60" si="16">SUM(L61:L63)</f>
        <v>0</v>
      </c>
      <c r="M60" s="106">
        <f t="shared" ref="M60" si="17">SUM(M61:M63)</f>
        <v>0</v>
      </c>
      <c r="N60" s="104">
        <f>+K60+M60</f>
        <v>382840600</v>
      </c>
      <c r="O60" s="104">
        <f t="shared" ref="O60:T60" si="18">SUM(O61:O63)</f>
        <v>225259885.45796978</v>
      </c>
      <c r="P60" s="104">
        <f t="shared" si="18"/>
        <v>172353252.64999998</v>
      </c>
      <c r="Q60" s="104">
        <f t="shared" si="18"/>
        <v>115110727.54979999</v>
      </c>
      <c r="R60" s="104">
        <f t="shared" si="18"/>
        <v>357912833.75</v>
      </c>
      <c r="S60" s="104">
        <f t="shared" si="18"/>
        <v>160657875.64999998</v>
      </c>
      <c r="T60" s="104">
        <f t="shared" si="18"/>
        <v>128757189.13</v>
      </c>
      <c r="U60" s="107">
        <f>+AVERAGE(U61:U63)</f>
        <v>0.85599999999999998</v>
      </c>
      <c r="V60" s="108">
        <f>+AVERAGE(V61:V63)</f>
        <v>0.94999999999999984</v>
      </c>
      <c r="W60" s="108">
        <f>+AVERAGE(W61:W63)</f>
        <v>0.38726889853299351</v>
      </c>
      <c r="X60" s="108">
        <f>+AVERAGE(X61:X63)</f>
        <v>-0.46873110146700653</v>
      </c>
      <c r="Y60" s="104">
        <f t="shared" ref="Y60:Z60" si="19">SUM(Y61:Y63)</f>
        <v>115110727.54979999</v>
      </c>
      <c r="Z60" s="104">
        <f t="shared" si="19"/>
        <v>171699870.68999997</v>
      </c>
      <c r="AA60" s="107">
        <f>+AVERAGE(AA61:AA63)</f>
        <v>0.10876666666666668</v>
      </c>
      <c r="AB60" s="107">
        <f>+AVERAGE(AB61:AB63)</f>
        <v>6.7133333333333337E-2</v>
      </c>
      <c r="AC60" s="104">
        <f t="shared" ref="AC60:AD60" si="20">SUM(AC61:AC63)</f>
        <v>41867052</v>
      </c>
      <c r="AD60" s="104">
        <f t="shared" si="20"/>
        <v>26006882</v>
      </c>
      <c r="AE60" s="127">
        <f>Y60-Z60</f>
        <v>-56589143.140199974</v>
      </c>
    </row>
    <row r="61" spans="1:31" ht="36" x14ac:dyDescent="0.35">
      <c r="A61" s="45" t="s">
        <v>29</v>
      </c>
      <c r="B61" t="s">
        <v>69</v>
      </c>
      <c r="C61" s="50">
        <f>C59+1</f>
        <v>56</v>
      </c>
      <c r="D61" s="6" t="s">
        <v>108</v>
      </c>
      <c r="E61" s="6" t="s">
        <v>221</v>
      </c>
      <c r="F61" s="6" t="s">
        <v>221</v>
      </c>
      <c r="G61" s="115" t="s">
        <v>222</v>
      </c>
      <c r="H61" s="12" t="s">
        <v>223</v>
      </c>
      <c r="I61" s="18" t="s">
        <v>224</v>
      </c>
      <c r="J61" s="6" t="s">
        <v>225</v>
      </c>
      <c r="K61" s="67">
        <v>126266000</v>
      </c>
      <c r="L61" s="65"/>
      <c r="M61" s="79">
        <v>0</v>
      </c>
      <c r="N61" s="60">
        <f t="shared" si="3"/>
        <v>126266000</v>
      </c>
      <c r="O61" s="82">
        <v>88094301.219999999</v>
      </c>
      <c r="P61" s="83">
        <v>72941522.170000002</v>
      </c>
      <c r="Q61" s="60">
        <v>55904070.936399996</v>
      </c>
      <c r="R61" s="60">
        <v>119159175.13</v>
      </c>
      <c r="S61" s="60">
        <v>66368713.159999996</v>
      </c>
      <c r="T61" s="60">
        <v>35888076.219999999</v>
      </c>
      <c r="U61" s="61">
        <v>0.85099999999999998</v>
      </c>
      <c r="V61" s="98">
        <v>0.95</v>
      </c>
      <c r="W61" s="98">
        <v>0.48510853549839322</v>
      </c>
      <c r="X61" s="97">
        <f t="shared" si="7"/>
        <v>-0.36589146450160676</v>
      </c>
      <c r="Y61" s="60">
        <v>55904070.936399996</v>
      </c>
      <c r="Z61" s="60">
        <v>62293668.493478246</v>
      </c>
      <c r="AA61" s="62">
        <v>9.9099999999999994E-2</v>
      </c>
      <c r="AB61" s="62">
        <v>5.6300000000000003E-2</v>
      </c>
      <c r="AC61" s="60">
        <v>12512982</v>
      </c>
      <c r="AD61" s="60">
        <v>7108825</v>
      </c>
      <c r="AE61" s="51"/>
    </row>
    <row r="62" spans="1:31" ht="36" x14ac:dyDescent="0.35">
      <c r="A62" s="45" t="s">
        <v>29</v>
      </c>
      <c r="B62" t="s">
        <v>69</v>
      </c>
      <c r="C62" s="50">
        <f>C61+1</f>
        <v>57</v>
      </c>
      <c r="D62" s="6" t="s">
        <v>108</v>
      </c>
      <c r="E62" s="6" t="s">
        <v>221</v>
      </c>
      <c r="F62" s="6" t="s">
        <v>221</v>
      </c>
      <c r="G62" s="115" t="s">
        <v>226</v>
      </c>
      <c r="H62" s="12" t="s">
        <v>227</v>
      </c>
      <c r="I62" s="18" t="s">
        <v>224</v>
      </c>
      <c r="J62" s="6" t="s">
        <v>225</v>
      </c>
      <c r="K62" s="67">
        <v>123984000</v>
      </c>
      <c r="L62" s="65"/>
      <c r="M62" s="79">
        <v>0</v>
      </c>
      <c r="N62" s="60">
        <f t="shared" si="3"/>
        <v>123984000</v>
      </c>
      <c r="O62" s="82">
        <v>59017312.8675614</v>
      </c>
      <c r="P62" s="83">
        <v>40833141.369999997</v>
      </c>
      <c r="Q62" s="60">
        <v>35678613.893399999</v>
      </c>
      <c r="R62" s="60">
        <v>120106372.45999999</v>
      </c>
      <c r="S62" s="60">
        <v>41541167.189999998</v>
      </c>
      <c r="T62" s="60">
        <v>52696086.659999996</v>
      </c>
      <c r="U62" s="61">
        <v>0.88500000000000001</v>
      </c>
      <c r="V62" s="98">
        <v>0.95</v>
      </c>
      <c r="W62" s="98">
        <v>0.301507108501469</v>
      </c>
      <c r="X62" s="97">
        <f t="shared" si="7"/>
        <v>-0.58349289149853101</v>
      </c>
      <c r="Y62" s="60">
        <v>35678613.893399999</v>
      </c>
      <c r="Z62" s="60">
        <v>52466694.532173909</v>
      </c>
      <c r="AA62" s="62">
        <v>8.8700000000000001E-2</v>
      </c>
      <c r="AB62" s="62">
        <v>3.8899999999999997E-2</v>
      </c>
      <c r="AC62" s="60">
        <v>10991649</v>
      </c>
      <c r="AD62" s="60">
        <v>4817743</v>
      </c>
      <c r="AE62" s="51"/>
    </row>
    <row r="63" spans="1:31" ht="36" x14ac:dyDescent="0.35">
      <c r="A63" s="45" t="s">
        <v>29</v>
      </c>
      <c r="B63" t="s">
        <v>69</v>
      </c>
      <c r="C63" s="50">
        <f>C62+1</f>
        <v>58</v>
      </c>
      <c r="D63" s="6" t="s">
        <v>108</v>
      </c>
      <c r="E63" s="52" t="s">
        <v>221</v>
      </c>
      <c r="F63" s="52" t="s">
        <v>221</v>
      </c>
      <c r="G63" s="115" t="s">
        <v>228</v>
      </c>
      <c r="H63" s="53" t="s">
        <v>229</v>
      </c>
      <c r="I63" s="54" t="s">
        <v>224</v>
      </c>
      <c r="J63" s="52" t="s">
        <v>225</v>
      </c>
      <c r="K63" s="68">
        <v>132590600</v>
      </c>
      <c r="L63" s="69"/>
      <c r="M63" s="79">
        <v>0</v>
      </c>
      <c r="N63" s="60">
        <f t="shared" si="3"/>
        <v>132590600</v>
      </c>
      <c r="O63" s="84">
        <v>78148271.370408401</v>
      </c>
      <c r="P63" s="85">
        <v>58578589.109999999</v>
      </c>
      <c r="Q63" s="70">
        <v>23528042.719999999</v>
      </c>
      <c r="R63" s="70">
        <v>118647286.16</v>
      </c>
      <c r="S63" s="70">
        <v>52747995.299999997</v>
      </c>
      <c r="T63" s="70">
        <v>40173026.25</v>
      </c>
      <c r="U63" s="71">
        <v>0.83199999999999996</v>
      </c>
      <c r="V63" s="100">
        <v>0.95</v>
      </c>
      <c r="W63" s="100">
        <v>0.37519105159911825</v>
      </c>
      <c r="X63" s="97">
        <f t="shared" si="7"/>
        <v>-0.45680894840088171</v>
      </c>
      <c r="Y63" s="70">
        <v>23528042.719999999</v>
      </c>
      <c r="Z63" s="70">
        <v>56939507.664347813</v>
      </c>
      <c r="AA63" s="72">
        <v>0.13850000000000001</v>
      </c>
      <c r="AB63" s="73">
        <v>0.1062</v>
      </c>
      <c r="AC63" s="70">
        <v>18362421</v>
      </c>
      <c r="AD63" s="70">
        <v>14080314</v>
      </c>
      <c r="AE63" s="55"/>
    </row>
    <row r="65" spans="10:30" x14ac:dyDescent="0.25">
      <c r="S65" s="36"/>
    </row>
    <row r="66" spans="10:30" ht="15" customHeight="1" x14ac:dyDescent="0.25">
      <c r="J66" t="s">
        <v>50</v>
      </c>
      <c r="K66" s="4">
        <v>1</v>
      </c>
      <c r="L66" s="4">
        <v>1</v>
      </c>
      <c r="M66" s="4">
        <f>VLOOKUP(J66,$G$5:$M$63,5,FALSE)</f>
        <v>168693200</v>
      </c>
      <c r="N66">
        <f>K66*M66</f>
        <v>168693200</v>
      </c>
      <c r="O66">
        <f>L66*M66</f>
        <v>168693200</v>
      </c>
      <c r="P66">
        <v>58578589.109999999</v>
      </c>
    </row>
    <row r="67" spans="10:30" x14ac:dyDescent="0.25">
      <c r="J67" t="s">
        <v>55</v>
      </c>
      <c r="K67" s="4">
        <v>1</v>
      </c>
      <c r="L67" s="4">
        <v>0.98899999999999999</v>
      </c>
      <c r="M67" s="4">
        <f t="shared" ref="M67:M116" si="21">VLOOKUP(J67,$G$5:$M$63,5,FALSE)</f>
        <v>452757500</v>
      </c>
      <c r="N67">
        <f t="shared" ref="N67:N116" si="22">K67*M67</f>
        <v>452757500</v>
      </c>
      <c r="O67">
        <f>L67*M67</f>
        <v>447777167.5</v>
      </c>
      <c r="Q67" s="39"/>
      <c r="R67" s="38"/>
    </row>
    <row r="68" spans="10:30" ht="14.45" customHeight="1" x14ac:dyDescent="0.25">
      <c r="J68" t="s">
        <v>58</v>
      </c>
      <c r="K68" s="4">
        <v>1</v>
      </c>
      <c r="L68" s="4">
        <v>0.99890000000000001</v>
      </c>
      <c r="M68" s="4">
        <f t="shared" si="21"/>
        <v>125309260</v>
      </c>
      <c r="N68">
        <f t="shared" si="22"/>
        <v>125309260</v>
      </c>
      <c r="O68">
        <f t="shared" ref="O68:O116" si="23">L68*M68</f>
        <v>125171419.814</v>
      </c>
      <c r="P68" s="39"/>
      <c r="Q68" s="38"/>
    </row>
    <row r="69" spans="10:30" x14ac:dyDescent="0.25">
      <c r="J69" s="126" t="s">
        <v>62</v>
      </c>
      <c r="K69" s="4">
        <v>1</v>
      </c>
      <c r="L69" s="4">
        <v>0.9</v>
      </c>
      <c r="M69" s="4">
        <f t="shared" si="21"/>
        <v>31600000</v>
      </c>
      <c r="N69">
        <f t="shared" si="22"/>
        <v>31600000</v>
      </c>
      <c r="O69">
        <f t="shared" si="23"/>
        <v>28440000</v>
      </c>
      <c r="P69" s="39"/>
      <c r="V69" s="101"/>
      <c r="AC69" s="40"/>
      <c r="AD69" s="40"/>
    </row>
    <row r="70" spans="10:30" ht="15" customHeight="1" x14ac:dyDescent="0.25">
      <c r="J70" t="s">
        <v>65</v>
      </c>
      <c r="K70" s="4">
        <v>1</v>
      </c>
      <c r="L70" s="4">
        <v>0.98409999999999997</v>
      </c>
      <c r="M70" s="4">
        <f t="shared" si="21"/>
        <v>119195073</v>
      </c>
      <c r="N70">
        <f t="shared" si="22"/>
        <v>119195073</v>
      </c>
      <c r="O70">
        <f t="shared" si="23"/>
        <v>117299871.33929999</v>
      </c>
      <c r="Q70" s="94"/>
    </row>
    <row r="71" spans="10:30" ht="15" customHeight="1" x14ac:dyDescent="0.25">
      <c r="J71" t="s">
        <v>70</v>
      </c>
      <c r="K71" s="4">
        <v>1</v>
      </c>
      <c r="L71" s="4">
        <v>0.98419999999999996</v>
      </c>
      <c r="M71" s="4">
        <f t="shared" si="21"/>
        <v>126251953</v>
      </c>
      <c r="N71">
        <f t="shared" si="22"/>
        <v>126251953</v>
      </c>
      <c r="O71">
        <f t="shared" si="23"/>
        <v>124257172.1426</v>
      </c>
    </row>
    <row r="72" spans="10:30" x14ac:dyDescent="0.25">
      <c r="J72" t="s">
        <v>74</v>
      </c>
      <c r="K72" s="4">
        <v>1</v>
      </c>
      <c r="L72" s="4">
        <v>1</v>
      </c>
      <c r="M72" s="4">
        <f t="shared" si="21"/>
        <v>579828000</v>
      </c>
      <c r="N72">
        <f t="shared" si="22"/>
        <v>579828000</v>
      </c>
      <c r="O72">
        <f t="shared" si="23"/>
        <v>579828000</v>
      </c>
      <c r="Q72">
        <v>246885846.72</v>
      </c>
    </row>
    <row r="73" spans="10:30" ht="15" customHeight="1" x14ac:dyDescent="0.25">
      <c r="J73" t="s">
        <v>78</v>
      </c>
      <c r="K73" s="4">
        <v>1</v>
      </c>
      <c r="L73" s="4">
        <v>0.97499999999999998</v>
      </c>
      <c r="M73" s="4">
        <f t="shared" si="21"/>
        <v>22632720</v>
      </c>
      <c r="N73">
        <f t="shared" si="22"/>
        <v>22632720</v>
      </c>
      <c r="O73">
        <f t="shared" si="23"/>
        <v>22066902</v>
      </c>
    </row>
    <row r="74" spans="10:30" x14ac:dyDescent="0.25">
      <c r="J74" t="s">
        <v>82</v>
      </c>
      <c r="K74" s="4">
        <v>1</v>
      </c>
      <c r="L74" s="4">
        <v>0.96960000000000002</v>
      </c>
      <c r="M74" s="4">
        <f t="shared" si="21"/>
        <v>33637620</v>
      </c>
      <c r="N74">
        <f t="shared" si="22"/>
        <v>33637620</v>
      </c>
      <c r="O74">
        <f t="shared" si="23"/>
        <v>32615036.352000002</v>
      </c>
      <c r="Z74" s="40"/>
    </row>
    <row r="75" spans="10:30" ht="15" customHeight="1" x14ac:dyDescent="0.25">
      <c r="J75" t="s">
        <v>84</v>
      </c>
      <c r="K75" s="4">
        <v>1</v>
      </c>
      <c r="L75" s="4">
        <v>0.94530000000000003</v>
      </c>
      <c r="M75" s="4">
        <f t="shared" si="21"/>
        <v>130635969</v>
      </c>
      <c r="N75">
        <f t="shared" si="22"/>
        <v>130635969</v>
      </c>
      <c r="O75">
        <f t="shared" si="23"/>
        <v>123490181.4957</v>
      </c>
    </row>
    <row r="76" spans="10:30" ht="15" customHeight="1" x14ac:dyDescent="0.25">
      <c r="J76" t="s">
        <v>87</v>
      </c>
      <c r="K76" s="4">
        <v>1</v>
      </c>
      <c r="L76" s="4">
        <v>0.99</v>
      </c>
      <c r="M76" s="4">
        <f t="shared" si="21"/>
        <v>127230866</v>
      </c>
      <c r="N76">
        <f t="shared" si="22"/>
        <v>127230866</v>
      </c>
      <c r="O76">
        <f t="shared" si="23"/>
        <v>125958557.34</v>
      </c>
    </row>
    <row r="77" spans="10:30" x14ac:dyDescent="0.25">
      <c r="J77" t="s">
        <v>92</v>
      </c>
      <c r="K77" s="4">
        <v>1</v>
      </c>
      <c r="L77" s="4">
        <v>1</v>
      </c>
      <c r="M77" s="4">
        <f t="shared" si="21"/>
        <v>120233866</v>
      </c>
      <c r="N77">
        <f t="shared" si="22"/>
        <v>120233866</v>
      </c>
      <c r="O77">
        <f t="shared" si="23"/>
        <v>120233866</v>
      </c>
      <c r="V77" s="101"/>
      <c r="Y77" s="40"/>
      <c r="Z77" s="40"/>
      <c r="AA77" s="40"/>
      <c r="AC77" s="40"/>
      <c r="AD77" s="40"/>
    </row>
    <row r="78" spans="10:30" ht="15" customHeight="1" x14ac:dyDescent="0.25">
      <c r="J78" t="s">
        <v>96</v>
      </c>
      <c r="K78" s="4">
        <v>1</v>
      </c>
      <c r="L78" s="4">
        <v>0.99650000000000005</v>
      </c>
      <c r="M78" s="4">
        <f t="shared" si="21"/>
        <v>151200000</v>
      </c>
      <c r="N78">
        <f t="shared" si="22"/>
        <v>151200000</v>
      </c>
      <c r="O78">
        <f t="shared" si="23"/>
        <v>150670800</v>
      </c>
    </row>
    <row r="79" spans="10:30" ht="15" customHeight="1" x14ac:dyDescent="0.25">
      <c r="J79" t="s">
        <v>101</v>
      </c>
      <c r="K79" s="4">
        <v>1</v>
      </c>
      <c r="L79" s="4">
        <v>0.97940000000000005</v>
      </c>
      <c r="M79" s="4">
        <f t="shared" si="21"/>
        <v>383000000</v>
      </c>
      <c r="N79">
        <f t="shared" si="22"/>
        <v>383000000</v>
      </c>
      <c r="O79">
        <f t="shared" si="23"/>
        <v>375110200</v>
      </c>
    </row>
    <row r="80" spans="10:30" ht="15" customHeight="1" x14ac:dyDescent="0.25">
      <c r="J80" t="s">
        <v>103</v>
      </c>
      <c r="K80" s="4">
        <v>1</v>
      </c>
      <c r="L80" s="4">
        <v>0.99980000000000002</v>
      </c>
      <c r="M80" s="4">
        <f t="shared" si="21"/>
        <v>121141296</v>
      </c>
      <c r="N80">
        <f t="shared" si="22"/>
        <v>121141296</v>
      </c>
      <c r="O80">
        <f t="shared" si="23"/>
        <v>121117067.74080001</v>
      </c>
    </row>
    <row r="81" spans="10:30" x14ac:dyDescent="0.25">
      <c r="J81" t="s">
        <v>105</v>
      </c>
      <c r="K81" s="4">
        <v>1</v>
      </c>
      <c r="L81" s="4">
        <v>0.99250000000000005</v>
      </c>
      <c r="M81" s="4">
        <f t="shared" si="21"/>
        <v>119245157</v>
      </c>
      <c r="N81">
        <f t="shared" si="22"/>
        <v>119245157</v>
      </c>
      <c r="O81">
        <f t="shared" si="23"/>
        <v>118350818.32250001</v>
      </c>
      <c r="V81" s="101"/>
      <c r="Y81" s="40"/>
      <c r="Z81" s="40"/>
      <c r="AA81" s="40"/>
      <c r="AD81" s="40"/>
    </row>
    <row r="82" spans="10:30" ht="15" customHeight="1" x14ac:dyDescent="0.25">
      <c r="J82" t="s">
        <v>109</v>
      </c>
      <c r="K82" s="4">
        <v>1</v>
      </c>
      <c r="L82" s="4">
        <v>0.95899999999999996</v>
      </c>
      <c r="M82" s="4">
        <f t="shared" si="21"/>
        <v>218577987</v>
      </c>
      <c r="N82">
        <f t="shared" si="22"/>
        <v>218577987</v>
      </c>
      <c r="O82">
        <f t="shared" si="23"/>
        <v>209616289.53299999</v>
      </c>
    </row>
    <row r="83" spans="10:30" ht="15" customHeight="1" x14ac:dyDescent="0.25">
      <c r="J83" t="s">
        <v>114</v>
      </c>
      <c r="K83" s="4">
        <v>1</v>
      </c>
      <c r="L83" s="4">
        <v>0.99</v>
      </c>
      <c r="M83" s="4">
        <f t="shared" si="21"/>
        <v>217950300</v>
      </c>
      <c r="N83">
        <f t="shared" si="22"/>
        <v>217950300</v>
      </c>
      <c r="O83">
        <f t="shared" si="23"/>
        <v>215770797</v>
      </c>
    </row>
    <row r="84" spans="10:30" ht="15" customHeight="1" x14ac:dyDescent="0.25">
      <c r="J84" t="s">
        <v>112</v>
      </c>
      <c r="K84" s="4">
        <v>1</v>
      </c>
      <c r="L84" s="4">
        <v>0.88949999999999996</v>
      </c>
      <c r="M84" s="4">
        <f t="shared" si="21"/>
        <v>36073440</v>
      </c>
      <c r="N84">
        <f t="shared" si="22"/>
        <v>36073440</v>
      </c>
      <c r="O84">
        <f t="shared" si="23"/>
        <v>32087324.879999999</v>
      </c>
    </row>
    <row r="85" spans="10:30" ht="15" customHeight="1" x14ac:dyDescent="0.25">
      <c r="J85" t="s">
        <v>119</v>
      </c>
      <c r="K85" s="4">
        <v>1</v>
      </c>
      <c r="L85" s="4">
        <v>0.92300000000000004</v>
      </c>
      <c r="M85" s="4">
        <f t="shared" si="21"/>
        <v>131418256</v>
      </c>
      <c r="N85">
        <f t="shared" si="22"/>
        <v>131418256</v>
      </c>
      <c r="O85">
        <f t="shared" si="23"/>
        <v>121299050.288</v>
      </c>
      <c r="P85">
        <v>7451413.4000000004</v>
      </c>
    </row>
    <row r="86" spans="10:30" ht="15" customHeight="1" x14ac:dyDescent="0.25">
      <c r="J86" t="s">
        <v>122</v>
      </c>
      <c r="K86" s="4">
        <v>1</v>
      </c>
      <c r="L86" s="4">
        <v>0.86629999999999996</v>
      </c>
      <c r="M86" s="4">
        <f t="shared" si="21"/>
        <v>37810500</v>
      </c>
      <c r="N86">
        <f t="shared" si="22"/>
        <v>37810500</v>
      </c>
      <c r="O86">
        <f t="shared" si="23"/>
        <v>32755236.149999999</v>
      </c>
    </row>
    <row r="87" spans="10:30" ht="15" customHeight="1" x14ac:dyDescent="0.25">
      <c r="J87" t="s">
        <v>127</v>
      </c>
      <c r="K87" s="4">
        <v>0.98309999999999997</v>
      </c>
      <c r="L87" s="4">
        <v>0.90210000000000001</v>
      </c>
      <c r="M87" s="4">
        <f t="shared" si="21"/>
        <v>388016486</v>
      </c>
      <c r="N87">
        <f t="shared" si="22"/>
        <v>381459007.38660002</v>
      </c>
      <c r="O87">
        <f t="shared" si="23"/>
        <v>350029672.02060002</v>
      </c>
    </row>
    <row r="88" spans="10:30" ht="15" customHeight="1" x14ac:dyDescent="0.25">
      <c r="J88" t="s">
        <v>131</v>
      </c>
      <c r="K88" s="4">
        <v>0.93379999999999996</v>
      </c>
      <c r="L88" s="4">
        <v>0.95079999999999998</v>
      </c>
      <c r="M88" s="4">
        <f t="shared" si="21"/>
        <v>351450000</v>
      </c>
      <c r="N88">
        <f t="shared" si="22"/>
        <v>328184010</v>
      </c>
      <c r="O88">
        <f t="shared" si="23"/>
        <v>334158660</v>
      </c>
    </row>
    <row r="89" spans="10:30" ht="15" customHeight="1" x14ac:dyDescent="0.25">
      <c r="J89" t="s">
        <v>133</v>
      </c>
      <c r="K89" s="4">
        <v>1</v>
      </c>
      <c r="L89" s="4">
        <v>0.83989999999999998</v>
      </c>
      <c r="M89" s="4">
        <f t="shared" si="21"/>
        <v>40038020</v>
      </c>
      <c r="N89">
        <f t="shared" si="22"/>
        <v>40038020</v>
      </c>
      <c r="O89">
        <f t="shared" si="23"/>
        <v>33627932.997999996</v>
      </c>
    </row>
    <row r="90" spans="10:30" ht="15" customHeight="1" x14ac:dyDescent="0.25">
      <c r="J90" t="s">
        <v>136</v>
      </c>
      <c r="K90" s="4">
        <v>1</v>
      </c>
      <c r="L90" s="4">
        <v>0.9052</v>
      </c>
      <c r="M90" s="4">
        <f t="shared" si="21"/>
        <v>76529100</v>
      </c>
      <c r="N90">
        <f t="shared" si="22"/>
        <v>76529100</v>
      </c>
      <c r="O90">
        <f t="shared" si="23"/>
        <v>69274141.320000008</v>
      </c>
    </row>
    <row r="91" spans="10:30" ht="15" customHeight="1" x14ac:dyDescent="0.25">
      <c r="J91" t="s">
        <v>138</v>
      </c>
      <c r="K91" s="4">
        <v>1</v>
      </c>
      <c r="L91" s="4">
        <v>0.98499999999999999</v>
      </c>
      <c r="M91" s="4">
        <f t="shared" si="21"/>
        <v>335406292</v>
      </c>
      <c r="N91">
        <f t="shared" si="22"/>
        <v>335406292</v>
      </c>
      <c r="O91">
        <f t="shared" si="23"/>
        <v>330375197.62</v>
      </c>
    </row>
    <row r="92" spans="10:30" ht="15" customHeight="1" x14ac:dyDescent="0.25">
      <c r="J92" t="s">
        <v>142</v>
      </c>
      <c r="K92" s="4">
        <v>0.93</v>
      </c>
      <c r="L92" s="4">
        <v>0.9</v>
      </c>
      <c r="M92" s="4">
        <f t="shared" si="21"/>
        <v>165245150</v>
      </c>
      <c r="N92">
        <f t="shared" si="22"/>
        <v>153677989.5</v>
      </c>
      <c r="O92">
        <f t="shared" si="23"/>
        <v>148720635</v>
      </c>
    </row>
    <row r="93" spans="10:30" ht="15" customHeight="1" x14ac:dyDescent="0.25">
      <c r="J93" t="s">
        <v>147</v>
      </c>
      <c r="K93" s="4">
        <v>0.98060000000000003</v>
      </c>
      <c r="L93" s="4">
        <v>0.98309999999999997</v>
      </c>
      <c r="M93" s="4">
        <f t="shared" si="21"/>
        <v>108569000</v>
      </c>
      <c r="N93">
        <f t="shared" si="22"/>
        <v>106462761.40000001</v>
      </c>
      <c r="O93">
        <f t="shared" si="23"/>
        <v>106734183.89999999</v>
      </c>
    </row>
    <row r="94" spans="10:30" ht="15" customHeight="1" x14ac:dyDescent="0.25">
      <c r="J94" t="s">
        <v>150</v>
      </c>
      <c r="K94" s="4">
        <v>0.1002</v>
      </c>
      <c r="L94" s="4">
        <v>0.1933</v>
      </c>
      <c r="M94" s="4">
        <f t="shared" si="21"/>
        <v>152000000</v>
      </c>
      <c r="N94">
        <f t="shared" si="22"/>
        <v>15230400</v>
      </c>
      <c r="O94">
        <f t="shared" si="23"/>
        <v>29381600</v>
      </c>
    </row>
    <row r="95" spans="10:30" ht="15" customHeight="1" x14ac:dyDescent="0.25">
      <c r="J95" t="s">
        <v>152</v>
      </c>
      <c r="K95" s="4">
        <v>0.98640000000000005</v>
      </c>
      <c r="L95" s="4">
        <v>0.96150000000000002</v>
      </c>
      <c r="M95" s="4">
        <f t="shared" si="21"/>
        <v>878629474</v>
      </c>
      <c r="N95">
        <f t="shared" si="22"/>
        <v>866680113.1536001</v>
      </c>
      <c r="O95">
        <f t="shared" si="23"/>
        <v>844802239.25100005</v>
      </c>
    </row>
    <row r="96" spans="10:30" ht="15" customHeight="1" x14ac:dyDescent="0.25">
      <c r="J96" t="s">
        <v>156</v>
      </c>
      <c r="K96" s="4">
        <v>0.92230000000000001</v>
      </c>
      <c r="L96" s="4">
        <v>0.91979999999999995</v>
      </c>
      <c r="M96" s="4">
        <f t="shared" si="21"/>
        <v>205975000</v>
      </c>
      <c r="N96">
        <f t="shared" si="22"/>
        <v>189970742.5</v>
      </c>
      <c r="O96">
        <f t="shared" si="23"/>
        <v>189455805</v>
      </c>
    </row>
    <row r="97" spans="10:15" ht="15" customHeight="1" x14ac:dyDescent="0.25">
      <c r="J97" t="s">
        <v>159</v>
      </c>
      <c r="K97" s="4">
        <v>0.97170000000000001</v>
      </c>
      <c r="L97" s="4">
        <v>0.94340000000000002</v>
      </c>
      <c r="M97" s="4">
        <f t="shared" si="21"/>
        <v>1055702232</v>
      </c>
      <c r="N97">
        <f t="shared" si="22"/>
        <v>1025825858.8344001</v>
      </c>
      <c r="O97">
        <f t="shared" si="23"/>
        <v>995949485.6688</v>
      </c>
    </row>
    <row r="98" spans="10:15" ht="15" customHeight="1" x14ac:dyDescent="0.25">
      <c r="J98" t="s">
        <v>164</v>
      </c>
      <c r="K98" s="4">
        <v>0.96299999999999997</v>
      </c>
      <c r="L98" s="4">
        <v>0.82</v>
      </c>
      <c r="M98" s="4">
        <f t="shared" si="21"/>
        <v>954530000</v>
      </c>
      <c r="N98">
        <f t="shared" si="22"/>
        <v>919212390</v>
      </c>
      <c r="O98">
        <f t="shared" si="23"/>
        <v>782714600</v>
      </c>
    </row>
    <row r="99" spans="10:15" ht="15" customHeight="1" x14ac:dyDescent="0.25">
      <c r="J99" t="s">
        <v>168</v>
      </c>
      <c r="K99" s="4">
        <v>0.995</v>
      </c>
      <c r="L99" s="4">
        <v>0.94930000000000003</v>
      </c>
      <c r="M99" s="4">
        <f t="shared" si="21"/>
        <v>98175162</v>
      </c>
      <c r="N99">
        <f t="shared" si="22"/>
        <v>97684286.189999998</v>
      </c>
      <c r="O99">
        <f t="shared" si="23"/>
        <v>93197681.286600009</v>
      </c>
    </row>
    <row r="100" spans="10:15" ht="15" customHeight="1" x14ac:dyDescent="0.25">
      <c r="J100" t="s">
        <v>171</v>
      </c>
      <c r="K100" s="4">
        <v>1</v>
      </c>
      <c r="L100" s="4">
        <v>0.74550000000000005</v>
      </c>
      <c r="M100" s="4">
        <f t="shared" si="21"/>
        <v>176416000</v>
      </c>
      <c r="N100">
        <f t="shared" si="22"/>
        <v>176416000</v>
      </c>
      <c r="O100">
        <f t="shared" si="23"/>
        <v>131518128.00000001</v>
      </c>
    </row>
    <row r="101" spans="10:15" ht="15" customHeight="1" x14ac:dyDescent="0.25">
      <c r="J101" t="s">
        <v>175</v>
      </c>
      <c r="K101" s="4">
        <v>0.99829999999999997</v>
      </c>
      <c r="L101" s="4">
        <v>0.69359999999999999</v>
      </c>
      <c r="M101" s="4">
        <f t="shared" si="21"/>
        <v>122169900</v>
      </c>
      <c r="N101">
        <f t="shared" si="22"/>
        <v>121962211.17</v>
      </c>
      <c r="O101">
        <f t="shared" si="23"/>
        <v>84737042.640000001</v>
      </c>
    </row>
    <row r="102" spans="10:15" ht="15" customHeight="1" x14ac:dyDescent="0.25">
      <c r="J102" t="s">
        <v>179</v>
      </c>
      <c r="K102" s="4">
        <v>1</v>
      </c>
      <c r="L102" s="4">
        <v>0.98670000000000002</v>
      </c>
      <c r="M102" s="4">
        <f t="shared" si="21"/>
        <v>522306062</v>
      </c>
      <c r="N102">
        <f t="shared" si="22"/>
        <v>522306062</v>
      </c>
      <c r="O102">
        <f t="shared" si="23"/>
        <v>515359391.37540001</v>
      </c>
    </row>
    <row r="103" spans="10:15" ht="15" customHeight="1" x14ac:dyDescent="0.25">
      <c r="J103" t="s">
        <v>184</v>
      </c>
      <c r="K103" s="4">
        <v>0.87060000000000004</v>
      </c>
      <c r="L103" s="4">
        <v>0.70509999999999995</v>
      </c>
      <c r="M103" s="4">
        <f t="shared" si="21"/>
        <v>168310428</v>
      </c>
      <c r="N103">
        <f t="shared" si="22"/>
        <v>146531058.61680001</v>
      </c>
      <c r="O103">
        <f t="shared" si="23"/>
        <v>118675682.78279999</v>
      </c>
    </row>
    <row r="104" spans="10:15" ht="15" customHeight="1" x14ac:dyDescent="0.25">
      <c r="J104" t="s">
        <v>187</v>
      </c>
      <c r="K104" s="4">
        <v>1</v>
      </c>
      <c r="L104" s="4">
        <v>0.75419999999999998</v>
      </c>
      <c r="M104" s="4">
        <f t="shared" si="21"/>
        <v>432362000</v>
      </c>
      <c r="N104">
        <f t="shared" si="22"/>
        <v>432362000</v>
      </c>
      <c r="O104">
        <f t="shared" si="23"/>
        <v>326087420.39999998</v>
      </c>
    </row>
    <row r="105" spans="10:15" ht="15" customHeight="1" x14ac:dyDescent="0.25">
      <c r="J105" t="s">
        <v>190</v>
      </c>
      <c r="K105" s="4">
        <v>0.55449999999999999</v>
      </c>
      <c r="L105" s="4">
        <v>0.2641</v>
      </c>
      <c r="M105" s="4">
        <f t="shared" si="21"/>
        <v>110239453</v>
      </c>
      <c r="N105">
        <f t="shared" si="22"/>
        <v>61127776.688500002</v>
      </c>
      <c r="O105">
        <f t="shared" si="23"/>
        <v>29114239.537300002</v>
      </c>
    </row>
    <row r="106" spans="10:15" ht="15" customHeight="1" x14ac:dyDescent="0.25">
      <c r="J106" t="s">
        <v>193</v>
      </c>
      <c r="K106" s="4">
        <v>0.35830000000000001</v>
      </c>
      <c r="L106" s="4">
        <v>0.313</v>
      </c>
      <c r="M106" s="4">
        <f t="shared" si="21"/>
        <v>121779924</v>
      </c>
      <c r="N106">
        <f t="shared" si="22"/>
        <v>43633746.769199997</v>
      </c>
      <c r="O106">
        <f t="shared" si="23"/>
        <v>38117116.211999997</v>
      </c>
    </row>
    <row r="107" spans="10:15" ht="15" customHeight="1" x14ac:dyDescent="0.25">
      <c r="J107" t="s">
        <v>195</v>
      </c>
      <c r="K107" s="4">
        <v>0.3826</v>
      </c>
      <c r="L107" s="4">
        <v>0.2291</v>
      </c>
      <c r="M107" s="4">
        <f t="shared" si="21"/>
        <v>103814627</v>
      </c>
      <c r="N107">
        <f t="shared" si="22"/>
        <v>39719476.290200002</v>
      </c>
      <c r="O107">
        <f t="shared" si="23"/>
        <v>23783931.045699999</v>
      </c>
    </row>
    <row r="108" spans="10:15" ht="15" customHeight="1" x14ac:dyDescent="0.25">
      <c r="J108" t="s">
        <v>200</v>
      </c>
      <c r="K108" s="4">
        <v>0.20019999999999999</v>
      </c>
      <c r="L108" s="4">
        <v>0.14510000000000001</v>
      </c>
      <c r="M108" s="4">
        <f t="shared" si="21"/>
        <v>236924477</v>
      </c>
      <c r="N108">
        <f t="shared" si="22"/>
        <v>47432280.295400001</v>
      </c>
      <c r="O108">
        <f t="shared" si="23"/>
        <v>34377741.6127</v>
      </c>
    </row>
    <row r="109" spans="10:15" ht="15" customHeight="1" x14ac:dyDescent="0.25">
      <c r="J109" t="s">
        <v>202</v>
      </c>
      <c r="K109" s="4">
        <v>0.67989999999999995</v>
      </c>
      <c r="L109" s="4">
        <v>0.24049999999999999</v>
      </c>
      <c r="M109" s="4">
        <f t="shared" si="21"/>
        <v>204670557</v>
      </c>
      <c r="N109">
        <f t="shared" si="22"/>
        <v>139155511.70429999</v>
      </c>
      <c r="O109">
        <f t="shared" si="23"/>
        <v>49223268.958499998</v>
      </c>
    </row>
    <row r="110" spans="10:15" ht="15" customHeight="1" x14ac:dyDescent="0.25">
      <c r="J110" t="s">
        <v>204</v>
      </c>
      <c r="K110" s="4">
        <v>0.2581</v>
      </c>
      <c r="L110" s="4">
        <v>0.25829999999999997</v>
      </c>
      <c r="M110" s="4">
        <f t="shared" si="21"/>
        <v>505052515</v>
      </c>
      <c r="N110">
        <f t="shared" si="22"/>
        <v>130354054.1215</v>
      </c>
      <c r="O110">
        <f t="shared" si="23"/>
        <v>130455064.62449999</v>
      </c>
    </row>
    <row r="111" spans="10:15" ht="15" customHeight="1" x14ac:dyDescent="0.25">
      <c r="J111" t="s">
        <v>207</v>
      </c>
      <c r="K111" s="4">
        <v>0.25850000000000001</v>
      </c>
      <c r="L111" s="4">
        <v>0.255</v>
      </c>
      <c r="M111" s="4">
        <f t="shared" si="21"/>
        <v>467466515</v>
      </c>
      <c r="N111">
        <f t="shared" si="22"/>
        <v>120840094.1275</v>
      </c>
      <c r="O111">
        <f t="shared" si="23"/>
        <v>119203961.325</v>
      </c>
    </row>
    <row r="112" spans="10:15" ht="15" customHeight="1" x14ac:dyDescent="0.25">
      <c r="J112" t="s">
        <v>209</v>
      </c>
      <c r="K112" s="4">
        <v>0.02</v>
      </c>
      <c r="L112" s="4">
        <v>0.01</v>
      </c>
      <c r="M112" s="4">
        <f t="shared" si="21"/>
        <v>111410000</v>
      </c>
      <c r="N112">
        <f t="shared" si="22"/>
        <v>2228200</v>
      </c>
      <c r="O112">
        <f t="shared" si="23"/>
        <v>1114100</v>
      </c>
    </row>
    <row r="113" spans="10:15" ht="15" customHeight="1" x14ac:dyDescent="0.25">
      <c r="J113" t="s">
        <v>212</v>
      </c>
      <c r="K113" s="4">
        <v>6.5199999999999994E-2</v>
      </c>
      <c r="L113" s="4">
        <v>6.3399999999999998E-2</v>
      </c>
      <c r="M113" s="4">
        <f t="shared" si="21"/>
        <v>619500000</v>
      </c>
      <c r="N113">
        <f t="shared" si="22"/>
        <v>40391400</v>
      </c>
      <c r="O113">
        <f t="shared" si="23"/>
        <v>39276300</v>
      </c>
    </row>
    <row r="114" spans="10:15" ht="15" customHeight="1" x14ac:dyDescent="0.25">
      <c r="J114" t="s">
        <v>214</v>
      </c>
      <c r="M114" s="4">
        <f t="shared" si="21"/>
        <v>125693278</v>
      </c>
      <c r="N114">
        <f t="shared" si="22"/>
        <v>0</v>
      </c>
      <c r="O114">
        <f t="shared" si="23"/>
        <v>0</v>
      </c>
    </row>
    <row r="115" spans="10:15" ht="15" customHeight="1" x14ac:dyDescent="0.25">
      <c r="J115" t="s">
        <v>216</v>
      </c>
      <c r="M115" s="4">
        <f t="shared" si="21"/>
        <v>104775000</v>
      </c>
      <c r="N115">
        <f t="shared" si="22"/>
        <v>0</v>
      </c>
      <c r="O115">
        <f t="shared" si="23"/>
        <v>0</v>
      </c>
    </row>
    <row r="116" spans="10:15" ht="15" customHeight="1" x14ac:dyDescent="0.25">
      <c r="J116" t="s">
        <v>218</v>
      </c>
      <c r="M116" s="4">
        <f t="shared" si="21"/>
        <v>391050000</v>
      </c>
      <c r="N116">
        <f t="shared" si="22"/>
        <v>0</v>
      </c>
      <c r="O116">
        <f t="shared" si="23"/>
        <v>0</v>
      </c>
    </row>
    <row r="117" spans="10:15" ht="15" customHeight="1" x14ac:dyDescent="0.25">
      <c r="N117" s="126">
        <f>SUM(N66:N116)/SUM(M66:M113)</f>
        <v>0.82314063941305404</v>
      </c>
      <c r="O117" s="126">
        <f>SUM(O66:O116)/SUM(M66:M113)</f>
        <v>0.76781365122119793</v>
      </c>
    </row>
  </sheetData>
  <autoFilter ref="C2:AE63" xr:uid="{61205949-4104-44D2-A6B6-9FE371CAC9A1}"/>
  <mergeCells count="29">
    <mergeCell ref="N2:N3"/>
    <mergeCell ref="V2:V3"/>
    <mergeCell ref="Q2:Q3"/>
    <mergeCell ref="P2:P3"/>
    <mergeCell ref="O2:O3"/>
    <mergeCell ref="T2:T3"/>
    <mergeCell ref="S2:S3"/>
    <mergeCell ref="R2:R3"/>
    <mergeCell ref="U2:U3"/>
    <mergeCell ref="J2:J3"/>
    <mergeCell ref="E2:E3"/>
    <mergeCell ref="F2:F3"/>
    <mergeCell ref="K2:K3"/>
    <mergeCell ref="M2:M3"/>
    <mergeCell ref="L2:L3"/>
    <mergeCell ref="C2:C3"/>
    <mergeCell ref="D2:D3"/>
    <mergeCell ref="G2:G3"/>
    <mergeCell ref="H2:H3"/>
    <mergeCell ref="I2:I3"/>
    <mergeCell ref="AC2:AC3"/>
    <mergeCell ref="W2:W3"/>
    <mergeCell ref="AE2:AE3"/>
    <mergeCell ref="AD2:AD3"/>
    <mergeCell ref="Z2:Z3"/>
    <mergeCell ref="Y2:Y3"/>
    <mergeCell ref="AB2:AB3"/>
    <mergeCell ref="AA2:AA3"/>
    <mergeCell ref="X2:X3"/>
  </mergeCells>
  <conditionalFormatting sqref="G4:G59">
    <cfRule type="duplicateValues" dxfId="18" priority="53"/>
  </conditionalFormatting>
  <conditionalFormatting sqref="G35:G36">
    <cfRule type="duplicateValues" dxfId="17" priority="22"/>
    <cfRule type="duplicateValues" dxfId="16" priority="23"/>
  </conditionalFormatting>
  <conditionalFormatting sqref="G39">
    <cfRule type="duplicateValues" dxfId="15" priority="19"/>
    <cfRule type="duplicateValues" dxfId="14" priority="20"/>
  </conditionalFormatting>
  <conditionalFormatting sqref="G40:G41">
    <cfRule type="duplicateValues" dxfId="13" priority="10"/>
    <cfRule type="duplicateValues" dxfId="12" priority="11"/>
  </conditionalFormatting>
  <conditionalFormatting sqref="G44">
    <cfRule type="duplicateValues" dxfId="11" priority="6"/>
    <cfRule type="duplicateValues" dxfId="10" priority="7"/>
  </conditionalFormatting>
  <conditionalFormatting sqref="G50:G59">
    <cfRule type="duplicateValues" dxfId="9" priority="50"/>
    <cfRule type="duplicateValues" dxfId="8" priority="51"/>
  </conditionalFormatting>
  <conditionalFormatting sqref="G53:G54">
    <cfRule type="duplicateValues" dxfId="7" priority="17"/>
    <cfRule type="duplicateValues" dxfId="6" priority="18"/>
  </conditionalFormatting>
  <conditionalFormatting sqref="G54">
    <cfRule type="duplicateValues" dxfId="5" priority="15"/>
    <cfRule type="duplicateValues" dxfId="4" priority="16"/>
  </conditionalFormatting>
  <conditionalFormatting sqref="G61">
    <cfRule type="duplicateValues" dxfId="3" priority="5"/>
  </conditionalFormatting>
  <conditionalFormatting sqref="G62">
    <cfRule type="duplicateValues" dxfId="2" priority="4"/>
  </conditionalFormatting>
  <conditionalFormatting sqref="G63">
    <cfRule type="duplicateValues" dxfId="1" priority="3"/>
  </conditionalFormatting>
  <conditionalFormatting sqref="S65">
    <cfRule type="expression" dxfId="0" priority="28">
      <formula>$M65&lt;0</formula>
    </cfRule>
  </conditionalFormatting>
  <pageMargins left="0.7" right="0.7" top="0.75" bottom="0.75" header="0.3" footer="0.3"/>
  <pageSetup paperSize="8" scale="24" orientation="landscape" r:id="rId1"/>
  <headerFooter>
    <oddFooter>&amp;C_x000D_&amp;1#&amp;"Aptos"&amp;10&amp;K0000FF CLASSIFICATION: Public</oddFooter>
  </headerFooter>
  <ignoredErrors>
    <ignoredError sqref="C6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389f1ef8-9fc7-4250-9466-79c08d8bd832" xsi:nil="true"/>
    <TaxCatchAll xmlns="d5b2f26e-b630-44bd-87e5-d5d6c3db68be" xsi:nil="true"/>
    <lcf76f155ced4ddcb4097134ff3c332f xmlns="389f1ef8-9fc7-4250-9466-79c08d8bd8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DC0BB8BE08744AAD7823D7D2EEDA58" ma:contentTypeVersion="17" ma:contentTypeDescription="Create a new document." ma:contentTypeScope="" ma:versionID="480ee920b99d23bac99646da38ccbbdc">
  <xsd:schema xmlns:xsd="http://www.w3.org/2001/XMLSchema" xmlns:xs="http://www.w3.org/2001/XMLSchema" xmlns:p="http://schemas.microsoft.com/office/2006/metadata/properties" xmlns:ns2="389f1ef8-9fc7-4250-9466-79c08d8bd832" xmlns:ns3="d5b2f26e-b630-44bd-87e5-d5d6c3db68be" targetNamespace="http://schemas.microsoft.com/office/2006/metadata/properties" ma:root="true" ma:fieldsID="2d8ae27bcc703cee76efd159f85bc346" ns2:_="" ns3:_="">
    <xsd:import namespace="389f1ef8-9fc7-4250-9466-79c08d8bd832"/>
    <xsd:import namespace="d5b2f26e-b630-44bd-87e5-d5d6c3db68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Statu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f1ef8-9fc7-4250-9466-79c08d8bd8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e15db89-250c-4d34-9bef-285ee39de0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Status" ma:index="19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2f26e-b630-44bd-87e5-d5d6c3db68b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4103b4b-7053-4631-943a-3987abc8a121}" ma:internalName="TaxCatchAll" ma:showField="CatchAllData" ma:web="d5b2f26e-b630-44bd-87e5-d5d6c3db68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E10561-53D6-4F6F-A5F6-22AFB351780E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5b2f26e-b630-44bd-87e5-d5d6c3db68be"/>
    <ds:schemaRef ds:uri="389f1ef8-9fc7-4250-9466-79c08d8bd832"/>
  </ds:schemaRefs>
</ds:datastoreItem>
</file>

<file path=customXml/itemProps2.xml><?xml version="1.0" encoding="utf-8"?>
<ds:datastoreItem xmlns:ds="http://schemas.openxmlformats.org/officeDocument/2006/customXml" ds:itemID="{61C357C0-B6D8-4F32-BB6A-1342CBCCD0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4BAB88-122B-4CE6-9268-5E94CF187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9f1ef8-9fc7-4250-9466-79c08d8bd832"/>
    <ds:schemaRef ds:uri="d5b2f26e-b630-44bd-87e5-d5d6c3db68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Amrishkumar Umapathy</dc:creator>
  <cp:keywords/>
  <dc:description/>
  <cp:lastModifiedBy>Ahmed Abdelzaher</cp:lastModifiedBy>
  <cp:revision/>
  <dcterms:created xsi:type="dcterms:W3CDTF">2025-10-28T07:06:46Z</dcterms:created>
  <dcterms:modified xsi:type="dcterms:W3CDTF">2026-08-30T13:56:02Z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407c91-f24b-4cd4-a76b-785b6c54b38d_Enabled">
    <vt:lpwstr>true</vt:lpwstr>
  </property>
  <property fmtid="{D5CDD505-2E9C-101B-9397-08002B2CF9AE}" pid="3" name="MSIP_Label_6b407c91-f24b-4cd4-a76b-785b6c54b38d_SetDate">
    <vt:lpwstr>2025-10-28T07:36:54Z</vt:lpwstr>
  </property>
  <property fmtid="{D5CDD505-2E9C-101B-9397-08002B2CF9AE}" pid="4" name="MSIP_Label_6b407c91-f24b-4cd4-a76b-785b6c54b38d_Method">
    <vt:lpwstr>Privileged</vt:lpwstr>
  </property>
  <property fmtid="{D5CDD505-2E9C-101B-9397-08002B2CF9AE}" pid="5" name="MSIP_Label_6b407c91-f24b-4cd4-a76b-785b6c54b38d_Name">
    <vt:lpwstr>Public</vt:lpwstr>
  </property>
  <property fmtid="{D5CDD505-2E9C-101B-9397-08002B2CF9AE}" pid="6" name="MSIP_Label_6b407c91-f24b-4cd4-a76b-785b6c54b38d_SiteId">
    <vt:lpwstr>947d9dbe-5f08-4416-96a9-8468f7f8299e</vt:lpwstr>
  </property>
  <property fmtid="{D5CDD505-2E9C-101B-9397-08002B2CF9AE}" pid="7" name="MSIP_Label_6b407c91-f24b-4cd4-a76b-785b6c54b38d_ActionId">
    <vt:lpwstr>d26c95c5-ac0f-44f1-8dc6-94e9576d63ae</vt:lpwstr>
  </property>
  <property fmtid="{D5CDD505-2E9C-101B-9397-08002B2CF9AE}" pid="8" name="MSIP_Label_6b407c91-f24b-4cd4-a76b-785b6c54b38d_ContentBits">
    <vt:lpwstr>2</vt:lpwstr>
  </property>
  <property fmtid="{D5CDD505-2E9C-101B-9397-08002B2CF9AE}" pid="9" name="MSIP_Label_6b407c91-f24b-4cd4-a76b-785b6c54b38d_Tag">
    <vt:lpwstr>10, 0, 1, 1</vt:lpwstr>
  </property>
  <property fmtid="{D5CDD505-2E9C-101B-9397-08002B2CF9AE}" pid="10" name="ContentTypeId">
    <vt:lpwstr>0x01010093DC0BB8BE08744AAD7823D7D2EEDA58</vt:lpwstr>
  </property>
  <property fmtid="{D5CDD505-2E9C-101B-9397-08002B2CF9AE}" pid="11" name="MediaServiceImageTags">
    <vt:lpwstr/>
  </property>
</Properties>
</file>